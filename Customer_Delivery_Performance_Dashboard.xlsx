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_Dashboard" sheetId="2" state="visible" r:id="rId2"/>
    <sheet xmlns:r="http://schemas.openxmlformats.org/officeDocument/2006/relationships" name="Exception_Report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'Raw_Data'!$A$1:$R$3001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  <font>
      <b val="1"/>
      <color rgb="00FFFFFF"/>
      <sz val="18"/>
    </font>
    <font>
      <b val="1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165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OTDS / OTDC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'KPI_Dashboard'!C13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'KPI_Dashboard'!$A$14:$A$17</f>
            </numRef>
          </cat>
          <val>
            <numRef>
              <f>'KPI_Dashboard'!$C$14:$C$17</f>
            </numRef>
          </val>
        </ser>
        <ser>
          <idx val="1"/>
          <order val="1"/>
          <tx>
            <strRef>
              <f>'KPI_Dashboard'!D13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'KPI_Dashboard'!$A$14:$A$17</f>
            </numRef>
          </cat>
          <val>
            <numRef>
              <f>'KPI_Dashboard'!$D$14:$D$17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Delivery Delay Reasons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'KPI_Dashboard'!$F$6:$F$11</f>
            </numRef>
          </cat>
          <val>
            <numRef>
              <f>'KPI_Dashboard'!$G$6:$G$11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liveryData" displayName="DeliveryData" ref="A1:R3001" headerRowCount="1">
  <autoFilter ref="A1:R3001"/>
  <tableColumns count="18">
    <tableColumn id="1" name="Order_ID"/>
    <tableColumn id="2" name="Customer"/>
    <tableColumn id="3" name="Product"/>
    <tableColumn id="4" name="Plant"/>
    <tableColumn id="5" name="Region"/>
    <tableColumn id="6" name="Order_Date"/>
    <tableColumn id="7" name="Requested_Delivery_Date"/>
    <tableColumn id="8" name="Scheduled_Ship_Date"/>
    <tableColumn id="9" name="Actual_Ship_Date"/>
    <tableColumn id="10" name="Actual_Delivery_Date"/>
    <tableColumn id="11" name="Quantity"/>
    <tableColumn id="12" name="Shipping_Mode"/>
    <tableColumn id="13" name="Delay_Reason"/>
    <tableColumn id="14" name="OTDS_Flag"/>
    <tableColumn id="15" name="OTDC_Flag"/>
    <tableColumn id="16" name="Ship_Delay_Days"/>
    <tableColumn id="17" name="Delivery_Delay_Days"/>
    <tableColumn id="18" name="Exceptio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liveryExceptions" displayName="DeliveryExceptions" ref="A1:I343" headerRowCount="1">
  <autoFilter ref="A1:I343"/>
  <tableColumns count="9">
    <tableColumn id="1" name="Order_ID"/>
    <tableColumn id="2" name="Customer"/>
    <tableColumn id="3" name="Product"/>
    <tableColumn id="4" name="Requested_Delivery_Date"/>
    <tableColumn id="5" name="Actual_Delivery_Date"/>
    <tableColumn id="6" name="Delivery_Delay_Days"/>
    <tableColumn id="7" name="Delay_Reason"/>
    <tableColumn id="8" name="Exception_Status"/>
    <tableColumn id="9" name="Planner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1" customWidth="1" min="4" max="4"/>
    <col width="10" customWidth="1" min="5" max="5"/>
    <col width="13" customWidth="1" min="6" max="6"/>
    <col width="20" customWidth="1" min="7" max="7"/>
    <col width="18" customWidth="1" min="8" max="8"/>
    <col width="16" customWidth="1" min="9" max="9"/>
    <col width="18" customWidth="1" min="10" max="10"/>
    <col width="10" customWidth="1" min="11" max="11"/>
    <col width="13" customWidth="1" min="12" max="12"/>
    <col width="22" customWidth="1" min="13" max="13"/>
    <col width="10" customWidth="1" min="14" max="14"/>
    <col width="10" customWidth="1" min="15" max="15"/>
    <col width="14" customWidth="1" min="16" max="16"/>
    <col width="18" customWidth="1" min="17" max="17"/>
    <col width="22" customWidth="1" min="18" max="18"/>
  </cols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Plant</t>
        </is>
      </c>
      <c r="E1" s="1" t="inlineStr">
        <is>
          <t>Region</t>
        </is>
      </c>
      <c r="F1" s="1" t="inlineStr">
        <is>
          <t>Order_Date</t>
        </is>
      </c>
      <c r="G1" s="1" t="inlineStr">
        <is>
          <t>Requested_Delivery_Date</t>
        </is>
      </c>
      <c r="H1" s="1" t="inlineStr">
        <is>
          <t>Scheduled_Ship_Date</t>
        </is>
      </c>
      <c r="I1" s="1" t="inlineStr">
        <is>
          <t>Actual_Ship_Date</t>
        </is>
      </c>
      <c r="J1" s="1" t="inlineStr">
        <is>
          <t>Actual_Delivery_Date</t>
        </is>
      </c>
      <c r="K1" s="1" t="inlineStr">
        <is>
          <t>Quantity</t>
        </is>
      </c>
      <c r="L1" s="1" t="inlineStr">
        <is>
          <t>Shipping_Mode</t>
        </is>
      </c>
      <c r="M1" s="1" t="inlineStr">
        <is>
          <t>Delay_Reason</t>
        </is>
      </c>
      <c r="N1" s="1" t="inlineStr">
        <is>
          <t>OTDS_Flag</t>
        </is>
      </c>
      <c r="O1" s="1" t="inlineStr">
        <is>
          <t>OTDC_Flag</t>
        </is>
      </c>
      <c r="P1" s="1" t="inlineStr">
        <is>
          <t>Ship_Delay_Days</t>
        </is>
      </c>
      <c r="Q1" s="1" t="inlineStr">
        <is>
          <t>Delivery_Delay_Days</t>
        </is>
      </c>
      <c r="R1" s="1" t="inlineStr">
        <is>
          <t>Exception_Status</t>
        </is>
      </c>
    </row>
    <row r="2">
      <c r="A2" s="2" t="inlineStr">
        <is>
          <t>ORD-00001</t>
        </is>
      </c>
      <c r="B2" s="2" t="inlineStr">
        <is>
          <t>Customer 22</t>
        </is>
      </c>
      <c r="C2" s="2" t="inlineStr">
        <is>
          <t>Contactor</t>
        </is>
      </c>
      <c r="D2" s="2" t="inlineStr">
        <is>
          <t>Plant C</t>
        </is>
      </c>
      <c r="E2" s="2" t="inlineStr">
        <is>
          <t>Export</t>
        </is>
      </c>
      <c r="F2" s="12" t="n">
        <v>46186</v>
      </c>
      <c r="G2" s="12" t="n">
        <v>46194</v>
      </c>
      <c r="H2" s="12" t="n">
        <v>46193</v>
      </c>
      <c r="I2" s="12" t="n">
        <v>46191</v>
      </c>
      <c r="J2" s="12" t="n">
        <v>46192</v>
      </c>
      <c r="K2" s="2" t="n">
        <v>75</v>
      </c>
      <c r="L2" s="2" t="inlineStr">
        <is>
          <t>Road</t>
        </is>
      </c>
      <c r="M2" s="2" t="inlineStr">
        <is>
          <t>No Delay</t>
        </is>
      </c>
      <c r="N2" s="4">
        <f>IF(I2&lt;=H2,1,0)</f>
        <v/>
      </c>
      <c r="O2" s="4">
        <f>IF(J2&lt;=G2,1,0)</f>
        <v/>
      </c>
      <c r="P2" s="4">
        <f>MAX(0,I2-H2)</f>
        <v/>
      </c>
      <c r="Q2" s="4">
        <f>MAX(0,J2-G2)</f>
        <v/>
      </c>
      <c r="R2" s="4">
        <f>IF(AND(N2=1,O2=1),"On Track",IF(O2=0,"Customer Delivery Late","Ship Late"))</f>
        <v/>
      </c>
    </row>
    <row r="3">
      <c r="A3" s="2" t="inlineStr">
        <is>
          <t>ORD-00002</t>
        </is>
      </c>
      <c r="B3" s="2" t="inlineStr">
        <is>
          <t>Customer 15</t>
        </is>
      </c>
      <c r="C3" s="2" t="inlineStr">
        <is>
          <t>Sensor</t>
        </is>
      </c>
      <c r="D3" s="2" t="inlineStr">
        <is>
          <t>Plant A</t>
        </is>
      </c>
      <c r="E3" s="2" t="inlineStr">
        <is>
          <t>Central</t>
        </is>
      </c>
      <c r="F3" s="12" t="n">
        <v>46046</v>
      </c>
      <c r="G3" s="12" t="n">
        <v>46057</v>
      </c>
      <c r="H3" s="12" t="n">
        <v>46055</v>
      </c>
      <c r="I3" s="12" t="n">
        <v>46053</v>
      </c>
      <c r="J3" s="12" t="n">
        <v>46056</v>
      </c>
      <c r="K3" s="2" t="n">
        <v>1439</v>
      </c>
      <c r="L3" s="2" t="inlineStr">
        <is>
          <t>Air</t>
        </is>
      </c>
      <c r="M3" s="2" t="inlineStr">
        <is>
          <t>No Delay</t>
        </is>
      </c>
      <c r="N3" s="4">
        <f>IF(I3&lt;=H3,1,0)</f>
        <v/>
      </c>
      <c r="O3" s="4">
        <f>IF(J3&lt;=G3,1,0)</f>
        <v/>
      </c>
      <c r="P3" s="4">
        <f>MAX(0,I3-H3)</f>
        <v/>
      </c>
      <c r="Q3" s="4">
        <f>MAX(0,J3-G3)</f>
        <v/>
      </c>
      <c r="R3" s="4">
        <f>IF(AND(N3=1,O3=1),"On Track",IF(O3=0,"Customer Delivery Late","Ship Late"))</f>
        <v/>
      </c>
    </row>
    <row r="4">
      <c r="A4" s="2" t="inlineStr">
        <is>
          <t>ORD-00003</t>
        </is>
      </c>
      <c r="B4" s="2" t="inlineStr">
        <is>
          <t>Customer 12</t>
        </is>
      </c>
      <c r="C4" s="2" t="inlineStr">
        <is>
          <t>Drive</t>
        </is>
      </c>
      <c r="D4" s="2" t="inlineStr">
        <is>
          <t>Plant C</t>
        </is>
      </c>
      <c r="E4" s="2" t="inlineStr">
        <is>
          <t>South</t>
        </is>
      </c>
      <c r="F4" s="12" t="n">
        <v>46110</v>
      </c>
      <c r="G4" s="12" t="n">
        <v>46123</v>
      </c>
      <c r="H4" s="12" t="n">
        <v>46121</v>
      </c>
      <c r="I4" s="12" t="n">
        <v>46120</v>
      </c>
      <c r="J4" s="12" t="n">
        <v>46121</v>
      </c>
      <c r="K4" s="2" t="n">
        <v>98</v>
      </c>
      <c r="L4" s="2" t="inlineStr">
        <is>
          <t>Sea</t>
        </is>
      </c>
      <c r="M4" s="2" t="inlineStr">
        <is>
          <t>No Delay</t>
        </is>
      </c>
      <c r="N4" s="4">
        <f>IF(I4&lt;=H4,1,0)</f>
        <v/>
      </c>
      <c r="O4" s="4">
        <f>IF(J4&lt;=G4,1,0)</f>
        <v/>
      </c>
      <c r="P4" s="4">
        <f>MAX(0,I4-H4)</f>
        <v/>
      </c>
      <c r="Q4" s="4">
        <f>MAX(0,J4-G4)</f>
        <v/>
      </c>
      <c r="R4" s="4">
        <f>IF(AND(N4=1,O4=1),"On Track",IF(O4=0,"Customer Delivery Late","Ship Late"))</f>
        <v/>
      </c>
    </row>
    <row r="5">
      <c r="A5" s="2" t="inlineStr">
        <is>
          <t>ORD-00004</t>
        </is>
      </c>
      <c r="B5" s="2" t="inlineStr">
        <is>
          <t>Customer 20</t>
        </is>
      </c>
      <c r="C5" s="2" t="inlineStr">
        <is>
          <t>Drive</t>
        </is>
      </c>
      <c r="D5" s="2" t="inlineStr">
        <is>
          <t>Plant C</t>
        </is>
      </c>
      <c r="E5" s="2" t="inlineStr">
        <is>
          <t>Central</t>
        </is>
      </c>
      <c r="F5" s="12" t="n">
        <v>46140</v>
      </c>
      <c r="G5" s="12" t="n">
        <v>46162</v>
      </c>
      <c r="H5" s="12" t="n">
        <v>46161</v>
      </c>
      <c r="I5" s="12" t="n">
        <v>46168</v>
      </c>
      <c r="J5" s="12" t="n">
        <v>46170</v>
      </c>
      <c r="K5" s="2" t="n">
        <v>1452</v>
      </c>
      <c r="L5" s="2" t="inlineStr">
        <is>
          <t>Road</t>
        </is>
      </c>
      <c r="M5" s="2" t="inlineStr">
        <is>
          <t>Customer Change</t>
        </is>
      </c>
      <c r="N5" s="4">
        <f>IF(I5&lt;=H5,1,0)</f>
        <v/>
      </c>
      <c r="O5" s="4">
        <f>IF(J5&lt;=G5,1,0)</f>
        <v/>
      </c>
      <c r="P5" s="4">
        <f>MAX(0,I5-H5)</f>
        <v/>
      </c>
      <c r="Q5" s="4">
        <f>MAX(0,J5-G5)</f>
        <v/>
      </c>
      <c r="R5" s="4">
        <f>IF(AND(N5=1,O5=1),"On Track",IF(O5=0,"Customer Delivery Late","Ship Late"))</f>
        <v/>
      </c>
    </row>
    <row r="6">
      <c r="A6" s="2" t="inlineStr">
        <is>
          <t>ORD-00005</t>
        </is>
      </c>
      <c r="B6" s="2" t="inlineStr">
        <is>
          <t>Customer 27</t>
        </is>
      </c>
      <c r="C6" s="2" t="inlineStr">
        <is>
          <t>Drive</t>
        </is>
      </c>
      <c r="D6" s="2" t="inlineStr">
        <is>
          <t>Plant A</t>
        </is>
      </c>
      <c r="E6" s="2" t="inlineStr">
        <is>
          <t>South</t>
        </is>
      </c>
      <c r="F6" s="12" t="n">
        <v>46034</v>
      </c>
      <c r="G6" s="12" t="n">
        <v>46046</v>
      </c>
      <c r="H6" s="12" t="n">
        <v>46043</v>
      </c>
      <c r="I6" s="12" t="n">
        <v>46047</v>
      </c>
      <c r="J6" s="12" t="n">
        <v>46050</v>
      </c>
      <c r="K6" s="2" t="n">
        <v>737</v>
      </c>
      <c r="L6" s="2" t="inlineStr">
        <is>
          <t>Road</t>
        </is>
      </c>
      <c r="M6" s="2" t="inlineStr">
        <is>
          <t>Customer Change</t>
        </is>
      </c>
      <c r="N6" s="4">
        <f>IF(I6&lt;=H6,1,0)</f>
        <v/>
      </c>
      <c r="O6" s="4">
        <f>IF(J6&lt;=G6,1,0)</f>
        <v/>
      </c>
      <c r="P6" s="4">
        <f>MAX(0,I6-H6)</f>
        <v/>
      </c>
      <c r="Q6" s="4">
        <f>MAX(0,J6-G6)</f>
        <v/>
      </c>
      <c r="R6" s="4">
        <f>IF(AND(N6=1,O6=1),"On Track",IF(O6=0,"Customer Delivery Late","Ship Late"))</f>
        <v/>
      </c>
    </row>
    <row r="7">
      <c r="A7" s="2" t="inlineStr">
        <is>
          <t>ORD-00006</t>
        </is>
      </c>
      <c r="B7" s="2" t="inlineStr">
        <is>
          <t>Customer 09</t>
        </is>
      </c>
      <c r="C7" s="2" t="inlineStr">
        <is>
          <t>PLC</t>
        </is>
      </c>
      <c r="D7" s="2" t="inlineStr">
        <is>
          <t>Plant C</t>
        </is>
      </c>
      <c r="E7" s="2" t="inlineStr">
        <is>
          <t>South</t>
        </is>
      </c>
      <c r="F7" s="12" t="n">
        <v>46194</v>
      </c>
      <c r="G7" s="12" t="n">
        <v>46207</v>
      </c>
      <c r="H7" s="12" t="n">
        <v>46206</v>
      </c>
      <c r="I7" s="12" t="n">
        <v>46204</v>
      </c>
      <c r="J7" s="12" t="n">
        <v>46205</v>
      </c>
      <c r="K7" s="2" t="n">
        <v>124</v>
      </c>
      <c r="L7" s="2" t="inlineStr">
        <is>
          <t>Road</t>
        </is>
      </c>
      <c r="M7" s="2" t="inlineStr">
        <is>
          <t>No Delay</t>
        </is>
      </c>
      <c r="N7" s="4">
        <f>IF(I7&lt;=H7,1,0)</f>
        <v/>
      </c>
      <c r="O7" s="4">
        <f>IF(J7&lt;=G7,1,0)</f>
        <v/>
      </c>
      <c r="P7" s="4">
        <f>MAX(0,I7-H7)</f>
        <v/>
      </c>
      <c r="Q7" s="4">
        <f>MAX(0,J7-G7)</f>
        <v/>
      </c>
      <c r="R7" s="4">
        <f>IF(AND(N7=1,O7=1),"On Track",IF(O7=0,"Customer Delivery Late","Ship Late"))</f>
        <v/>
      </c>
    </row>
    <row r="8">
      <c r="A8" s="2" t="inlineStr">
        <is>
          <t>ORD-00007</t>
        </is>
      </c>
      <c r="B8" s="2" t="inlineStr">
        <is>
          <t>Customer 13</t>
        </is>
      </c>
      <c r="C8" s="2" t="inlineStr">
        <is>
          <t>Switchgear</t>
        </is>
      </c>
      <c r="D8" s="2" t="inlineStr">
        <is>
          <t>Plant A</t>
        </is>
      </c>
      <c r="E8" s="2" t="inlineStr">
        <is>
          <t>South</t>
        </is>
      </c>
      <c r="F8" s="12" t="n">
        <v>46031</v>
      </c>
      <c r="G8" s="12" t="n">
        <v>46046</v>
      </c>
      <c r="H8" s="12" t="n">
        <v>46042</v>
      </c>
      <c r="I8" s="12" t="n">
        <v>46040</v>
      </c>
      <c r="J8" s="12" t="n">
        <v>46044</v>
      </c>
      <c r="K8" s="2" t="n">
        <v>295</v>
      </c>
      <c r="L8" s="2" t="inlineStr">
        <is>
          <t>Road</t>
        </is>
      </c>
      <c r="M8" s="2" t="inlineStr">
        <is>
          <t>No Delay</t>
        </is>
      </c>
      <c r="N8" s="4">
        <f>IF(I8&lt;=H8,1,0)</f>
        <v/>
      </c>
      <c r="O8" s="4">
        <f>IF(J8&lt;=G8,1,0)</f>
        <v/>
      </c>
      <c r="P8" s="4">
        <f>MAX(0,I8-H8)</f>
        <v/>
      </c>
      <c r="Q8" s="4">
        <f>MAX(0,J8-G8)</f>
        <v/>
      </c>
      <c r="R8" s="4">
        <f>IF(AND(N8=1,O8=1),"On Track",IF(O8=0,"Customer Delivery Late","Ship Late"))</f>
        <v/>
      </c>
    </row>
    <row r="9">
      <c r="A9" s="2" t="inlineStr">
        <is>
          <t>ORD-00008</t>
        </is>
      </c>
      <c r="B9" s="2" t="inlineStr">
        <is>
          <t>Customer 05</t>
        </is>
      </c>
      <c r="C9" s="2" t="inlineStr">
        <is>
          <t>Switchgear</t>
        </is>
      </c>
      <c r="D9" s="2" t="inlineStr">
        <is>
          <t>Plant A</t>
        </is>
      </c>
      <c r="E9" s="2" t="inlineStr">
        <is>
          <t>North</t>
        </is>
      </c>
      <c r="F9" s="12" t="n">
        <v>46166</v>
      </c>
      <c r="G9" s="12" t="n">
        <v>46188</v>
      </c>
      <c r="H9" s="12" t="n">
        <v>46185</v>
      </c>
      <c r="I9" s="12" t="n">
        <v>46184</v>
      </c>
      <c r="J9" s="12" t="n">
        <v>46187</v>
      </c>
      <c r="K9" s="2" t="n">
        <v>234</v>
      </c>
      <c r="L9" s="2" t="inlineStr">
        <is>
          <t>Road</t>
        </is>
      </c>
      <c r="M9" s="2" t="inlineStr">
        <is>
          <t>No Delay</t>
        </is>
      </c>
      <c r="N9" s="4">
        <f>IF(I9&lt;=H9,1,0)</f>
        <v/>
      </c>
      <c r="O9" s="4">
        <f>IF(J9&lt;=G9,1,0)</f>
        <v/>
      </c>
      <c r="P9" s="4">
        <f>MAX(0,I9-H9)</f>
        <v/>
      </c>
      <c r="Q9" s="4">
        <f>MAX(0,J9-G9)</f>
        <v/>
      </c>
      <c r="R9" s="4">
        <f>IF(AND(N9=1,O9=1),"On Track",IF(O9=0,"Customer Delivery Late","Ship Late"))</f>
        <v/>
      </c>
    </row>
    <row r="10">
      <c r="A10" s="2" t="inlineStr">
        <is>
          <t>ORD-00009</t>
        </is>
      </c>
      <c r="B10" s="2" t="inlineStr">
        <is>
          <t>Customer 17</t>
        </is>
      </c>
      <c r="C10" s="2" t="inlineStr">
        <is>
          <t>Sensor</t>
        </is>
      </c>
      <c r="D10" s="2" t="inlineStr">
        <is>
          <t>Plant C</t>
        </is>
      </c>
      <c r="E10" s="2" t="inlineStr">
        <is>
          <t>North</t>
        </is>
      </c>
      <c r="F10" s="12" t="n">
        <v>46183</v>
      </c>
      <c r="G10" s="12" t="n">
        <v>46193</v>
      </c>
      <c r="H10" s="12" t="n">
        <v>46189</v>
      </c>
      <c r="I10" s="12" t="n">
        <v>46188</v>
      </c>
      <c r="J10" s="12" t="n">
        <v>46193</v>
      </c>
      <c r="K10" s="2" t="n">
        <v>1403</v>
      </c>
      <c r="L10" s="2" t="inlineStr">
        <is>
          <t>Sea</t>
        </is>
      </c>
      <c r="M10" s="2" t="inlineStr">
        <is>
          <t>No Delay</t>
        </is>
      </c>
      <c r="N10" s="4">
        <f>IF(I10&lt;=H10,1,0)</f>
        <v/>
      </c>
      <c r="O10" s="4">
        <f>IF(J10&lt;=G10,1,0)</f>
        <v/>
      </c>
      <c r="P10" s="4">
        <f>MAX(0,I10-H10)</f>
        <v/>
      </c>
      <c r="Q10" s="4">
        <f>MAX(0,J10-G10)</f>
        <v/>
      </c>
      <c r="R10" s="4">
        <f>IF(AND(N10=1,O10=1),"On Track",IF(O10=0,"Customer Delivery Late","Ship Late"))</f>
        <v/>
      </c>
    </row>
    <row r="11">
      <c r="A11" s="2" t="inlineStr">
        <is>
          <t>ORD-00010</t>
        </is>
      </c>
      <c r="B11" s="2" t="inlineStr">
        <is>
          <t>Customer 15</t>
        </is>
      </c>
      <c r="C11" s="2" t="inlineStr">
        <is>
          <t>Breaker</t>
        </is>
      </c>
      <c r="D11" s="2" t="inlineStr">
        <is>
          <t>Plant C</t>
        </is>
      </c>
      <c r="E11" s="2" t="inlineStr">
        <is>
          <t>South</t>
        </is>
      </c>
      <c r="F11" s="12" t="n">
        <v>46052</v>
      </c>
      <c r="G11" s="12" t="n">
        <v>46074</v>
      </c>
      <c r="H11" s="12" t="n">
        <v>46071</v>
      </c>
      <c r="I11" s="12" t="n">
        <v>46070</v>
      </c>
      <c r="J11" s="12" t="n">
        <v>46073</v>
      </c>
      <c r="K11" s="2" t="n">
        <v>1035</v>
      </c>
      <c r="L11" s="2" t="inlineStr">
        <is>
          <t>Road</t>
        </is>
      </c>
      <c r="M11" s="2" t="inlineStr">
        <is>
          <t>No Delay</t>
        </is>
      </c>
      <c r="N11" s="4">
        <f>IF(I11&lt;=H11,1,0)</f>
        <v/>
      </c>
      <c r="O11" s="4">
        <f>IF(J11&lt;=G11,1,0)</f>
        <v/>
      </c>
      <c r="P11" s="4">
        <f>MAX(0,I11-H11)</f>
        <v/>
      </c>
      <c r="Q11" s="4">
        <f>MAX(0,J11-G11)</f>
        <v/>
      </c>
      <c r="R11" s="4">
        <f>IF(AND(N11=1,O11=1),"On Track",IF(O11=0,"Customer Delivery Late","Ship Late"))</f>
        <v/>
      </c>
    </row>
    <row r="12">
      <c r="A12" s="2" t="inlineStr">
        <is>
          <t>ORD-00011</t>
        </is>
      </c>
      <c r="B12" s="2" t="inlineStr">
        <is>
          <t>Customer 06</t>
        </is>
      </c>
      <c r="C12" s="2" t="inlineStr">
        <is>
          <t>Breaker</t>
        </is>
      </c>
      <c r="D12" s="2" t="inlineStr">
        <is>
          <t>Plant C</t>
        </is>
      </c>
      <c r="E12" s="2" t="inlineStr">
        <is>
          <t>South</t>
        </is>
      </c>
      <c r="F12" s="12" t="n">
        <v>46152</v>
      </c>
      <c r="G12" s="12" t="n">
        <v>46160</v>
      </c>
      <c r="H12" s="12" t="n">
        <v>46157</v>
      </c>
      <c r="I12" s="12" t="n">
        <v>46157</v>
      </c>
      <c r="J12" s="12" t="n">
        <v>46160</v>
      </c>
      <c r="K12" s="2" t="n">
        <v>1010</v>
      </c>
      <c r="L12" s="2" t="inlineStr">
        <is>
          <t>Road</t>
        </is>
      </c>
      <c r="M12" s="2" t="inlineStr">
        <is>
          <t>No Delay</t>
        </is>
      </c>
      <c r="N12" s="4">
        <f>IF(I12&lt;=H12,1,0)</f>
        <v/>
      </c>
      <c r="O12" s="4">
        <f>IF(J12&lt;=G12,1,0)</f>
        <v/>
      </c>
      <c r="P12" s="4">
        <f>MAX(0,I12-H12)</f>
        <v/>
      </c>
      <c r="Q12" s="4">
        <f>MAX(0,J12-G12)</f>
        <v/>
      </c>
      <c r="R12" s="4">
        <f>IF(AND(N12=1,O12=1),"On Track",IF(O12=0,"Customer Delivery Late","Ship Late"))</f>
        <v/>
      </c>
    </row>
    <row r="13">
      <c r="A13" s="2" t="inlineStr">
        <is>
          <t>ORD-00012</t>
        </is>
      </c>
      <c r="B13" s="2" t="inlineStr">
        <is>
          <t>Customer 27</t>
        </is>
      </c>
      <c r="C13" s="2" t="inlineStr">
        <is>
          <t>Contactor</t>
        </is>
      </c>
      <c r="D13" s="2" t="inlineStr">
        <is>
          <t>Plant C</t>
        </is>
      </c>
      <c r="E13" s="2" t="inlineStr">
        <is>
          <t>Central</t>
        </is>
      </c>
      <c r="F13" s="12" t="n">
        <v>46051</v>
      </c>
      <c r="G13" s="12" t="n">
        <v>46067</v>
      </c>
      <c r="H13" s="12" t="n">
        <v>46064</v>
      </c>
      <c r="I13" s="12" t="n">
        <v>46062</v>
      </c>
      <c r="J13" s="12" t="n">
        <v>46064</v>
      </c>
      <c r="K13" s="2" t="n">
        <v>272</v>
      </c>
      <c r="L13" s="2" t="inlineStr">
        <is>
          <t>Sea</t>
        </is>
      </c>
      <c r="M13" s="2" t="inlineStr">
        <is>
          <t>No Delay</t>
        </is>
      </c>
      <c r="N13" s="4">
        <f>IF(I13&lt;=H13,1,0)</f>
        <v/>
      </c>
      <c r="O13" s="4">
        <f>IF(J13&lt;=G13,1,0)</f>
        <v/>
      </c>
      <c r="P13" s="4">
        <f>MAX(0,I13-H13)</f>
        <v/>
      </c>
      <c r="Q13" s="4">
        <f>MAX(0,J13-G13)</f>
        <v/>
      </c>
      <c r="R13" s="4">
        <f>IF(AND(N13=1,O13=1),"On Track",IF(O13=0,"Customer Delivery Late","Ship Late"))</f>
        <v/>
      </c>
    </row>
    <row r="14">
      <c r="A14" s="2" t="inlineStr">
        <is>
          <t>ORD-00013</t>
        </is>
      </c>
      <c r="B14" s="2" t="inlineStr">
        <is>
          <t>Customer 25</t>
        </is>
      </c>
      <c r="C14" s="2" t="inlineStr">
        <is>
          <t>PLC</t>
        </is>
      </c>
      <c r="D14" s="2" t="inlineStr">
        <is>
          <t>Plant C</t>
        </is>
      </c>
      <c r="E14" s="2" t="inlineStr">
        <is>
          <t>South</t>
        </is>
      </c>
      <c r="F14" s="12" t="n">
        <v>46144</v>
      </c>
      <c r="G14" s="12" t="n">
        <v>46166</v>
      </c>
      <c r="H14" s="12" t="n">
        <v>46164</v>
      </c>
      <c r="I14" s="12" t="n">
        <v>46164</v>
      </c>
      <c r="J14" s="12" t="n">
        <v>46166</v>
      </c>
      <c r="K14" s="2" t="n">
        <v>827</v>
      </c>
      <c r="L14" s="2" t="inlineStr">
        <is>
          <t>Sea</t>
        </is>
      </c>
      <c r="M14" s="2" t="inlineStr">
        <is>
          <t>No Delay</t>
        </is>
      </c>
      <c r="N14" s="4">
        <f>IF(I14&lt;=H14,1,0)</f>
        <v/>
      </c>
      <c r="O14" s="4">
        <f>IF(J14&lt;=G14,1,0)</f>
        <v/>
      </c>
      <c r="P14" s="4">
        <f>MAX(0,I14-H14)</f>
        <v/>
      </c>
      <c r="Q14" s="4">
        <f>MAX(0,J14-G14)</f>
        <v/>
      </c>
      <c r="R14" s="4">
        <f>IF(AND(N14=1,O14=1),"On Track",IF(O14=0,"Customer Delivery Late","Ship Late"))</f>
        <v/>
      </c>
    </row>
    <row r="15">
      <c r="A15" s="2" t="inlineStr">
        <is>
          <t>ORD-00014</t>
        </is>
      </c>
      <c r="B15" s="2" t="inlineStr">
        <is>
          <t>Customer 11</t>
        </is>
      </c>
      <c r="C15" s="2" t="inlineStr">
        <is>
          <t>Breaker</t>
        </is>
      </c>
      <c r="D15" s="2" t="inlineStr">
        <is>
          <t>Plant C</t>
        </is>
      </c>
      <c r="E15" s="2" t="inlineStr">
        <is>
          <t>Central</t>
        </is>
      </c>
      <c r="F15" s="12" t="n">
        <v>46189</v>
      </c>
      <c r="G15" s="12" t="n">
        <v>46205</v>
      </c>
      <c r="H15" s="12" t="n">
        <v>46201</v>
      </c>
      <c r="I15" s="12" t="n">
        <v>46200</v>
      </c>
      <c r="J15" s="12" t="n">
        <v>46204</v>
      </c>
      <c r="K15" s="2" t="n">
        <v>1215</v>
      </c>
      <c r="L15" s="2" t="inlineStr">
        <is>
          <t>Road</t>
        </is>
      </c>
      <c r="M15" s="2" t="inlineStr">
        <is>
          <t>No Delay</t>
        </is>
      </c>
      <c r="N15" s="4">
        <f>IF(I15&lt;=H15,1,0)</f>
        <v/>
      </c>
      <c r="O15" s="4">
        <f>IF(J15&lt;=G15,1,0)</f>
        <v/>
      </c>
      <c r="P15" s="4">
        <f>MAX(0,I15-H15)</f>
        <v/>
      </c>
      <c r="Q15" s="4">
        <f>MAX(0,J15-G15)</f>
        <v/>
      </c>
      <c r="R15" s="4">
        <f>IF(AND(N15=1,O15=1),"On Track",IF(O15=0,"Customer Delivery Late","Ship Late"))</f>
        <v/>
      </c>
    </row>
    <row r="16">
      <c r="A16" s="2" t="inlineStr">
        <is>
          <t>ORD-00015</t>
        </is>
      </c>
      <c r="B16" s="2" t="inlineStr">
        <is>
          <t>Customer 09</t>
        </is>
      </c>
      <c r="C16" s="2" t="inlineStr">
        <is>
          <t>Switchgear</t>
        </is>
      </c>
      <c r="D16" s="2" t="inlineStr">
        <is>
          <t>Plant A</t>
        </is>
      </c>
      <c r="E16" s="2" t="inlineStr">
        <is>
          <t>Central</t>
        </is>
      </c>
      <c r="F16" s="12" t="n">
        <v>46024</v>
      </c>
      <c r="G16" s="12" t="n">
        <v>46031</v>
      </c>
      <c r="H16" s="12" t="n">
        <v>46030</v>
      </c>
      <c r="I16" s="12" t="n">
        <v>46028</v>
      </c>
      <c r="J16" s="12" t="n">
        <v>46029</v>
      </c>
      <c r="K16" s="2" t="n">
        <v>1491</v>
      </c>
      <c r="L16" s="2" t="inlineStr">
        <is>
          <t>Sea</t>
        </is>
      </c>
      <c r="M16" s="2" t="inlineStr">
        <is>
          <t>No Delay</t>
        </is>
      </c>
      <c r="N16" s="4">
        <f>IF(I16&lt;=H16,1,0)</f>
        <v/>
      </c>
      <c r="O16" s="4">
        <f>IF(J16&lt;=G16,1,0)</f>
        <v/>
      </c>
      <c r="P16" s="4">
        <f>MAX(0,I16-H16)</f>
        <v/>
      </c>
      <c r="Q16" s="4">
        <f>MAX(0,J16-G16)</f>
        <v/>
      </c>
      <c r="R16" s="4">
        <f>IF(AND(N16=1,O16=1),"On Track",IF(O16=0,"Customer Delivery Late","Ship Late"))</f>
        <v/>
      </c>
    </row>
    <row r="17">
      <c r="A17" s="2" t="inlineStr">
        <is>
          <t>ORD-00016</t>
        </is>
      </c>
      <c r="B17" s="2" t="inlineStr">
        <is>
          <t>Customer 14</t>
        </is>
      </c>
      <c r="C17" s="2" t="inlineStr">
        <is>
          <t>Drive</t>
        </is>
      </c>
      <c r="D17" s="2" t="inlineStr">
        <is>
          <t>Plant B</t>
        </is>
      </c>
      <c r="E17" s="2" t="inlineStr">
        <is>
          <t>Export</t>
        </is>
      </c>
      <c r="F17" s="12" t="n">
        <v>46170</v>
      </c>
      <c r="G17" s="12" t="n">
        <v>46190</v>
      </c>
      <c r="H17" s="12" t="n">
        <v>46188</v>
      </c>
      <c r="I17" s="12" t="n">
        <v>46187</v>
      </c>
      <c r="J17" s="12" t="n">
        <v>46188</v>
      </c>
      <c r="K17" s="2" t="n">
        <v>966</v>
      </c>
      <c r="L17" s="2" t="inlineStr">
        <is>
          <t>Sea</t>
        </is>
      </c>
      <c r="M17" s="2" t="inlineStr">
        <is>
          <t>No Delay</t>
        </is>
      </c>
      <c r="N17" s="4">
        <f>IF(I17&lt;=H17,1,0)</f>
        <v/>
      </c>
      <c r="O17" s="4">
        <f>IF(J17&lt;=G17,1,0)</f>
        <v/>
      </c>
      <c r="P17" s="4">
        <f>MAX(0,I17-H17)</f>
        <v/>
      </c>
      <c r="Q17" s="4">
        <f>MAX(0,J17-G17)</f>
        <v/>
      </c>
      <c r="R17" s="4">
        <f>IF(AND(N17=1,O17=1),"On Track",IF(O17=0,"Customer Delivery Late","Ship Late"))</f>
        <v/>
      </c>
    </row>
    <row r="18">
      <c r="A18" s="2" t="inlineStr">
        <is>
          <t>ORD-00017</t>
        </is>
      </c>
      <c r="B18" s="2" t="inlineStr">
        <is>
          <t>Customer 07</t>
        </is>
      </c>
      <c r="C18" s="2" t="inlineStr">
        <is>
          <t>Switchgear</t>
        </is>
      </c>
      <c r="D18" s="2" t="inlineStr">
        <is>
          <t>Plant A</t>
        </is>
      </c>
      <c r="E18" s="2" t="inlineStr">
        <is>
          <t>Export</t>
        </is>
      </c>
      <c r="F18" s="12" t="n">
        <v>46036</v>
      </c>
      <c r="G18" s="12" t="n">
        <v>46061</v>
      </c>
      <c r="H18" s="12" t="n">
        <v>46060</v>
      </c>
      <c r="I18" s="12" t="n">
        <v>46060</v>
      </c>
      <c r="J18" s="12" t="n">
        <v>46061</v>
      </c>
      <c r="K18" s="2" t="n">
        <v>385</v>
      </c>
      <c r="L18" s="2" t="inlineStr">
        <is>
          <t>Air</t>
        </is>
      </c>
      <c r="M18" s="2" t="inlineStr">
        <is>
          <t>No Delay</t>
        </is>
      </c>
      <c r="N18" s="4">
        <f>IF(I18&lt;=H18,1,0)</f>
        <v/>
      </c>
      <c r="O18" s="4">
        <f>IF(J18&lt;=G18,1,0)</f>
        <v/>
      </c>
      <c r="P18" s="4">
        <f>MAX(0,I18-H18)</f>
        <v/>
      </c>
      <c r="Q18" s="4">
        <f>MAX(0,J18-G18)</f>
        <v/>
      </c>
      <c r="R18" s="4">
        <f>IF(AND(N18=1,O18=1),"On Track",IF(O18=0,"Customer Delivery Late","Ship Late"))</f>
        <v/>
      </c>
    </row>
    <row r="19">
      <c r="A19" s="2" t="inlineStr">
        <is>
          <t>ORD-00018</t>
        </is>
      </c>
      <c r="B19" s="2" t="inlineStr">
        <is>
          <t>Customer 18</t>
        </is>
      </c>
      <c r="C19" s="2" t="inlineStr">
        <is>
          <t>Breaker</t>
        </is>
      </c>
      <c r="D19" s="2" t="inlineStr">
        <is>
          <t>Plant A</t>
        </is>
      </c>
      <c r="E19" s="2" t="inlineStr">
        <is>
          <t>Central</t>
        </is>
      </c>
      <c r="F19" s="12" t="n">
        <v>46141</v>
      </c>
      <c r="G19" s="12" t="n">
        <v>46153</v>
      </c>
      <c r="H19" s="12" t="n">
        <v>46152</v>
      </c>
      <c r="I19" s="12" t="n">
        <v>46152</v>
      </c>
      <c r="J19" s="12" t="n">
        <v>46153</v>
      </c>
      <c r="K19" s="2" t="n">
        <v>350</v>
      </c>
      <c r="L19" s="2" t="inlineStr">
        <is>
          <t>Air</t>
        </is>
      </c>
      <c r="M19" s="2" t="inlineStr">
        <is>
          <t>No Delay</t>
        </is>
      </c>
      <c r="N19" s="4">
        <f>IF(I19&lt;=H19,1,0)</f>
        <v/>
      </c>
      <c r="O19" s="4">
        <f>IF(J19&lt;=G19,1,0)</f>
        <v/>
      </c>
      <c r="P19" s="4">
        <f>MAX(0,I19-H19)</f>
        <v/>
      </c>
      <c r="Q19" s="4">
        <f>MAX(0,J19-G19)</f>
        <v/>
      </c>
      <c r="R19" s="4">
        <f>IF(AND(N19=1,O19=1),"On Track",IF(O19=0,"Customer Delivery Late","Ship Late"))</f>
        <v/>
      </c>
    </row>
    <row r="20">
      <c r="A20" s="2" t="inlineStr">
        <is>
          <t>ORD-00019</t>
        </is>
      </c>
      <c r="B20" s="2" t="inlineStr">
        <is>
          <t>Customer 30</t>
        </is>
      </c>
      <c r="C20" s="2" t="inlineStr">
        <is>
          <t>Switchgear</t>
        </is>
      </c>
      <c r="D20" s="2" t="inlineStr">
        <is>
          <t>Plant B</t>
        </is>
      </c>
      <c r="E20" s="2" t="inlineStr">
        <is>
          <t>Export</t>
        </is>
      </c>
      <c r="F20" s="12" t="n">
        <v>46147</v>
      </c>
      <c r="G20" s="12" t="n">
        <v>46167</v>
      </c>
      <c r="H20" s="12" t="n">
        <v>46165</v>
      </c>
      <c r="I20" s="12" t="n">
        <v>46163</v>
      </c>
      <c r="J20" s="12" t="n">
        <v>46171</v>
      </c>
      <c r="K20" s="2" t="n">
        <v>1436</v>
      </c>
      <c r="L20" s="2" t="inlineStr">
        <is>
          <t>Sea</t>
        </is>
      </c>
      <c r="M20" s="2" t="inlineStr">
        <is>
          <t>Carrier Delay</t>
        </is>
      </c>
      <c r="N20" s="4">
        <f>IF(I20&lt;=H20,1,0)</f>
        <v/>
      </c>
      <c r="O20" s="4">
        <f>IF(J20&lt;=G20,1,0)</f>
        <v/>
      </c>
      <c r="P20" s="4">
        <f>MAX(0,I20-H20)</f>
        <v/>
      </c>
      <c r="Q20" s="4">
        <f>MAX(0,J20-G20)</f>
        <v/>
      </c>
      <c r="R20" s="4">
        <f>IF(AND(N20=1,O20=1),"On Track",IF(O20=0,"Customer Delivery Late","Ship Late"))</f>
        <v/>
      </c>
    </row>
    <row r="21">
      <c r="A21" s="2" t="inlineStr">
        <is>
          <t>ORD-00020</t>
        </is>
      </c>
      <c r="B21" s="2" t="inlineStr">
        <is>
          <t>Customer 02</t>
        </is>
      </c>
      <c r="C21" s="2" t="inlineStr">
        <is>
          <t>Drive</t>
        </is>
      </c>
      <c r="D21" s="2" t="inlineStr">
        <is>
          <t>Plant A</t>
        </is>
      </c>
      <c r="E21" s="2" t="inlineStr">
        <is>
          <t>North</t>
        </is>
      </c>
      <c r="F21" s="12" t="n">
        <v>46165</v>
      </c>
      <c r="G21" s="12" t="n">
        <v>46185</v>
      </c>
      <c r="H21" s="12" t="n">
        <v>46183</v>
      </c>
      <c r="I21" s="12" t="n">
        <v>46181</v>
      </c>
      <c r="J21" s="12" t="n">
        <v>46184</v>
      </c>
      <c r="K21" s="2" t="n">
        <v>1206</v>
      </c>
      <c r="L21" s="2" t="inlineStr">
        <is>
          <t>Air</t>
        </is>
      </c>
      <c r="M21" s="2" t="inlineStr">
        <is>
          <t>No Delay</t>
        </is>
      </c>
      <c r="N21" s="4">
        <f>IF(I21&lt;=H21,1,0)</f>
        <v/>
      </c>
      <c r="O21" s="4">
        <f>IF(J21&lt;=G21,1,0)</f>
        <v/>
      </c>
      <c r="P21" s="4">
        <f>MAX(0,I21-H21)</f>
        <v/>
      </c>
      <c r="Q21" s="4">
        <f>MAX(0,J21-G21)</f>
        <v/>
      </c>
      <c r="R21" s="4">
        <f>IF(AND(N21=1,O21=1),"On Track",IF(O21=0,"Customer Delivery Late","Ship Late"))</f>
        <v/>
      </c>
    </row>
    <row r="22">
      <c r="A22" s="2" t="inlineStr">
        <is>
          <t>ORD-00021</t>
        </is>
      </c>
      <c r="B22" s="2" t="inlineStr">
        <is>
          <t>Customer 03</t>
        </is>
      </c>
      <c r="C22" s="2" t="inlineStr">
        <is>
          <t>PLC</t>
        </is>
      </c>
      <c r="D22" s="2" t="inlineStr">
        <is>
          <t>Plant B</t>
        </is>
      </c>
      <c r="E22" s="2" t="inlineStr">
        <is>
          <t>North</t>
        </is>
      </c>
      <c r="F22" s="12" t="n">
        <v>46151</v>
      </c>
      <c r="G22" s="12" t="n">
        <v>46172</v>
      </c>
      <c r="H22" s="12" t="n">
        <v>46170</v>
      </c>
      <c r="I22" s="12" t="n">
        <v>46170</v>
      </c>
      <c r="J22" s="12" t="n">
        <v>46172</v>
      </c>
      <c r="K22" s="2" t="n">
        <v>1176</v>
      </c>
      <c r="L22" s="2" t="inlineStr">
        <is>
          <t>Road</t>
        </is>
      </c>
      <c r="M22" s="2" t="inlineStr">
        <is>
          <t>No Delay</t>
        </is>
      </c>
      <c r="N22" s="4">
        <f>IF(I22&lt;=H22,1,0)</f>
        <v/>
      </c>
      <c r="O22" s="4">
        <f>IF(J22&lt;=G22,1,0)</f>
        <v/>
      </c>
      <c r="P22" s="4">
        <f>MAX(0,I22-H22)</f>
        <v/>
      </c>
      <c r="Q22" s="4">
        <f>MAX(0,J22-G22)</f>
        <v/>
      </c>
      <c r="R22" s="4">
        <f>IF(AND(N22=1,O22=1),"On Track",IF(O22=0,"Customer Delivery Late","Ship Late"))</f>
        <v/>
      </c>
    </row>
    <row r="23">
      <c r="A23" s="2" t="inlineStr">
        <is>
          <t>ORD-00022</t>
        </is>
      </c>
      <c r="B23" s="2" t="inlineStr">
        <is>
          <t>Customer 23</t>
        </is>
      </c>
      <c r="C23" s="2" t="inlineStr">
        <is>
          <t>Drive</t>
        </is>
      </c>
      <c r="D23" s="2" t="inlineStr">
        <is>
          <t>Plant A</t>
        </is>
      </c>
      <c r="E23" s="2" t="inlineStr">
        <is>
          <t>South</t>
        </is>
      </c>
      <c r="F23" s="12" t="n">
        <v>46171</v>
      </c>
      <c r="G23" s="12" t="n">
        <v>46195</v>
      </c>
      <c r="H23" s="12" t="n">
        <v>46194</v>
      </c>
      <c r="I23" s="12" t="n">
        <v>46193</v>
      </c>
      <c r="J23" s="12" t="n">
        <v>46194</v>
      </c>
      <c r="K23" s="2" t="n">
        <v>820</v>
      </c>
      <c r="L23" s="2" t="inlineStr">
        <is>
          <t>Road</t>
        </is>
      </c>
      <c r="M23" s="2" t="inlineStr">
        <is>
          <t>No Delay</t>
        </is>
      </c>
      <c r="N23" s="4">
        <f>IF(I23&lt;=H23,1,0)</f>
        <v/>
      </c>
      <c r="O23" s="4">
        <f>IF(J23&lt;=G23,1,0)</f>
        <v/>
      </c>
      <c r="P23" s="4">
        <f>MAX(0,I23-H23)</f>
        <v/>
      </c>
      <c r="Q23" s="4">
        <f>MAX(0,J23-G23)</f>
        <v/>
      </c>
      <c r="R23" s="4">
        <f>IF(AND(N23=1,O23=1),"On Track",IF(O23=0,"Customer Delivery Late","Ship Late"))</f>
        <v/>
      </c>
    </row>
    <row r="24">
      <c r="A24" s="2" t="inlineStr">
        <is>
          <t>ORD-00023</t>
        </is>
      </c>
      <c r="B24" s="2" t="inlineStr">
        <is>
          <t>Customer 19</t>
        </is>
      </c>
      <c r="C24" s="2" t="inlineStr">
        <is>
          <t>Contactor</t>
        </is>
      </c>
      <c r="D24" s="2" t="inlineStr">
        <is>
          <t>Plant A</t>
        </is>
      </c>
      <c r="E24" s="2" t="inlineStr">
        <is>
          <t>Central</t>
        </is>
      </c>
      <c r="F24" s="12" t="n">
        <v>46194</v>
      </c>
      <c r="G24" s="12" t="n">
        <v>46219</v>
      </c>
      <c r="H24" s="12" t="n">
        <v>46216</v>
      </c>
      <c r="I24" s="12" t="n">
        <v>46214</v>
      </c>
      <c r="J24" s="12" t="n">
        <v>46217</v>
      </c>
      <c r="K24" s="2" t="n">
        <v>1046</v>
      </c>
      <c r="L24" s="2" t="inlineStr">
        <is>
          <t>Air</t>
        </is>
      </c>
      <c r="M24" s="2" t="inlineStr">
        <is>
          <t>No Delay</t>
        </is>
      </c>
      <c r="N24" s="4">
        <f>IF(I24&lt;=H24,1,0)</f>
        <v/>
      </c>
      <c r="O24" s="4">
        <f>IF(J24&lt;=G24,1,0)</f>
        <v/>
      </c>
      <c r="P24" s="4">
        <f>MAX(0,I24-H24)</f>
        <v/>
      </c>
      <c r="Q24" s="4">
        <f>MAX(0,J24-G24)</f>
        <v/>
      </c>
      <c r="R24" s="4">
        <f>IF(AND(N24=1,O24=1),"On Track",IF(O24=0,"Customer Delivery Late","Ship Late"))</f>
        <v/>
      </c>
    </row>
    <row r="25">
      <c r="A25" s="2" t="inlineStr">
        <is>
          <t>ORD-00024</t>
        </is>
      </c>
      <c r="B25" s="2" t="inlineStr">
        <is>
          <t>Customer 18</t>
        </is>
      </c>
      <c r="C25" s="2" t="inlineStr">
        <is>
          <t>Sensor</t>
        </is>
      </c>
      <c r="D25" s="2" t="inlineStr">
        <is>
          <t>Plant C</t>
        </is>
      </c>
      <c r="E25" s="2" t="inlineStr">
        <is>
          <t>North</t>
        </is>
      </c>
      <c r="F25" s="12" t="n">
        <v>46056</v>
      </c>
      <c r="G25" s="12" t="n">
        <v>46072</v>
      </c>
      <c r="H25" s="12" t="n">
        <v>46071</v>
      </c>
      <c r="I25" s="12" t="n">
        <v>46070</v>
      </c>
      <c r="J25" s="12" t="n">
        <v>46071</v>
      </c>
      <c r="K25" s="2" t="n">
        <v>1377</v>
      </c>
      <c r="L25" s="2" t="inlineStr">
        <is>
          <t>Sea</t>
        </is>
      </c>
      <c r="M25" s="2" t="inlineStr">
        <is>
          <t>No Delay</t>
        </is>
      </c>
      <c r="N25" s="4">
        <f>IF(I25&lt;=H25,1,0)</f>
        <v/>
      </c>
      <c r="O25" s="4">
        <f>IF(J25&lt;=G25,1,0)</f>
        <v/>
      </c>
      <c r="P25" s="4">
        <f>MAX(0,I25-H25)</f>
        <v/>
      </c>
      <c r="Q25" s="4">
        <f>MAX(0,J25-G25)</f>
        <v/>
      </c>
      <c r="R25" s="4">
        <f>IF(AND(N25=1,O25=1),"On Track",IF(O25=0,"Customer Delivery Late","Ship Late"))</f>
        <v/>
      </c>
    </row>
    <row r="26">
      <c r="A26" s="2" t="inlineStr">
        <is>
          <t>ORD-00025</t>
        </is>
      </c>
      <c r="B26" s="2" t="inlineStr">
        <is>
          <t>Customer 07</t>
        </is>
      </c>
      <c r="C26" s="2" t="inlineStr">
        <is>
          <t>Drive</t>
        </is>
      </c>
      <c r="D26" s="2" t="inlineStr">
        <is>
          <t>Plant A</t>
        </is>
      </c>
      <c r="E26" s="2" t="inlineStr">
        <is>
          <t>South</t>
        </is>
      </c>
      <c r="F26" s="12" t="n">
        <v>46099</v>
      </c>
      <c r="G26" s="12" t="n">
        <v>46107</v>
      </c>
      <c r="H26" s="12" t="n">
        <v>46105</v>
      </c>
      <c r="I26" s="12" t="n">
        <v>46103</v>
      </c>
      <c r="J26" s="12" t="n">
        <v>46105</v>
      </c>
      <c r="K26" s="2" t="n">
        <v>1045</v>
      </c>
      <c r="L26" s="2" t="inlineStr">
        <is>
          <t>Air</t>
        </is>
      </c>
      <c r="M26" s="2" t="inlineStr">
        <is>
          <t>No Delay</t>
        </is>
      </c>
      <c r="N26" s="4">
        <f>IF(I26&lt;=H26,1,0)</f>
        <v/>
      </c>
      <c r="O26" s="4">
        <f>IF(J26&lt;=G26,1,0)</f>
        <v/>
      </c>
      <c r="P26" s="4">
        <f>MAX(0,I26-H26)</f>
        <v/>
      </c>
      <c r="Q26" s="4">
        <f>MAX(0,J26-G26)</f>
        <v/>
      </c>
      <c r="R26" s="4">
        <f>IF(AND(N26=1,O26=1),"On Track",IF(O26=0,"Customer Delivery Late","Ship Late"))</f>
        <v/>
      </c>
    </row>
    <row r="27">
      <c r="A27" s="2" t="inlineStr">
        <is>
          <t>ORD-00026</t>
        </is>
      </c>
      <c r="B27" s="2" t="inlineStr">
        <is>
          <t>Customer 05</t>
        </is>
      </c>
      <c r="C27" s="2" t="inlineStr">
        <is>
          <t>Sensor</t>
        </is>
      </c>
      <c r="D27" s="2" t="inlineStr">
        <is>
          <t>Plant A</t>
        </is>
      </c>
      <c r="E27" s="2" t="inlineStr">
        <is>
          <t>Export</t>
        </is>
      </c>
      <c r="F27" s="12" t="n">
        <v>46087</v>
      </c>
      <c r="G27" s="12" t="n">
        <v>46093</v>
      </c>
      <c r="H27" s="12" t="n">
        <v>46092</v>
      </c>
      <c r="I27" s="12" t="n">
        <v>46091</v>
      </c>
      <c r="J27" s="12" t="n">
        <v>46092</v>
      </c>
      <c r="K27" s="2" t="n">
        <v>1139</v>
      </c>
      <c r="L27" s="2" t="inlineStr">
        <is>
          <t>Sea</t>
        </is>
      </c>
      <c r="M27" s="2" t="inlineStr">
        <is>
          <t>No Delay</t>
        </is>
      </c>
      <c r="N27" s="4">
        <f>IF(I27&lt;=H27,1,0)</f>
        <v/>
      </c>
      <c r="O27" s="4">
        <f>IF(J27&lt;=G27,1,0)</f>
        <v/>
      </c>
      <c r="P27" s="4">
        <f>MAX(0,I27-H27)</f>
        <v/>
      </c>
      <c r="Q27" s="4">
        <f>MAX(0,J27-G27)</f>
        <v/>
      </c>
      <c r="R27" s="4">
        <f>IF(AND(N27=1,O27=1),"On Track",IF(O27=0,"Customer Delivery Late","Ship Late"))</f>
        <v/>
      </c>
    </row>
    <row r="28">
      <c r="A28" s="2" t="inlineStr">
        <is>
          <t>ORD-00027</t>
        </is>
      </c>
      <c r="B28" s="2" t="inlineStr">
        <is>
          <t>Customer 19</t>
        </is>
      </c>
      <c r="C28" s="2" t="inlineStr">
        <is>
          <t>Relay</t>
        </is>
      </c>
      <c r="D28" s="2" t="inlineStr">
        <is>
          <t>Plant B</t>
        </is>
      </c>
      <c r="E28" s="2" t="inlineStr">
        <is>
          <t>Central</t>
        </is>
      </c>
      <c r="F28" s="12" t="n">
        <v>46132</v>
      </c>
      <c r="G28" s="12" t="n">
        <v>46154</v>
      </c>
      <c r="H28" s="12" t="n">
        <v>46153</v>
      </c>
      <c r="I28" s="12" t="n">
        <v>46153</v>
      </c>
      <c r="J28" s="12" t="n">
        <v>46155</v>
      </c>
      <c r="K28" s="2" t="n">
        <v>95</v>
      </c>
      <c r="L28" s="2" t="inlineStr">
        <is>
          <t>Air</t>
        </is>
      </c>
      <c r="M28" s="2" t="inlineStr">
        <is>
          <t>Carrier Delay</t>
        </is>
      </c>
      <c r="N28" s="4">
        <f>IF(I28&lt;=H28,1,0)</f>
        <v/>
      </c>
      <c r="O28" s="4">
        <f>IF(J28&lt;=G28,1,0)</f>
        <v/>
      </c>
      <c r="P28" s="4">
        <f>MAX(0,I28-H28)</f>
        <v/>
      </c>
      <c r="Q28" s="4">
        <f>MAX(0,J28-G28)</f>
        <v/>
      </c>
      <c r="R28" s="4">
        <f>IF(AND(N28=1,O28=1),"On Track",IF(O28=0,"Customer Delivery Late","Ship Late"))</f>
        <v/>
      </c>
    </row>
    <row r="29">
      <c r="A29" s="2" t="inlineStr">
        <is>
          <t>ORD-00028</t>
        </is>
      </c>
      <c r="B29" s="2" t="inlineStr">
        <is>
          <t>Customer 29</t>
        </is>
      </c>
      <c r="C29" s="2" t="inlineStr">
        <is>
          <t>Power Supply</t>
        </is>
      </c>
      <c r="D29" s="2" t="inlineStr">
        <is>
          <t>Plant C</t>
        </is>
      </c>
      <c r="E29" s="2" t="inlineStr">
        <is>
          <t>Central</t>
        </is>
      </c>
      <c r="F29" s="12" t="n">
        <v>46116</v>
      </c>
      <c r="G29" s="12" t="n">
        <v>46122</v>
      </c>
      <c r="H29" s="12" t="n">
        <v>46119</v>
      </c>
      <c r="I29" s="12" t="n">
        <v>46117</v>
      </c>
      <c r="J29" s="12" t="n">
        <v>46120</v>
      </c>
      <c r="K29" s="2" t="n">
        <v>494</v>
      </c>
      <c r="L29" s="2" t="inlineStr">
        <is>
          <t>Road</t>
        </is>
      </c>
      <c r="M29" s="2" t="inlineStr">
        <is>
          <t>No Delay</t>
        </is>
      </c>
      <c r="N29" s="4">
        <f>IF(I29&lt;=H29,1,0)</f>
        <v/>
      </c>
      <c r="O29" s="4">
        <f>IF(J29&lt;=G29,1,0)</f>
        <v/>
      </c>
      <c r="P29" s="4">
        <f>MAX(0,I29-H29)</f>
        <v/>
      </c>
      <c r="Q29" s="4">
        <f>MAX(0,J29-G29)</f>
        <v/>
      </c>
      <c r="R29" s="4">
        <f>IF(AND(N29=1,O29=1),"On Track",IF(O29=0,"Customer Delivery Late","Ship Late"))</f>
        <v/>
      </c>
    </row>
    <row r="30">
      <c r="A30" s="2" t="inlineStr">
        <is>
          <t>ORD-00029</t>
        </is>
      </c>
      <c r="B30" s="2" t="inlineStr">
        <is>
          <t>Customer 26</t>
        </is>
      </c>
      <c r="C30" s="2" t="inlineStr">
        <is>
          <t>Contactor</t>
        </is>
      </c>
      <c r="D30" s="2" t="inlineStr">
        <is>
          <t>Plant B</t>
        </is>
      </c>
      <c r="E30" s="2" t="inlineStr">
        <is>
          <t>North</t>
        </is>
      </c>
      <c r="F30" s="12" t="n">
        <v>46068</v>
      </c>
      <c r="G30" s="12" t="n">
        <v>46086</v>
      </c>
      <c r="H30" s="12" t="n">
        <v>46085</v>
      </c>
      <c r="I30" s="12" t="n">
        <v>46084</v>
      </c>
      <c r="J30" s="12" t="n">
        <v>46085</v>
      </c>
      <c r="K30" s="2" t="n">
        <v>973</v>
      </c>
      <c r="L30" s="2" t="inlineStr">
        <is>
          <t>Road</t>
        </is>
      </c>
      <c r="M30" s="2" t="inlineStr">
        <is>
          <t>No Delay</t>
        </is>
      </c>
      <c r="N30" s="4">
        <f>IF(I30&lt;=H30,1,0)</f>
        <v/>
      </c>
      <c r="O30" s="4">
        <f>IF(J30&lt;=G30,1,0)</f>
        <v/>
      </c>
      <c r="P30" s="4">
        <f>MAX(0,I30-H30)</f>
        <v/>
      </c>
      <c r="Q30" s="4">
        <f>MAX(0,J30-G30)</f>
        <v/>
      </c>
      <c r="R30" s="4">
        <f>IF(AND(N30=1,O30=1),"On Track",IF(O30=0,"Customer Delivery Late","Ship Late"))</f>
        <v/>
      </c>
    </row>
    <row r="31">
      <c r="A31" s="2" t="inlineStr">
        <is>
          <t>ORD-00030</t>
        </is>
      </c>
      <c r="B31" s="2" t="inlineStr">
        <is>
          <t>Customer 13</t>
        </is>
      </c>
      <c r="C31" s="2" t="inlineStr">
        <is>
          <t>Drive</t>
        </is>
      </c>
      <c r="D31" s="2" t="inlineStr">
        <is>
          <t>Plant B</t>
        </is>
      </c>
      <c r="E31" s="2" t="inlineStr">
        <is>
          <t>North</t>
        </is>
      </c>
      <c r="F31" s="12" t="n">
        <v>46074</v>
      </c>
      <c r="G31" s="12" t="n">
        <v>46093</v>
      </c>
      <c r="H31" s="12" t="n">
        <v>46090</v>
      </c>
      <c r="I31" s="12" t="n">
        <v>46088</v>
      </c>
      <c r="J31" s="12" t="n">
        <v>46090</v>
      </c>
      <c r="K31" s="2" t="n">
        <v>581</v>
      </c>
      <c r="L31" s="2" t="inlineStr">
        <is>
          <t>Air</t>
        </is>
      </c>
      <c r="M31" s="2" t="inlineStr">
        <is>
          <t>No Delay</t>
        </is>
      </c>
      <c r="N31" s="4">
        <f>IF(I31&lt;=H31,1,0)</f>
        <v/>
      </c>
      <c r="O31" s="4">
        <f>IF(J31&lt;=G31,1,0)</f>
        <v/>
      </c>
      <c r="P31" s="4">
        <f>MAX(0,I31-H31)</f>
        <v/>
      </c>
      <c r="Q31" s="4">
        <f>MAX(0,J31-G31)</f>
        <v/>
      </c>
      <c r="R31" s="4">
        <f>IF(AND(N31=1,O31=1),"On Track",IF(O31=0,"Customer Delivery Late","Ship Late"))</f>
        <v/>
      </c>
    </row>
    <row r="32">
      <c r="A32" s="2" t="inlineStr">
        <is>
          <t>ORD-00031</t>
        </is>
      </c>
      <c r="B32" s="2" t="inlineStr">
        <is>
          <t>Customer 09</t>
        </is>
      </c>
      <c r="C32" s="2" t="inlineStr">
        <is>
          <t>Relay</t>
        </is>
      </c>
      <c r="D32" s="2" t="inlineStr">
        <is>
          <t>Plant C</t>
        </is>
      </c>
      <c r="E32" s="2" t="inlineStr">
        <is>
          <t>South</t>
        </is>
      </c>
      <c r="F32" s="12" t="n">
        <v>46187</v>
      </c>
      <c r="G32" s="12" t="n">
        <v>46208</v>
      </c>
      <c r="H32" s="12" t="n">
        <v>46204</v>
      </c>
      <c r="I32" s="12" t="n">
        <v>46204</v>
      </c>
      <c r="J32" s="12" t="n">
        <v>46207</v>
      </c>
      <c r="K32" s="2" t="n">
        <v>88</v>
      </c>
      <c r="L32" s="2" t="inlineStr">
        <is>
          <t>Road</t>
        </is>
      </c>
      <c r="M32" s="2" t="inlineStr">
        <is>
          <t>No Delay</t>
        </is>
      </c>
      <c r="N32" s="4">
        <f>IF(I32&lt;=H32,1,0)</f>
        <v/>
      </c>
      <c r="O32" s="4">
        <f>IF(J32&lt;=G32,1,0)</f>
        <v/>
      </c>
      <c r="P32" s="4">
        <f>MAX(0,I32-H32)</f>
        <v/>
      </c>
      <c r="Q32" s="4">
        <f>MAX(0,J32-G32)</f>
        <v/>
      </c>
      <c r="R32" s="4">
        <f>IF(AND(N32=1,O32=1),"On Track",IF(O32=0,"Customer Delivery Late","Ship Late"))</f>
        <v/>
      </c>
    </row>
    <row r="33">
      <c r="A33" s="2" t="inlineStr">
        <is>
          <t>ORD-00032</t>
        </is>
      </c>
      <c r="B33" s="2" t="inlineStr">
        <is>
          <t>Customer 04</t>
        </is>
      </c>
      <c r="C33" s="2" t="inlineStr">
        <is>
          <t>Power Supply</t>
        </is>
      </c>
      <c r="D33" s="2" t="inlineStr">
        <is>
          <t>Plant C</t>
        </is>
      </c>
      <c r="E33" s="2" t="inlineStr">
        <is>
          <t>Central</t>
        </is>
      </c>
      <c r="F33" s="12" t="n">
        <v>46175</v>
      </c>
      <c r="G33" s="12" t="n">
        <v>46193</v>
      </c>
      <c r="H33" s="12" t="n">
        <v>46190</v>
      </c>
      <c r="I33" s="12" t="n">
        <v>46189</v>
      </c>
      <c r="J33" s="12" t="n">
        <v>46193</v>
      </c>
      <c r="K33" s="2" t="n">
        <v>531</v>
      </c>
      <c r="L33" s="2" t="inlineStr">
        <is>
          <t>Road</t>
        </is>
      </c>
      <c r="M33" s="2" t="inlineStr">
        <is>
          <t>No Delay</t>
        </is>
      </c>
      <c r="N33" s="4">
        <f>IF(I33&lt;=H33,1,0)</f>
        <v/>
      </c>
      <c r="O33" s="4">
        <f>IF(J33&lt;=G33,1,0)</f>
        <v/>
      </c>
      <c r="P33" s="4">
        <f>MAX(0,I33-H33)</f>
        <v/>
      </c>
      <c r="Q33" s="4">
        <f>MAX(0,J33-G33)</f>
        <v/>
      </c>
      <c r="R33" s="4">
        <f>IF(AND(N33=1,O33=1),"On Track",IF(O33=0,"Customer Delivery Late","Ship Late"))</f>
        <v/>
      </c>
    </row>
    <row r="34">
      <c r="A34" s="2" t="inlineStr">
        <is>
          <t>ORD-00033</t>
        </is>
      </c>
      <c r="B34" s="2" t="inlineStr">
        <is>
          <t>Customer 22</t>
        </is>
      </c>
      <c r="C34" s="2" t="inlineStr">
        <is>
          <t>Drive</t>
        </is>
      </c>
      <c r="D34" s="2" t="inlineStr">
        <is>
          <t>Plant C</t>
        </is>
      </c>
      <c r="E34" s="2" t="inlineStr">
        <is>
          <t>South</t>
        </is>
      </c>
      <c r="F34" s="12" t="n">
        <v>46134</v>
      </c>
      <c r="G34" s="12" t="n">
        <v>46139</v>
      </c>
      <c r="H34" s="12" t="n">
        <v>46134</v>
      </c>
      <c r="I34" s="12" t="n">
        <v>46134</v>
      </c>
      <c r="J34" s="12" t="n">
        <v>46139</v>
      </c>
      <c r="K34" s="2" t="n">
        <v>1368</v>
      </c>
      <c r="L34" s="2" t="inlineStr">
        <is>
          <t>Road</t>
        </is>
      </c>
      <c r="M34" s="2" t="inlineStr">
        <is>
          <t>No Delay</t>
        </is>
      </c>
      <c r="N34" s="4">
        <f>IF(I34&lt;=H34,1,0)</f>
        <v/>
      </c>
      <c r="O34" s="4">
        <f>IF(J34&lt;=G34,1,0)</f>
        <v/>
      </c>
      <c r="P34" s="4">
        <f>MAX(0,I34-H34)</f>
        <v/>
      </c>
      <c r="Q34" s="4">
        <f>MAX(0,J34-G34)</f>
        <v/>
      </c>
      <c r="R34" s="4">
        <f>IF(AND(N34=1,O34=1),"On Track",IF(O34=0,"Customer Delivery Late","Ship Late"))</f>
        <v/>
      </c>
    </row>
    <row r="35">
      <c r="A35" s="2" t="inlineStr">
        <is>
          <t>ORD-00034</t>
        </is>
      </c>
      <c r="B35" s="2" t="inlineStr">
        <is>
          <t>Customer 07</t>
        </is>
      </c>
      <c r="C35" s="2" t="inlineStr">
        <is>
          <t>Power Supply</t>
        </is>
      </c>
      <c r="D35" s="2" t="inlineStr">
        <is>
          <t>Plant C</t>
        </is>
      </c>
      <c r="E35" s="2" t="inlineStr">
        <is>
          <t>Export</t>
        </is>
      </c>
      <c r="F35" s="12" t="n">
        <v>46099</v>
      </c>
      <c r="G35" s="12" t="n">
        <v>46120</v>
      </c>
      <c r="H35" s="12" t="n">
        <v>46117</v>
      </c>
      <c r="I35" s="12" t="n">
        <v>46116</v>
      </c>
      <c r="J35" s="12" t="n">
        <v>46119</v>
      </c>
      <c r="K35" s="2" t="n">
        <v>1397</v>
      </c>
      <c r="L35" s="2" t="inlineStr">
        <is>
          <t>Sea</t>
        </is>
      </c>
      <c r="M35" s="2" t="inlineStr">
        <is>
          <t>No Delay</t>
        </is>
      </c>
      <c r="N35" s="4">
        <f>IF(I35&lt;=H35,1,0)</f>
        <v/>
      </c>
      <c r="O35" s="4">
        <f>IF(J35&lt;=G35,1,0)</f>
        <v/>
      </c>
      <c r="P35" s="4">
        <f>MAX(0,I35-H35)</f>
        <v/>
      </c>
      <c r="Q35" s="4">
        <f>MAX(0,J35-G35)</f>
        <v/>
      </c>
      <c r="R35" s="4">
        <f>IF(AND(N35=1,O35=1),"On Track",IF(O35=0,"Customer Delivery Late","Ship Late"))</f>
        <v/>
      </c>
    </row>
    <row r="36">
      <c r="A36" s="2" t="inlineStr">
        <is>
          <t>ORD-00035</t>
        </is>
      </c>
      <c r="B36" s="2" t="inlineStr">
        <is>
          <t>Customer 14</t>
        </is>
      </c>
      <c r="C36" s="2" t="inlineStr">
        <is>
          <t>Drive</t>
        </is>
      </c>
      <c r="D36" s="2" t="inlineStr">
        <is>
          <t>Plant B</t>
        </is>
      </c>
      <c r="E36" s="2" t="inlineStr">
        <is>
          <t>Export</t>
        </is>
      </c>
      <c r="F36" s="12" t="n">
        <v>46067</v>
      </c>
      <c r="G36" s="12" t="n">
        <v>46091</v>
      </c>
      <c r="H36" s="12" t="n">
        <v>46086</v>
      </c>
      <c r="I36" s="12" t="n">
        <v>46086</v>
      </c>
      <c r="J36" s="12" t="n">
        <v>46091</v>
      </c>
      <c r="K36" s="2" t="n">
        <v>915</v>
      </c>
      <c r="L36" s="2" t="inlineStr">
        <is>
          <t>Sea</t>
        </is>
      </c>
      <c r="M36" s="2" t="inlineStr">
        <is>
          <t>No Delay</t>
        </is>
      </c>
      <c r="N36" s="4">
        <f>IF(I36&lt;=H36,1,0)</f>
        <v/>
      </c>
      <c r="O36" s="4">
        <f>IF(J36&lt;=G36,1,0)</f>
        <v/>
      </c>
      <c r="P36" s="4">
        <f>MAX(0,I36-H36)</f>
        <v/>
      </c>
      <c r="Q36" s="4">
        <f>MAX(0,J36-G36)</f>
        <v/>
      </c>
      <c r="R36" s="4">
        <f>IF(AND(N36=1,O36=1),"On Track",IF(O36=0,"Customer Delivery Late","Ship Late"))</f>
        <v/>
      </c>
    </row>
    <row r="37">
      <c r="A37" s="2" t="inlineStr">
        <is>
          <t>ORD-00036</t>
        </is>
      </c>
      <c r="B37" s="2" t="inlineStr">
        <is>
          <t>Customer 22</t>
        </is>
      </c>
      <c r="C37" s="2" t="inlineStr">
        <is>
          <t>Drive</t>
        </is>
      </c>
      <c r="D37" s="2" t="inlineStr">
        <is>
          <t>Plant A</t>
        </is>
      </c>
      <c r="E37" s="2" t="inlineStr">
        <is>
          <t>Central</t>
        </is>
      </c>
      <c r="F37" s="12" t="n">
        <v>46077</v>
      </c>
      <c r="G37" s="12" t="n">
        <v>46098</v>
      </c>
      <c r="H37" s="12" t="n">
        <v>46094</v>
      </c>
      <c r="I37" s="12" t="n">
        <v>46094</v>
      </c>
      <c r="J37" s="12" t="n">
        <v>46097</v>
      </c>
      <c r="K37" s="2" t="n">
        <v>1387</v>
      </c>
      <c r="L37" s="2" t="inlineStr">
        <is>
          <t>Air</t>
        </is>
      </c>
      <c r="M37" s="2" t="inlineStr">
        <is>
          <t>No Delay</t>
        </is>
      </c>
      <c r="N37" s="4">
        <f>IF(I37&lt;=H37,1,0)</f>
        <v/>
      </c>
      <c r="O37" s="4">
        <f>IF(J37&lt;=G37,1,0)</f>
        <v/>
      </c>
      <c r="P37" s="4">
        <f>MAX(0,I37-H37)</f>
        <v/>
      </c>
      <c r="Q37" s="4">
        <f>MAX(0,J37-G37)</f>
        <v/>
      </c>
      <c r="R37" s="4">
        <f>IF(AND(N37=1,O37=1),"On Track",IF(O37=0,"Customer Delivery Late","Ship Late"))</f>
        <v/>
      </c>
    </row>
    <row r="38">
      <c r="A38" s="2" t="inlineStr">
        <is>
          <t>ORD-00037</t>
        </is>
      </c>
      <c r="B38" s="2" t="inlineStr">
        <is>
          <t>Customer 03</t>
        </is>
      </c>
      <c r="C38" s="2" t="inlineStr">
        <is>
          <t>Switchgear</t>
        </is>
      </c>
      <c r="D38" s="2" t="inlineStr">
        <is>
          <t>Plant B</t>
        </is>
      </c>
      <c r="E38" s="2" t="inlineStr">
        <is>
          <t>Central</t>
        </is>
      </c>
      <c r="F38" s="12" t="n">
        <v>46080</v>
      </c>
      <c r="G38" s="12" t="n">
        <v>46091</v>
      </c>
      <c r="H38" s="12" t="n">
        <v>46089</v>
      </c>
      <c r="I38" s="12" t="n">
        <v>46087</v>
      </c>
      <c r="J38" s="12" t="n">
        <v>46090</v>
      </c>
      <c r="K38" s="2" t="n">
        <v>1481</v>
      </c>
      <c r="L38" s="2" t="inlineStr">
        <is>
          <t>Sea</t>
        </is>
      </c>
      <c r="M38" s="2" t="inlineStr">
        <is>
          <t>No Delay</t>
        </is>
      </c>
      <c r="N38" s="4">
        <f>IF(I38&lt;=H38,1,0)</f>
        <v/>
      </c>
      <c r="O38" s="4">
        <f>IF(J38&lt;=G38,1,0)</f>
        <v/>
      </c>
      <c r="P38" s="4">
        <f>MAX(0,I38-H38)</f>
        <v/>
      </c>
      <c r="Q38" s="4">
        <f>MAX(0,J38-G38)</f>
        <v/>
      </c>
      <c r="R38" s="4">
        <f>IF(AND(N38=1,O38=1),"On Track",IF(O38=0,"Customer Delivery Late","Ship Late"))</f>
        <v/>
      </c>
    </row>
    <row r="39">
      <c r="A39" s="2" t="inlineStr">
        <is>
          <t>ORD-00038</t>
        </is>
      </c>
      <c r="B39" s="2" t="inlineStr">
        <is>
          <t>Customer 08</t>
        </is>
      </c>
      <c r="C39" s="2" t="inlineStr">
        <is>
          <t>Relay</t>
        </is>
      </c>
      <c r="D39" s="2" t="inlineStr">
        <is>
          <t>Plant C</t>
        </is>
      </c>
      <c r="E39" s="2" t="inlineStr">
        <is>
          <t>Export</t>
        </is>
      </c>
      <c r="F39" s="12" t="n">
        <v>46121</v>
      </c>
      <c r="G39" s="12" t="n">
        <v>46141</v>
      </c>
      <c r="H39" s="12" t="n">
        <v>46137</v>
      </c>
      <c r="I39" s="12" t="n">
        <v>46137</v>
      </c>
      <c r="J39" s="12" t="n">
        <v>46140</v>
      </c>
      <c r="K39" s="2" t="n">
        <v>112</v>
      </c>
      <c r="L39" s="2" t="inlineStr">
        <is>
          <t>Sea</t>
        </is>
      </c>
      <c r="M39" s="2" t="inlineStr">
        <is>
          <t>No Delay</t>
        </is>
      </c>
      <c r="N39" s="4">
        <f>IF(I39&lt;=H39,1,0)</f>
        <v/>
      </c>
      <c r="O39" s="4">
        <f>IF(J39&lt;=G39,1,0)</f>
        <v/>
      </c>
      <c r="P39" s="4">
        <f>MAX(0,I39-H39)</f>
        <v/>
      </c>
      <c r="Q39" s="4">
        <f>MAX(0,J39-G39)</f>
        <v/>
      </c>
      <c r="R39" s="4">
        <f>IF(AND(N39=1,O39=1),"On Track",IF(O39=0,"Customer Delivery Late","Ship Late"))</f>
        <v/>
      </c>
    </row>
    <row r="40">
      <c r="A40" s="2" t="inlineStr">
        <is>
          <t>ORD-00039</t>
        </is>
      </c>
      <c r="B40" s="2" t="inlineStr">
        <is>
          <t>Customer 24</t>
        </is>
      </c>
      <c r="C40" s="2" t="inlineStr">
        <is>
          <t>Power Supply</t>
        </is>
      </c>
      <c r="D40" s="2" t="inlineStr">
        <is>
          <t>Plant C</t>
        </is>
      </c>
      <c r="E40" s="2" t="inlineStr">
        <is>
          <t>Export</t>
        </is>
      </c>
      <c r="F40" s="12" t="n">
        <v>46086</v>
      </c>
      <c r="G40" s="12" t="n">
        <v>46094</v>
      </c>
      <c r="H40" s="12" t="n">
        <v>46090</v>
      </c>
      <c r="I40" s="12" t="n">
        <v>46089</v>
      </c>
      <c r="J40" s="12" t="n">
        <v>46093</v>
      </c>
      <c r="K40" s="2" t="n">
        <v>335</v>
      </c>
      <c r="L40" s="2" t="inlineStr">
        <is>
          <t>Sea</t>
        </is>
      </c>
      <c r="M40" s="2" t="inlineStr">
        <is>
          <t>No Delay</t>
        </is>
      </c>
      <c r="N40" s="4">
        <f>IF(I40&lt;=H40,1,0)</f>
        <v/>
      </c>
      <c r="O40" s="4">
        <f>IF(J40&lt;=G40,1,0)</f>
        <v/>
      </c>
      <c r="P40" s="4">
        <f>MAX(0,I40-H40)</f>
        <v/>
      </c>
      <c r="Q40" s="4">
        <f>MAX(0,J40-G40)</f>
        <v/>
      </c>
      <c r="R40" s="4">
        <f>IF(AND(N40=1,O40=1),"On Track",IF(O40=0,"Customer Delivery Late","Ship Late"))</f>
        <v/>
      </c>
    </row>
    <row r="41">
      <c r="A41" s="2" t="inlineStr">
        <is>
          <t>ORD-00040</t>
        </is>
      </c>
      <c r="B41" s="2" t="inlineStr">
        <is>
          <t>Customer 09</t>
        </is>
      </c>
      <c r="C41" s="2" t="inlineStr">
        <is>
          <t>Switchgear</t>
        </is>
      </c>
      <c r="D41" s="2" t="inlineStr">
        <is>
          <t>Plant A</t>
        </is>
      </c>
      <c r="E41" s="2" t="inlineStr">
        <is>
          <t>South</t>
        </is>
      </c>
      <c r="F41" s="12" t="n">
        <v>46144</v>
      </c>
      <c r="G41" s="12" t="n">
        <v>46163</v>
      </c>
      <c r="H41" s="12" t="n">
        <v>46160</v>
      </c>
      <c r="I41" s="12" t="n">
        <v>46160</v>
      </c>
      <c r="J41" s="12" t="n">
        <v>46164</v>
      </c>
      <c r="K41" s="2" t="n">
        <v>490</v>
      </c>
      <c r="L41" s="2" t="inlineStr">
        <is>
          <t>Air</t>
        </is>
      </c>
      <c r="M41" s="2" t="inlineStr">
        <is>
          <t>Production Delay</t>
        </is>
      </c>
      <c r="N41" s="4">
        <f>IF(I41&lt;=H41,1,0)</f>
        <v/>
      </c>
      <c r="O41" s="4">
        <f>IF(J41&lt;=G41,1,0)</f>
        <v/>
      </c>
      <c r="P41" s="4">
        <f>MAX(0,I41-H41)</f>
        <v/>
      </c>
      <c r="Q41" s="4">
        <f>MAX(0,J41-G41)</f>
        <v/>
      </c>
      <c r="R41" s="4">
        <f>IF(AND(N41=1,O41=1),"On Track",IF(O41=0,"Customer Delivery Late","Ship Late"))</f>
        <v/>
      </c>
    </row>
    <row r="42">
      <c r="A42" s="2" t="inlineStr">
        <is>
          <t>ORD-00041</t>
        </is>
      </c>
      <c r="B42" s="2" t="inlineStr">
        <is>
          <t>Customer 23</t>
        </is>
      </c>
      <c r="C42" s="2" t="inlineStr">
        <is>
          <t>PLC</t>
        </is>
      </c>
      <c r="D42" s="2" t="inlineStr">
        <is>
          <t>Plant A</t>
        </is>
      </c>
      <c r="E42" s="2" t="inlineStr">
        <is>
          <t>Export</t>
        </is>
      </c>
      <c r="F42" s="12" t="n">
        <v>46108</v>
      </c>
      <c r="G42" s="12" t="n">
        <v>46123</v>
      </c>
      <c r="H42" s="12" t="n">
        <v>46118</v>
      </c>
      <c r="I42" s="12" t="n">
        <v>46116</v>
      </c>
      <c r="J42" s="12" t="n">
        <v>46121</v>
      </c>
      <c r="K42" s="2" t="n">
        <v>844</v>
      </c>
      <c r="L42" s="2" t="inlineStr">
        <is>
          <t>Air</t>
        </is>
      </c>
      <c r="M42" s="2" t="inlineStr">
        <is>
          <t>No Delay</t>
        </is>
      </c>
      <c r="N42" s="4">
        <f>IF(I42&lt;=H42,1,0)</f>
        <v/>
      </c>
      <c r="O42" s="4">
        <f>IF(J42&lt;=G42,1,0)</f>
        <v/>
      </c>
      <c r="P42" s="4">
        <f>MAX(0,I42-H42)</f>
        <v/>
      </c>
      <c r="Q42" s="4">
        <f>MAX(0,J42-G42)</f>
        <v/>
      </c>
      <c r="R42" s="4">
        <f>IF(AND(N42=1,O42=1),"On Track",IF(O42=0,"Customer Delivery Late","Ship Late"))</f>
        <v/>
      </c>
    </row>
    <row r="43">
      <c r="A43" s="2" t="inlineStr">
        <is>
          <t>ORD-00042</t>
        </is>
      </c>
      <c r="B43" s="2" t="inlineStr">
        <is>
          <t>Customer 01</t>
        </is>
      </c>
      <c r="C43" s="2" t="inlineStr">
        <is>
          <t>Power Supply</t>
        </is>
      </c>
      <c r="D43" s="2" t="inlineStr">
        <is>
          <t>Plant B</t>
        </is>
      </c>
      <c r="E43" s="2" t="inlineStr">
        <is>
          <t>North</t>
        </is>
      </c>
      <c r="F43" s="12" t="n">
        <v>46161</v>
      </c>
      <c r="G43" s="12" t="n">
        <v>46180</v>
      </c>
      <c r="H43" s="12" t="n">
        <v>46176</v>
      </c>
      <c r="I43" s="12" t="n">
        <v>46175</v>
      </c>
      <c r="J43" s="12" t="n">
        <v>46180</v>
      </c>
      <c r="K43" s="2" t="n">
        <v>730</v>
      </c>
      <c r="L43" s="2" t="inlineStr">
        <is>
          <t>Air</t>
        </is>
      </c>
      <c r="M43" s="2" t="inlineStr">
        <is>
          <t>No Delay</t>
        </is>
      </c>
      <c r="N43" s="4">
        <f>IF(I43&lt;=H43,1,0)</f>
        <v/>
      </c>
      <c r="O43" s="4">
        <f>IF(J43&lt;=G43,1,0)</f>
        <v/>
      </c>
      <c r="P43" s="4">
        <f>MAX(0,I43-H43)</f>
        <v/>
      </c>
      <c r="Q43" s="4">
        <f>MAX(0,J43-G43)</f>
        <v/>
      </c>
      <c r="R43" s="4">
        <f>IF(AND(N43=1,O43=1),"On Track",IF(O43=0,"Customer Delivery Late","Ship Late"))</f>
        <v/>
      </c>
    </row>
    <row r="44">
      <c r="A44" s="2" t="inlineStr">
        <is>
          <t>ORD-00043</t>
        </is>
      </c>
      <c r="B44" s="2" t="inlineStr">
        <is>
          <t>Customer 14</t>
        </is>
      </c>
      <c r="C44" s="2" t="inlineStr">
        <is>
          <t>Switchgear</t>
        </is>
      </c>
      <c r="D44" s="2" t="inlineStr">
        <is>
          <t>Plant A</t>
        </is>
      </c>
      <c r="E44" s="2" t="inlineStr">
        <is>
          <t>Export</t>
        </is>
      </c>
      <c r="F44" s="12" t="n">
        <v>46122</v>
      </c>
      <c r="G44" s="12" t="n">
        <v>46140</v>
      </c>
      <c r="H44" s="12" t="n">
        <v>46135</v>
      </c>
      <c r="I44" s="12" t="n">
        <v>46135</v>
      </c>
      <c r="J44" s="12" t="n">
        <v>46140</v>
      </c>
      <c r="K44" s="2" t="n">
        <v>698</v>
      </c>
      <c r="L44" s="2" t="inlineStr">
        <is>
          <t>Sea</t>
        </is>
      </c>
      <c r="M44" s="2" t="inlineStr">
        <is>
          <t>No Delay</t>
        </is>
      </c>
      <c r="N44" s="4">
        <f>IF(I44&lt;=H44,1,0)</f>
        <v/>
      </c>
      <c r="O44" s="4">
        <f>IF(J44&lt;=G44,1,0)</f>
        <v/>
      </c>
      <c r="P44" s="4">
        <f>MAX(0,I44-H44)</f>
        <v/>
      </c>
      <c r="Q44" s="4">
        <f>MAX(0,J44-G44)</f>
        <v/>
      </c>
      <c r="R44" s="4">
        <f>IF(AND(N44=1,O44=1),"On Track",IF(O44=0,"Customer Delivery Late","Ship Late"))</f>
        <v/>
      </c>
    </row>
    <row r="45">
      <c r="A45" s="2" t="inlineStr">
        <is>
          <t>ORD-00044</t>
        </is>
      </c>
      <c r="B45" s="2" t="inlineStr">
        <is>
          <t>Customer 22</t>
        </is>
      </c>
      <c r="C45" s="2" t="inlineStr">
        <is>
          <t>Breaker</t>
        </is>
      </c>
      <c r="D45" s="2" t="inlineStr">
        <is>
          <t>Plant A</t>
        </is>
      </c>
      <c r="E45" s="2" t="inlineStr">
        <is>
          <t>Export</t>
        </is>
      </c>
      <c r="F45" s="12" t="n">
        <v>46196</v>
      </c>
      <c r="G45" s="12" t="n">
        <v>46213</v>
      </c>
      <c r="H45" s="12" t="n">
        <v>46211</v>
      </c>
      <c r="I45" s="12" t="n">
        <v>46209</v>
      </c>
      <c r="J45" s="12" t="n">
        <v>46211</v>
      </c>
      <c r="K45" s="2" t="n">
        <v>287</v>
      </c>
      <c r="L45" s="2" t="inlineStr">
        <is>
          <t>Air</t>
        </is>
      </c>
      <c r="M45" s="2" t="inlineStr">
        <is>
          <t>No Delay</t>
        </is>
      </c>
      <c r="N45" s="4">
        <f>IF(I45&lt;=H45,1,0)</f>
        <v/>
      </c>
      <c r="O45" s="4">
        <f>IF(J45&lt;=G45,1,0)</f>
        <v/>
      </c>
      <c r="P45" s="4">
        <f>MAX(0,I45-H45)</f>
        <v/>
      </c>
      <c r="Q45" s="4">
        <f>MAX(0,J45-G45)</f>
        <v/>
      </c>
      <c r="R45" s="4">
        <f>IF(AND(N45=1,O45=1),"On Track",IF(O45=0,"Customer Delivery Late","Ship Late"))</f>
        <v/>
      </c>
    </row>
    <row r="46">
      <c r="A46" s="2" t="inlineStr">
        <is>
          <t>ORD-00045</t>
        </is>
      </c>
      <c r="B46" s="2" t="inlineStr">
        <is>
          <t>Customer 29</t>
        </is>
      </c>
      <c r="C46" s="2" t="inlineStr">
        <is>
          <t>Power Supply</t>
        </is>
      </c>
      <c r="D46" s="2" t="inlineStr">
        <is>
          <t>Plant B</t>
        </is>
      </c>
      <c r="E46" s="2" t="inlineStr">
        <is>
          <t>Export</t>
        </is>
      </c>
      <c r="F46" s="12" t="n">
        <v>46069</v>
      </c>
      <c r="G46" s="12" t="n">
        <v>46075</v>
      </c>
      <c r="H46" s="12" t="n">
        <v>46072</v>
      </c>
      <c r="I46" s="12" t="n">
        <v>46070</v>
      </c>
      <c r="J46" s="12" t="n">
        <v>46073</v>
      </c>
      <c r="K46" s="2" t="n">
        <v>526</v>
      </c>
      <c r="L46" s="2" t="inlineStr">
        <is>
          <t>Road</t>
        </is>
      </c>
      <c r="M46" s="2" t="inlineStr">
        <is>
          <t>No Delay</t>
        </is>
      </c>
      <c r="N46" s="4">
        <f>IF(I46&lt;=H46,1,0)</f>
        <v/>
      </c>
      <c r="O46" s="4">
        <f>IF(J46&lt;=G46,1,0)</f>
        <v/>
      </c>
      <c r="P46" s="4">
        <f>MAX(0,I46-H46)</f>
        <v/>
      </c>
      <c r="Q46" s="4">
        <f>MAX(0,J46-G46)</f>
        <v/>
      </c>
      <c r="R46" s="4">
        <f>IF(AND(N46=1,O46=1),"On Track",IF(O46=0,"Customer Delivery Late","Ship Late"))</f>
        <v/>
      </c>
    </row>
    <row r="47">
      <c r="A47" s="2" t="inlineStr">
        <is>
          <t>ORD-00046</t>
        </is>
      </c>
      <c r="B47" s="2" t="inlineStr">
        <is>
          <t>Customer 21</t>
        </is>
      </c>
      <c r="C47" s="2" t="inlineStr">
        <is>
          <t>Breaker</t>
        </is>
      </c>
      <c r="D47" s="2" t="inlineStr">
        <is>
          <t>Plant A</t>
        </is>
      </c>
      <c r="E47" s="2" t="inlineStr">
        <is>
          <t>Central</t>
        </is>
      </c>
      <c r="F47" s="12" t="n">
        <v>46143</v>
      </c>
      <c r="G47" s="12" t="n">
        <v>46148</v>
      </c>
      <c r="H47" s="12" t="n">
        <v>46143</v>
      </c>
      <c r="I47" s="12" t="n">
        <v>46142</v>
      </c>
      <c r="J47" s="12" t="n">
        <v>46146</v>
      </c>
      <c r="K47" s="2" t="n">
        <v>418</v>
      </c>
      <c r="L47" s="2" t="inlineStr">
        <is>
          <t>Road</t>
        </is>
      </c>
      <c r="M47" s="2" t="inlineStr">
        <is>
          <t>No Delay</t>
        </is>
      </c>
      <c r="N47" s="4">
        <f>IF(I47&lt;=H47,1,0)</f>
        <v/>
      </c>
      <c r="O47" s="4">
        <f>IF(J47&lt;=G47,1,0)</f>
        <v/>
      </c>
      <c r="P47" s="4">
        <f>MAX(0,I47-H47)</f>
        <v/>
      </c>
      <c r="Q47" s="4">
        <f>MAX(0,J47-G47)</f>
        <v/>
      </c>
      <c r="R47" s="4">
        <f>IF(AND(N47=1,O47=1),"On Track",IF(O47=0,"Customer Delivery Late","Ship Late"))</f>
        <v/>
      </c>
    </row>
    <row r="48">
      <c r="A48" s="2" t="inlineStr">
        <is>
          <t>ORD-00047</t>
        </is>
      </c>
      <c r="B48" s="2" t="inlineStr">
        <is>
          <t>Customer 23</t>
        </is>
      </c>
      <c r="C48" s="2" t="inlineStr">
        <is>
          <t>Sensor</t>
        </is>
      </c>
      <c r="D48" s="2" t="inlineStr">
        <is>
          <t>Plant B</t>
        </is>
      </c>
      <c r="E48" s="2" t="inlineStr">
        <is>
          <t>Central</t>
        </is>
      </c>
      <c r="F48" s="12" t="n">
        <v>46182</v>
      </c>
      <c r="G48" s="12" t="n">
        <v>46191</v>
      </c>
      <c r="H48" s="12" t="n">
        <v>46189</v>
      </c>
      <c r="I48" s="12" t="n">
        <v>46189</v>
      </c>
      <c r="J48" s="12" t="n">
        <v>46192</v>
      </c>
      <c r="K48" s="2" t="n">
        <v>1250</v>
      </c>
      <c r="L48" s="2" t="inlineStr">
        <is>
          <t>Sea</t>
        </is>
      </c>
      <c r="M48" s="2" t="inlineStr">
        <is>
          <t>Documentation Issue</t>
        </is>
      </c>
      <c r="N48" s="4">
        <f>IF(I48&lt;=H48,1,0)</f>
        <v/>
      </c>
      <c r="O48" s="4">
        <f>IF(J48&lt;=G48,1,0)</f>
        <v/>
      </c>
      <c r="P48" s="4">
        <f>MAX(0,I48-H48)</f>
        <v/>
      </c>
      <c r="Q48" s="4">
        <f>MAX(0,J48-G48)</f>
        <v/>
      </c>
      <c r="R48" s="4">
        <f>IF(AND(N48=1,O48=1),"On Track",IF(O48=0,"Customer Delivery Late","Ship Late"))</f>
        <v/>
      </c>
    </row>
    <row r="49">
      <c r="A49" s="2" t="inlineStr">
        <is>
          <t>ORD-00048</t>
        </is>
      </c>
      <c r="B49" s="2" t="inlineStr">
        <is>
          <t>Customer 13</t>
        </is>
      </c>
      <c r="C49" s="2" t="inlineStr">
        <is>
          <t>Power Supply</t>
        </is>
      </c>
      <c r="D49" s="2" t="inlineStr">
        <is>
          <t>Plant C</t>
        </is>
      </c>
      <c r="E49" s="2" t="inlineStr">
        <is>
          <t>Central</t>
        </is>
      </c>
      <c r="F49" s="12" t="n">
        <v>46052</v>
      </c>
      <c r="G49" s="12" t="n">
        <v>46062</v>
      </c>
      <c r="H49" s="12" t="n">
        <v>46059</v>
      </c>
      <c r="I49" s="12" t="n">
        <v>46057</v>
      </c>
      <c r="J49" s="12" t="n">
        <v>46061</v>
      </c>
      <c r="K49" s="2" t="n">
        <v>165</v>
      </c>
      <c r="L49" s="2" t="inlineStr">
        <is>
          <t>Sea</t>
        </is>
      </c>
      <c r="M49" s="2" t="inlineStr">
        <is>
          <t>No Delay</t>
        </is>
      </c>
      <c r="N49" s="4">
        <f>IF(I49&lt;=H49,1,0)</f>
        <v/>
      </c>
      <c r="O49" s="4">
        <f>IF(J49&lt;=G49,1,0)</f>
        <v/>
      </c>
      <c r="P49" s="4">
        <f>MAX(0,I49-H49)</f>
        <v/>
      </c>
      <c r="Q49" s="4">
        <f>MAX(0,J49-G49)</f>
        <v/>
      </c>
      <c r="R49" s="4">
        <f>IF(AND(N49=1,O49=1),"On Track",IF(O49=0,"Customer Delivery Late","Ship Late"))</f>
        <v/>
      </c>
    </row>
    <row r="50">
      <c r="A50" s="2" t="inlineStr">
        <is>
          <t>ORD-00049</t>
        </is>
      </c>
      <c r="B50" s="2" t="inlineStr">
        <is>
          <t>Customer 12</t>
        </is>
      </c>
      <c r="C50" s="2" t="inlineStr">
        <is>
          <t>Power Supply</t>
        </is>
      </c>
      <c r="D50" s="2" t="inlineStr">
        <is>
          <t>Plant C</t>
        </is>
      </c>
      <c r="E50" s="2" t="inlineStr">
        <is>
          <t>South</t>
        </is>
      </c>
      <c r="F50" s="12" t="n">
        <v>46199</v>
      </c>
      <c r="G50" s="12" t="n">
        <v>46224</v>
      </c>
      <c r="H50" s="12" t="n">
        <v>46222</v>
      </c>
      <c r="I50" s="12" t="n">
        <v>46221</v>
      </c>
      <c r="J50" s="12" t="n">
        <v>46224</v>
      </c>
      <c r="K50" s="2" t="n">
        <v>151</v>
      </c>
      <c r="L50" s="2" t="inlineStr">
        <is>
          <t>Sea</t>
        </is>
      </c>
      <c r="M50" s="2" t="inlineStr">
        <is>
          <t>No Delay</t>
        </is>
      </c>
      <c r="N50" s="4">
        <f>IF(I50&lt;=H50,1,0)</f>
        <v/>
      </c>
      <c r="O50" s="4">
        <f>IF(J50&lt;=G50,1,0)</f>
        <v/>
      </c>
      <c r="P50" s="4">
        <f>MAX(0,I50-H50)</f>
        <v/>
      </c>
      <c r="Q50" s="4">
        <f>MAX(0,J50-G50)</f>
        <v/>
      </c>
      <c r="R50" s="4">
        <f>IF(AND(N50=1,O50=1),"On Track",IF(O50=0,"Customer Delivery Late","Ship Late"))</f>
        <v/>
      </c>
    </row>
    <row r="51">
      <c r="A51" s="2" t="inlineStr">
        <is>
          <t>ORD-00050</t>
        </is>
      </c>
      <c r="B51" s="2" t="inlineStr">
        <is>
          <t>Customer 21</t>
        </is>
      </c>
      <c r="C51" s="2" t="inlineStr">
        <is>
          <t>Switchgear</t>
        </is>
      </c>
      <c r="D51" s="2" t="inlineStr">
        <is>
          <t>Plant C</t>
        </is>
      </c>
      <c r="E51" s="2" t="inlineStr">
        <is>
          <t>Central</t>
        </is>
      </c>
      <c r="F51" s="12" t="n">
        <v>46188</v>
      </c>
      <c r="G51" s="12" t="n">
        <v>46203</v>
      </c>
      <c r="H51" s="12" t="n">
        <v>46202</v>
      </c>
      <c r="I51" s="12" t="n">
        <v>46201</v>
      </c>
      <c r="J51" s="12" t="n">
        <v>46202</v>
      </c>
      <c r="K51" s="2" t="n">
        <v>901</v>
      </c>
      <c r="L51" s="2" t="inlineStr">
        <is>
          <t>Road</t>
        </is>
      </c>
      <c r="M51" s="2" t="inlineStr">
        <is>
          <t>No Delay</t>
        </is>
      </c>
      <c r="N51" s="4">
        <f>IF(I51&lt;=H51,1,0)</f>
        <v/>
      </c>
      <c r="O51" s="4">
        <f>IF(J51&lt;=G51,1,0)</f>
        <v/>
      </c>
      <c r="P51" s="4">
        <f>MAX(0,I51-H51)</f>
        <v/>
      </c>
      <c r="Q51" s="4">
        <f>MAX(0,J51-G51)</f>
        <v/>
      </c>
      <c r="R51" s="4">
        <f>IF(AND(N51=1,O51=1),"On Track",IF(O51=0,"Customer Delivery Late","Ship Late"))</f>
        <v/>
      </c>
    </row>
    <row r="52">
      <c r="A52" s="2" t="inlineStr">
        <is>
          <t>ORD-00051</t>
        </is>
      </c>
      <c r="B52" s="2" t="inlineStr">
        <is>
          <t>Customer 24</t>
        </is>
      </c>
      <c r="C52" s="2" t="inlineStr">
        <is>
          <t>Sensor</t>
        </is>
      </c>
      <c r="D52" s="2" t="inlineStr">
        <is>
          <t>Plant B</t>
        </is>
      </c>
      <c r="E52" s="2" t="inlineStr">
        <is>
          <t>Central</t>
        </is>
      </c>
      <c r="F52" s="12" t="n">
        <v>46156</v>
      </c>
      <c r="G52" s="12" t="n">
        <v>46181</v>
      </c>
      <c r="H52" s="12" t="n">
        <v>46178</v>
      </c>
      <c r="I52" s="12" t="n">
        <v>46178</v>
      </c>
      <c r="J52" s="12" t="n">
        <v>46181</v>
      </c>
      <c r="K52" s="2" t="n">
        <v>187</v>
      </c>
      <c r="L52" s="2" t="inlineStr">
        <is>
          <t>Air</t>
        </is>
      </c>
      <c r="M52" s="2" t="inlineStr">
        <is>
          <t>No Delay</t>
        </is>
      </c>
      <c r="N52" s="4">
        <f>IF(I52&lt;=H52,1,0)</f>
        <v/>
      </c>
      <c r="O52" s="4">
        <f>IF(J52&lt;=G52,1,0)</f>
        <v/>
      </c>
      <c r="P52" s="4">
        <f>MAX(0,I52-H52)</f>
        <v/>
      </c>
      <c r="Q52" s="4">
        <f>MAX(0,J52-G52)</f>
        <v/>
      </c>
      <c r="R52" s="4">
        <f>IF(AND(N52=1,O52=1),"On Track",IF(O52=0,"Customer Delivery Late","Ship Late"))</f>
        <v/>
      </c>
    </row>
    <row r="53">
      <c r="A53" s="2" t="inlineStr">
        <is>
          <t>ORD-00052</t>
        </is>
      </c>
      <c r="B53" s="2" t="inlineStr">
        <is>
          <t>Customer 28</t>
        </is>
      </c>
      <c r="C53" s="2" t="inlineStr">
        <is>
          <t>Drive</t>
        </is>
      </c>
      <c r="D53" s="2" t="inlineStr">
        <is>
          <t>Plant A</t>
        </is>
      </c>
      <c r="E53" s="2" t="inlineStr">
        <is>
          <t>Export</t>
        </is>
      </c>
      <c r="F53" s="12" t="n">
        <v>46138</v>
      </c>
      <c r="G53" s="12" t="n">
        <v>46150</v>
      </c>
      <c r="H53" s="12" t="n">
        <v>46146</v>
      </c>
      <c r="I53" s="12" t="n">
        <v>46146</v>
      </c>
      <c r="J53" s="12" t="n">
        <v>46150</v>
      </c>
      <c r="K53" s="2" t="n">
        <v>444</v>
      </c>
      <c r="L53" s="2" t="inlineStr">
        <is>
          <t>Air</t>
        </is>
      </c>
      <c r="M53" s="2" t="inlineStr">
        <is>
          <t>No Delay</t>
        </is>
      </c>
      <c r="N53" s="4">
        <f>IF(I53&lt;=H53,1,0)</f>
        <v/>
      </c>
      <c r="O53" s="4">
        <f>IF(J53&lt;=G53,1,0)</f>
        <v/>
      </c>
      <c r="P53" s="4">
        <f>MAX(0,I53-H53)</f>
        <v/>
      </c>
      <c r="Q53" s="4">
        <f>MAX(0,J53-G53)</f>
        <v/>
      </c>
      <c r="R53" s="4">
        <f>IF(AND(N53=1,O53=1),"On Track",IF(O53=0,"Customer Delivery Late","Ship Late"))</f>
        <v/>
      </c>
    </row>
    <row r="54">
      <c r="A54" s="2" t="inlineStr">
        <is>
          <t>ORD-00053</t>
        </is>
      </c>
      <c r="B54" s="2" t="inlineStr">
        <is>
          <t>Customer 08</t>
        </is>
      </c>
      <c r="C54" s="2" t="inlineStr">
        <is>
          <t>Power Supply</t>
        </is>
      </c>
      <c r="D54" s="2" t="inlineStr">
        <is>
          <t>Plant B</t>
        </is>
      </c>
      <c r="E54" s="2" t="inlineStr">
        <is>
          <t>Central</t>
        </is>
      </c>
      <c r="F54" s="12" t="n">
        <v>46089</v>
      </c>
      <c r="G54" s="12" t="n">
        <v>46104</v>
      </c>
      <c r="H54" s="12" t="n">
        <v>46101</v>
      </c>
      <c r="I54" s="12" t="n">
        <v>46101</v>
      </c>
      <c r="J54" s="12" t="n">
        <v>46106</v>
      </c>
      <c r="K54" s="2" t="n">
        <v>1424</v>
      </c>
      <c r="L54" s="2" t="inlineStr">
        <is>
          <t>Air</t>
        </is>
      </c>
      <c r="M54" s="2" t="inlineStr">
        <is>
          <t>Material Shortage</t>
        </is>
      </c>
      <c r="N54" s="4">
        <f>IF(I54&lt;=H54,1,0)</f>
        <v/>
      </c>
      <c r="O54" s="4">
        <f>IF(J54&lt;=G54,1,0)</f>
        <v/>
      </c>
      <c r="P54" s="4">
        <f>MAX(0,I54-H54)</f>
        <v/>
      </c>
      <c r="Q54" s="4">
        <f>MAX(0,J54-G54)</f>
        <v/>
      </c>
      <c r="R54" s="4">
        <f>IF(AND(N54=1,O54=1),"On Track",IF(O54=0,"Customer Delivery Late","Ship Late"))</f>
        <v/>
      </c>
    </row>
    <row r="55">
      <c r="A55" s="2" t="inlineStr">
        <is>
          <t>ORD-00054</t>
        </is>
      </c>
      <c r="B55" s="2" t="inlineStr">
        <is>
          <t>Customer 08</t>
        </is>
      </c>
      <c r="C55" s="2" t="inlineStr">
        <is>
          <t>Sensor</t>
        </is>
      </c>
      <c r="D55" s="2" t="inlineStr">
        <is>
          <t>Plant C</t>
        </is>
      </c>
      <c r="E55" s="2" t="inlineStr">
        <is>
          <t>South</t>
        </is>
      </c>
      <c r="F55" s="12" t="n">
        <v>46188</v>
      </c>
      <c r="G55" s="12" t="n">
        <v>46208</v>
      </c>
      <c r="H55" s="12" t="n">
        <v>46204</v>
      </c>
      <c r="I55" s="12" t="n">
        <v>46202</v>
      </c>
      <c r="J55" s="12" t="n">
        <v>46206</v>
      </c>
      <c r="K55" s="2" t="n">
        <v>979</v>
      </c>
      <c r="L55" s="2" t="inlineStr">
        <is>
          <t>Sea</t>
        </is>
      </c>
      <c r="M55" s="2" t="inlineStr">
        <is>
          <t>No Delay</t>
        </is>
      </c>
      <c r="N55" s="4">
        <f>IF(I55&lt;=H55,1,0)</f>
        <v/>
      </c>
      <c r="O55" s="4">
        <f>IF(J55&lt;=G55,1,0)</f>
        <v/>
      </c>
      <c r="P55" s="4">
        <f>MAX(0,I55-H55)</f>
        <v/>
      </c>
      <c r="Q55" s="4">
        <f>MAX(0,J55-G55)</f>
        <v/>
      </c>
      <c r="R55" s="4">
        <f>IF(AND(N55=1,O55=1),"On Track",IF(O55=0,"Customer Delivery Late","Ship Late"))</f>
        <v/>
      </c>
    </row>
    <row r="56">
      <c r="A56" s="2" t="inlineStr">
        <is>
          <t>ORD-00055</t>
        </is>
      </c>
      <c r="B56" s="2" t="inlineStr">
        <is>
          <t>Customer 08</t>
        </is>
      </c>
      <c r="C56" s="2" t="inlineStr">
        <is>
          <t>Contactor</t>
        </is>
      </c>
      <c r="D56" s="2" t="inlineStr">
        <is>
          <t>Plant C</t>
        </is>
      </c>
      <c r="E56" s="2" t="inlineStr">
        <is>
          <t>Central</t>
        </is>
      </c>
      <c r="F56" s="12" t="n">
        <v>46158</v>
      </c>
      <c r="G56" s="12" t="n">
        <v>46174</v>
      </c>
      <c r="H56" s="12" t="n">
        <v>46170</v>
      </c>
      <c r="I56" s="12" t="n">
        <v>46176</v>
      </c>
      <c r="J56" s="12" t="n">
        <v>46180</v>
      </c>
      <c r="K56" s="2" t="n">
        <v>656</v>
      </c>
      <c r="L56" s="2" t="inlineStr">
        <is>
          <t>Road</t>
        </is>
      </c>
      <c r="M56" s="2" t="inlineStr">
        <is>
          <t>Carrier Delay</t>
        </is>
      </c>
      <c r="N56" s="4">
        <f>IF(I56&lt;=H56,1,0)</f>
        <v/>
      </c>
      <c r="O56" s="4">
        <f>IF(J56&lt;=G56,1,0)</f>
        <v/>
      </c>
      <c r="P56" s="4">
        <f>MAX(0,I56-H56)</f>
        <v/>
      </c>
      <c r="Q56" s="4">
        <f>MAX(0,J56-G56)</f>
        <v/>
      </c>
      <c r="R56" s="4">
        <f>IF(AND(N56=1,O56=1),"On Track",IF(O56=0,"Customer Delivery Late","Ship Late"))</f>
        <v/>
      </c>
    </row>
    <row r="57">
      <c r="A57" s="2" t="inlineStr">
        <is>
          <t>ORD-00056</t>
        </is>
      </c>
      <c r="B57" s="2" t="inlineStr">
        <is>
          <t>Customer 17</t>
        </is>
      </c>
      <c r="C57" s="2" t="inlineStr">
        <is>
          <t>Sensor</t>
        </is>
      </c>
      <c r="D57" s="2" t="inlineStr">
        <is>
          <t>Plant A</t>
        </is>
      </c>
      <c r="E57" s="2" t="inlineStr">
        <is>
          <t>Central</t>
        </is>
      </c>
      <c r="F57" s="12" t="n">
        <v>46160</v>
      </c>
      <c r="G57" s="12" t="n">
        <v>46170</v>
      </c>
      <c r="H57" s="12" t="n">
        <v>46168</v>
      </c>
      <c r="I57" s="12" t="n">
        <v>46167</v>
      </c>
      <c r="J57" s="12" t="n">
        <v>46170</v>
      </c>
      <c r="K57" s="2" t="n">
        <v>616</v>
      </c>
      <c r="L57" s="2" t="inlineStr">
        <is>
          <t>Road</t>
        </is>
      </c>
      <c r="M57" s="2" t="inlineStr">
        <is>
          <t>No Delay</t>
        </is>
      </c>
      <c r="N57" s="4">
        <f>IF(I57&lt;=H57,1,0)</f>
        <v/>
      </c>
      <c r="O57" s="4">
        <f>IF(J57&lt;=G57,1,0)</f>
        <v/>
      </c>
      <c r="P57" s="4">
        <f>MAX(0,I57-H57)</f>
        <v/>
      </c>
      <c r="Q57" s="4">
        <f>MAX(0,J57-G57)</f>
        <v/>
      </c>
      <c r="R57" s="4">
        <f>IF(AND(N57=1,O57=1),"On Track",IF(O57=0,"Customer Delivery Late","Ship Late"))</f>
        <v/>
      </c>
    </row>
    <row r="58">
      <c r="A58" s="2" t="inlineStr">
        <is>
          <t>ORD-00057</t>
        </is>
      </c>
      <c r="B58" s="2" t="inlineStr">
        <is>
          <t>Customer 02</t>
        </is>
      </c>
      <c r="C58" s="2" t="inlineStr">
        <is>
          <t>Sensor</t>
        </is>
      </c>
      <c r="D58" s="2" t="inlineStr">
        <is>
          <t>Plant C</t>
        </is>
      </c>
      <c r="E58" s="2" t="inlineStr">
        <is>
          <t>Central</t>
        </is>
      </c>
      <c r="F58" s="12" t="n">
        <v>46115</v>
      </c>
      <c r="G58" s="12" t="n">
        <v>46125</v>
      </c>
      <c r="H58" s="12" t="n">
        <v>46122</v>
      </c>
      <c r="I58" s="12" t="n">
        <v>46122</v>
      </c>
      <c r="J58" s="12" t="n">
        <v>46125</v>
      </c>
      <c r="K58" s="2" t="n">
        <v>1316</v>
      </c>
      <c r="L58" s="2" t="inlineStr">
        <is>
          <t>Air</t>
        </is>
      </c>
      <c r="M58" s="2" t="inlineStr">
        <is>
          <t>No Delay</t>
        </is>
      </c>
      <c r="N58" s="4">
        <f>IF(I58&lt;=H58,1,0)</f>
        <v/>
      </c>
      <c r="O58" s="4">
        <f>IF(J58&lt;=G58,1,0)</f>
        <v/>
      </c>
      <c r="P58" s="4">
        <f>MAX(0,I58-H58)</f>
        <v/>
      </c>
      <c r="Q58" s="4">
        <f>MAX(0,J58-G58)</f>
        <v/>
      </c>
      <c r="R58" s="4">
        <f>IF(AND(N58=1,O58=1),"On Track",IF(O58=0,"Customer Delivery Late","Ship Late"))</f>
        <v/>
      </c>
    </row>
    <row r="59">
      <c r="A59" s="2" t="inlineStr">
        <is>
          <t>ORD-00058</t>
        </is>
      </c>
      <c r="B59" s="2" t="inlineStr">
        <is>
          <t>Customer 02</t>
        </is>
      </c>
      <c r="C59" s="2" t="inlineStr">
        <is>
          <t>Sensor</t>
        </is>
      </c>
      <c r="D59" s="2" t="inlineStr">
        <is>
          <t>Plant B</t>
        </is>
      </c>
      <c r="E59" s="2" t="inlineStr">
        <is>
          <t>North</t>
        </is>
      </c>
      <c r="F59" s="12" t="n">
        <v>46049</v>
      </c>
      <c r="G59" s="12" t="n">
        <v>46054</v>
      </c>
      <c r="H59" s="12" t="n">
        <v>46049</v>
      </c>
      <c r="I59" s="12" t="n">
        <v>46048</v>
      </c>
      <c r="J59" s="12" t="n">
        <v>46053</v>
      </c>
      <c r="K59" s="2" t="n">
        <v>143</v>
      </c>
      <c r="L59" s="2" t="inlineStr">
        <is>
          <t>Air</t>
        </is>
      </c>
      <c r="M59" s="2" t="inlineStr">
        <is>
          <t>No Delay</t>
        </is>
      </c>
      <c r="N59" s="4">
        <f>IF(I59&lt;=H59,1,0)</f>
        <v/>
      </c>
      <c r="O59" s="4">
        <f>IF(J59&lt;=G59,1,0)</f>
        <v/>
      </c>
      <c r="P59" s="4">
        <f>MAX(0,I59-H59)</f>
        <v/>
      </c>
      <c r="Q59" s="4">
        <f>MAX(0,J59-G59)</f>
        <v/>
      </c>
      <c r="R59" s="4">
        <f>IF(AND(N59=1,O59=1),"On Track",IF(O59=0,"Customer Delivery Late","Ship Late"))</f>
        <v/>
      </c>
    </row>
    <row r="60">
      <c r="A60" s="2" t="inlineStr">
        <is>
          <t>ORD-00059</t>
        </is>
      </c>
      <c r="B60" s="2" t="inlineStr">
        <is>
          <t>Customer 10</t>
        </is>
      </c>
      <c r="C60" s="2" t="inlineStr">
        <is>
          <t>Contactor</t>
        </is>
      </c>
      <c r="D60" s="2" t="inlineStr">
        <is>
          <t>Plant A</t>
        </is>
      </c>
      <c r="E60" s="2" t="inlineStr">
        <is>
          <t>North</t>
        </is>
      </c>
      <c r="F60" s="12" t="n">
        <v>46148</v>
      </c>
      <c r="G60" s="12" t="n">
        <v>46155</v>
      </c>
      <c r="H60" s="12" t="n">
        <v>46150</v>
      </c>
      <c r="I60" s="12" t="n">
        <v>46148</v>
      </c>
      <c r="J60" s="12" t="n">
        <v>46153</v>
      </c>
      <c r="K60" s="2" t="n">
        <v>1152</v>
      </c>
      <c r="L60" s="2" t="inlineStr">
        <is>
          <t>Air</t>
        </is>
      </c>
      <c r="M60" s="2" t="inlineStr">
        <is>
          <t>No Delay</t>
        </is>
      </c>
      <c r="N60" s="4">
        <f>IF(I60&lt;=H60,1,0)</f>
        <v/>
      </c>
      <c r="O60" s="4">
        <f>IF(J60&lt;=G60,1,0)</f>
        <v/>
      </c>
      <c r="P60" s="4">
        <f>MAX(0,I60-H60)</f>
        <v/>
      </c>
      <c r="Q60" s="4">
        <f>MAX(0,J60-G60)</f>
        <v/>
      </c>
      <c r="R60" s="4">
        <f>IF(AND(N60=1,O60=1),"On Track",IF(O60=0,"Customer Delivery Late","Ship Late"))</f>
        <v/>
      </c>
    </row>
    <row r="61">
      <c r="A61" s="2" t="inlineStr">
        <is>
          <t>ORD-00060</t>
        </is>
      </c>
      <c r="B61" s="2" t="inlineStr">
        <is>
          <t>Customer 10</t>
        </is>
      </c>
      <c r="C61" s="2" t="inlineStr">
        <is>
          <t>Power Supply</t>
        </is>
      </c>
      <c r="D61" s="2" t="inlineStr">
        <is>
          <t>Plant B</t>
        </is>
      </c>
      <c r="E61" s="2" t="inlineStr">
        <is>
          <t>North</t>
        </is>
      </c>
      <c r="F61" s="12" t="n">
        <v>46178</v>
      </c>
      <c r="G61" s="12" t="n">
        <v>46202</v>
      </c>
      <c r="H61" s="12" t="n">
        <v>46197</v>
      </c>
      <c r="I61" s="12" t="n">
        <v>46197</v>
      </c>
      <c r="J61" s="12" t="n">
        <v>46202</v>
      </c>
      <c r="K61" s="2" t="n">
        <v>1258</v>
      </c>
      <c r="L61" s="2" t="inlineStr">
        <is>
          <t>Sea</t>
        </is>
      </c>
      <c r="M61" s="2" t="inlineStr">
        <is>
          <t>No Delay</t>
        </is>
      </c>
      <c r="N61" s="4">
        <f>IF(I61&lt;=H61,1,0)</f>
        <v/>
      </c>
      <c r="O61" s="4">
        <f>IF(J61&lt;=G61,1,0)</f>
        <v/>
      </c>
      <c r="P61" s="4">
        <f>MAX(0,I61-H61)</f>
        <v/>
      </c>
      <c r="Q61" s="4">
        <f>MAX(0,J61-G61)</f>
        <v/>
      </c>
      <c r="R61" s="4">
        <f>IF(AND(N61=1,O61=1),"On Track",IF(O61=0,"Customer Delivery Late","Ship Late"))</f>
        <v/>
      </c>
    </row>
    <row r="62">
      <c r="A62" s="2" t="inlineStr">
        <is>
          <t>ORD-00061</t>
        </is>
      </c>
      <c r="B62" s="2" t="inlineStr">
        <is>
          <t>Customer 03</t>
        </is>
      </c>
      <c r="C62" s="2" t="inlineStr">
        <is>
          <t>Relay</t>
        </is>
      </c>
      <c r="D62" s="2" t="inlineStr">
        <is>
          <t>Plant A</t>
        </is>
      </c>
      <c r="E62" s="2" t="inlineStr">
        <is>
          <t>Export</t>
        </is>
      </c>
      <c r="F62" s="12" t="n">
        <v>46048</v>
      </c>
      <c r="G62" s="12" t="n">
        <v>46059</v>
      </c>
      <c r="H62" s="12" t="n">
        <v>46057</v>
      </c>
      <c r="I62" s="12" t="n">
        <v>46055</v>
      </c>
      <c r="J62" s="12" t="n">
        <v>46057</v>
      </c>
      <c r="K62" s="2" t="n">
        <v>932</v>
      </c>
      <c r="L62" s="2" t="inlineStr">
        <is>
          <t>Sea</t>
        </is>
      </c>
      <c r="M62" s="2" t="inlineStr">
        <is>
          <t>No Delay</t>
        </is>
      </c>
      <c r="N62" s="4">
        <f>IF(I62&lt;=H62,1,0)</f>
        <v/>
      </c>
      <c r="O62" s="4">
        <f>IF(J62&lt;=G62,1,0)</f>
        <v/>
      </c>
      <c r="P62" s="4">
        <f>MAX(0,I62-H62)</f>
        <v/>
      </c>
      <c r="Q62" s="4">
        <f>MAX(0,J62-G62)</f>
        <v/>
      </c>
      <c r="R62" s="4">
        <f>IF(AND(N62=1,O62=1),"On Track",IF(O62=0,"Customer Delivery Late","Ship Late"))</f>
        <v/>
      </c>
    </row>
    <row r="63">
      <c r="A63" s="2" t="inlineStr">
        <is>
          <t>ORD-00062</t>
        </is>
      </c>
      <c r="B63" s="2" t="inlineStr">
        <is>
          <t>Customer 08</t>
        </is>
      </c>
      <c r="C63" s="2" t="inlineStr">
        <is>
          <t>Sensor</t>
        </is>
      </c>
      <c r="D63" s="2" t="inlineStr">
        <is>
          <t>Plant C</t>
        </is>
      </c>
      <c r="E63" s="2" t="inlineStr">
        <is>
          <t>Central</t>
        </is>
      </c>
      <c r="F63" s="12" t="n">
        <v>46175</v>
      </c>
      <c r="G63" s="12" t="n">
        <v>46195</v>
      </c>
      <c r="H63" s="12" t="n">
        <v>46192</v>
      </c>
      <c r="I63" s="12" t="n">
        <v>46191</v>
      </c>
      <c r="J63" s="12" t="n">
        <v>46194</v>
      </c>
      <c r="K63" s="2" t="n">
        <v>880</v>
      </c>
      <c r="L63" s="2" t="inlineStr">
        <is>
          <t>Road</t>
        </is>
      </c>
      <c r="M63" s="2" t="inlineStr">
        <is>
          <t>No Delay</t>
        </is>
      </c>
      <c r="N63" s="4">
        <f>IF(I63&lt;=H63,1,0)</f>
        <v/>
      </c>
      <c r="O63" s="4">
        <f>IF(J63&lt;=G63,1,0)</f>
        <v/>
      </c>
      <c r="P63" s="4">
        <f>MAX(0,I63-H63)</f>
        <v/>
      </c>
      <c r="Q63" s="4">
        <f>MAX(0,J63-G63)</f>
        <v/>
      </c>
      <c r="R63" s="4">
        <f>IF(AND(N63=1,O63=1),"On Track",IF(O63=0,"Customer Delivery Late","Ship Late"))</f>
        <v/>
      </c>
    </row>
    <row r="64">
      <c r="A64" s="2" t="inlineStr">
        <is>
          <t>ORD-00063</t>
        </is>
      </c>
      <c r="B64" s="2" t="inlineStr">
        <is>
          <t>Customer 10</t>
        </is>
      </c>
      <c r="C64" s="2" t="inlineStr">
        <is>
          <t>Sensor</t>
        </is>
      </c>
      <c r="D64" s="2" t="inlineStr">
        <is>
          <t>Plant B</t>
        </is>
      </c>
      <c r="E64" s="2" t="inlineStr">
        <is>
          <t>North</t>
        </is>
      </c>
      <c r="F64" s="12" t="n">
        <v>46162</v>
      </c>
      <c r="G64" s="12" t="n">
        <v>46174</v>
      </c>
      <c r="H64" s="12" t="n">
        <v>46172</v>
      </c>
      <c r="I64" s="12" t="n">
        <v>46170</v>
      </c>
      <c r="J64" s="12" t="n">
        <v>46171</v>
      </c>
      <c r="K64" s="2" t="n">
        <v>969</v>
      </c>
      <c r="L64" s="2" t="inlineStr">
        <is>
          <t>Sea</t>
        </is>
      </c>
      <c r="M64" s="2" t="inlineStr">
        <is>
          <t>No Delay</t>
        </is>
      </c>
      <c r="N64" s="4">
        <f>IF(I64&lt;=H64,1,0)</f>
        <v/>
      </c>
      <c r="O64" s="4">
        <f>IF(J64&lt;=G64,1,0)</f>
        <v/>
      </c>
      <c r="P64" s="4">
        <f>MAX(0,I64-H64)</f>
        <v/>
      </c>
      <c r="Q64" s="4">
        <f>MAX(0,J64-G64)</f>
        <v/>
      </c>
      <c r="R64" s="4">
        <f>IF(AND(N64=1,O64=1),"On Track",IF(O64=0,"Customer Delivery Late","Ship Late"))</f>
        <v/>
      </c>
    </row>
    <row r="65">
      <c r="A65" s="2" t="inlineStr">
        <is>
          <t>ORD-00064</t>
        </is>
      </c>
      <c r="B65" s="2" t="inlineStr">
        <is>
          <t>Customer 29</t>
        </is>
      </c>
      <c r="C65" s="2" t="inlineStr">
        <is>
          <t>Power Supply</t>
        </is>
      </c>
      <c r="D65" s="2" t="inlineStr">
        <is>
          <t>Plant C</t>
        </is>
      </c>
      <c r="E65" s="2" t="inlineStr">
        <is>
          <t>South</t>
        </is>
      </c>
      <c r="F65" s="12" t="n">
        <v>46100</v>
      </c>
      <c r="G65" s="12" t="n">
        <v>46117</v>
      </c>
      <c r="H65" s="12" t="n">
        <v>46114</v>
      </c>
      <c r="I65" s="12" t="n">
        <v>46113</v>
      </c>
      <c r="J65" s="12" t="n">
        <v>46115</v>
      </c>
      <c r="K65" s="2" t="n">
        <v>1246</v>
      </c>
      <c r="L65" s="2" t="inlineStr">
        <is>
          <t>Air</t>
        </is>
      </c>
      <c r="M65" s="2" t="inlineStr">
        <is>
          <t>No Delay</t>
        </is>
      </c>
      <c r="N65" s="4">
        <f>IF(I65&lt;=H65,1,0)</f>
        <v/>
      </c>
      <c r="O65" s="4">
        <f>IF(J65&lt;=G65,1,0)</f>
        <v/>
      </c>
      <c r="P65" s="4">
        <f>MAX(0,I65-H65)</f>
        <v/>
      </c>
      <c r="Q65" s="4">
        <f>MAX(0,J65-G65)</f>
        <v/>
      </c>
      <c r="R65" s="4">
        <f>IF(AND(N65=1,O65=1),"On Track",IF(O65=0,"Customer Delivery Late","Ship Late"))</f>
        <v/>
      </c>
    </row>
    <row r="66">
      <c r="A66" s="2" t="inlineStr">
        <is>
          <t>ORD-00065</t>
        </is>
      </c>
      <c r="B66" s="2" t="inlineStr">
        <is>
          <t>Customer 25</t>
        </is>
      </c>
      <c r="C66" s="2" t="inlineStr">
        <is>
          <t>Relay</t>
        </is>
      </c>
      <c r="D66" s="2" t="inlineStr">
        <is>
          <t>Plant B</t>
        </is>
      </c>
      <c r="E66" s="2" t="inlineStr">
        <is>
          <t>Export</t>
        </is>
      </c>
      <c r="F66" s="12" t="n">
        <v>46029</v>
      </c>
      <c r="G66" s="12" t="n">
        <v>46036</v>
      </c>
      <c r="H66" s="12" t="n">
        <v>46034</v>
      </c>
      <c r="I66" s="12" t="n">
        <v>46034</v>
      </c>
      <c r="J66" s="12" t="n">
        <v>46036</v>
      </c>
      <c r="K66" s="2" t="n">
        <v>579</v>
      </c>
      <c r="L66" s="2" t="inlineStr">
        <is>
          <t>Road</t>
        </is>
      </c>
      <c r="M66" s="2" t="inlineStr">
        <is>
          <t>No Delay</t>
        </is>
      </c>
      <c r="N66" s="4">
        <f>IF(I66&lt;=H66,1,0)</f>
        <v/>
      </c>
      <c r="O66" s="4">
        <f>IF(J66&lt;=G66,1,0)</f>
        <v/>
      </c>
      <c r="P66" s="4">
        <f>MAX(0,I66-H66)</f>
        <v/>
      </c>
      <c r="Q66" s="4">
        <f>MAX(0,J66-G66)</f>
        <v/>
      </c>
      <c r="R66" s="4">
        <f>IF(AND(N66=1,O66=1),"On Track",IF(O66=0,"Customer Delivery Late","Ship Late"))</f>
        <v/>
      </c>
    </row>
    <row r="67">
      <c r="A67" s="2" t="inlineStr">
        <is>
          <t>ORD-00066</t>
        </is>
      </c>
      <c r="B67" s="2" t="inlineStr">
        <is>
          <t>Customer 04</t>
        </is>
      </c>
      <c r="C67" s="2" t="inlineStr">
        <is>
          <t>Relay</t>
        </is>
      </c>
      <c r="D67" s="2" t="inlineStr">
        <is>
          <t>Plant B</t>
        </is>
      </c>
      <c r="E67" s="2" t="inlineStr">
        <is>
          <t>Export</t>
        </is>
      </c>
      <c r="F67" s="12" t="n">
        <v>46172</v>
      </c>
      <c r="G67" s="12" t="n">
        <v>46190</v>
      </c>
      <c r="H67" s="12" t="n">
        <v>46186</v>
      </c>
      <c r="I67" s="12" t="n">
        <v>46194</v>
      </c>
      <c r="J67" s="12" t="n">
        <v>46198</v>
      </c>
      <c r="K67" s="2" t="n">
        <v>1430</v>
      </c>
      <c r="L67" s="2" t="inlineStr">
        <is>
          <t>Air</t>
        </is>
      </c>
      <c r="M67" s="2" t="inlineStr">
        <is>
          <t>Customer Change</t>
        </is>
      </c>
      <c r="N67" s="4">
        <f>IF(I67&lt;=H67,1,0)</f>
        <v/>
      </c>
      <c r="O67" s="4">
        <f>IF(J67&lt;=G67,1,0)</f>
        <v/>
      </c>
      <c r="P67" s="4">
        <f>MAX(0,I67-H67)</f>
        <v/>
      </c>
      <c r="Q67" s="4">
        <f>MAX(0,J67-G67)</f>
        <v/>
      </c>
      <c r="R67" s="4">
        <f>IF(AND(N67=1,O67=1),"On Track",IF(O67=0,"Customer Delivery Late","Ship Late"))</f>
        <v/>
      </c>
    </row>
    <row r="68">
      <c r="A68" s="2" t="inlineStr">
        <is>
          <t>ORD-00067</t>
        </is>
      </c>
      <c r="B68" s="2" t="inlineStr">
        <is>
          <t>Customer 25</t>
        </is>
      </c>
      <c r="C68" s="2" t="inlineStr">
        <is>
          <t>Power Supply</t>
        </is>
      </c>
      <c r="D68" s="2" t="inlineStr">
        <is>
          <t>Plant C</t>
        </is>
      </c>
      <c r="E68" s="2" t="inlineStr">
        <is>
          <t>North</t>
        </is>
      </c>
      <c r="F68" s="12" t="n">
        <v>46096</v>
      </c>
      <c r="G68" s="12" t="n">
        <v>46113</v>
      </c>
      <c r="H68" s="12" t="n">
        <v>46108</v>
      </c>
      <c r="I68" s="12" t="n">
        <v>46106</v>
      </c>
      <c r="J68" s="12" t="n">
        <v>46111</v>
      </c>
      <c r="K68" s="2" t="n">
        <v>1356</v>
      </c>
      <c r="L68" s="2" t="inlineStr">
        <is>
          <t>Sea</t>
        </is>
      </c>
      <c r="M68" s="2" t="inlineStr">
        <is>
          <t>No Delay</t>
        </is>
      </c>
      <c r="N68" s="4">
        <f>IF(I68&lt;=H68,1,0)</f>
        <v/>
      </c>
      <c r="O68" s="4">
        <f>IF(J68&lt;=G68,1,0)</f>
        <v/>
      </c>
      <c r="P68" s="4">
        <f>MAX(0,I68-H68)</f>
        <v/>
      </c>
      <c r="Q68" s="4">
        <f>MAX(0,J68-G68)</f>
        <v/>
      </c>
      <c r="R68" s="4">
        <f>IF(AND(N68=1,O68=1),"On Track",IF(O68=0,"Customer Delivery Late","Ship Late"))</f>
        <v/>
      </c>
    </row>
    <row r="69">
      <c r="A69" s="2" t="inlineStr">
        <is>
          <t>ORD-00068</t>
        </is>
      </c>
      <c r="B69" s="2" t="inlineStr">
        <is>
          <t>Customer 07</t>
        </is>
      </c>
      <c r="C69" s="2" t="inlineStr">
        <is>
          <t>Sensor</t>
        </is>
      </c>
      <c r="D69" s="2" t="inlineStr">
        <is>
          <t>Plant C</t>
        </is>
      </c>
      <c r="E69" s="2" t="inlineStr">
        <is>
          <t>Central</t>
        </is>
      </c>
      <c r="F69" s="12" t="n">
        <v>46141</v>
      </c>
      <c r="G69" s="12" t="n">
        <v>46159</v>
      </c>
      <c r="H69" s="12" t="n">
        <v>46158</v>
      </c>
      <c r="I69" s="12" t="n">
        <v>46157</v>
      </c>
      <c r="J69" s="12" t="n">
        <v>46158</v>
      </c>
      <c r="K69" s="2" t="n">
        <v>599</v>
      </c>
      <c r="L69" s="2" t="inlineStr">
        <is>
          <t>Air</t>
        </is>
      </c>
      <c r="M69" s="2" t="inlineStr">
        <is>
          <t>No Delay</t>
        </is>
      </c>
      <c r="N69" s="4">
        <f>IF(I69&lt;=H69,1,0)</f>
        <v/>
      </c>
      <c r="O69" s="4">
        <f>IF(J69&lt;=G69,1,0)</f>
        <v/>
      </c>
      <c r="P69" s="4">
        <f>MAX(0,I69-H69)</f>
        <v/>
      </c>
      <c r="Q69" s="4">
        <f>MAX(0,J69-G69)</f>
        <v/>
      </c>
      <c r="R69" s="4">
        <f>IF(AND(N69=1,O69=1),"On Track",IF(O69=0,"Customer Delivery Late","Ship Late"))</f>
        <v/>
      </c>
    </row>
    <row r="70">
      <c r="A70" s="2" t="inlineStr">
        <is>
          <t>ORD-00069</t>
        </is>
      </c>
      <c r="B70" s="2" t="inlineStr">
        <is>
          <t>Customer 01</t>
        </is>
      </c>
      <c r="C70" s="2" t="inlineStr">
        <is>
          <t>Power Supply</t>
        </is>
      </c>
      <c r="D70" s="2" t="inlineStr">
        <is>
          <t>Plant A</t>
        </is>
      </c>
      <c r="E70" s="2" t="inlineStr">
        <is>
          <t>Central</t>
        </is>
      </c>
      <c r="F70" s="12" t="n">
        <v>46201</v>
      </c>
      <c r="G70" s="12" t="n">
        <v>46221</v>
      </c>
      <c r="H70" s="12" t="n">
        <v>46220</v>
      </c>
      <c r="I70" s="12" t="n">
        <v>46220</v>
      </c>
      <c r="J70" s="12" t="n">
        <v>46221</v>
      </c>
      <c r="K70" s="2" t="n">
        <v>242</v>
      </c>
      <c r="L70" s="2" t="inlineStr">
        <is>
          <t>Air</t>
        </is>
      </c>
      <c r="M70" s="2" t="inlineStr">
        <is>
          <t>No Delay</t>
        </is>
      </c>
      <c r="N70" s="4">
        <f>IF(I70&lt;=H70,1,0)</f>
        <v/>
      </c>
      <c r="O70" s="4">
        <f>IF(J70&lt;=G70,1,0)</f>
        <v/>
      </c>
      <c r="P70" s="4">
        <f>MAX(0,I70-H70)</f>
        <v/>
      </c>
      <c r="Q70" s="4">
        <f>MAX(0,J70-G70)</f>
        <v/>
      </c>
      <c r="R70" s="4">
        <f>IF(AND(N70=1,O70=1),"On Track",IF(O70=0,"Customer Delivery Late","Ship Late"))</f>
        <v/>
      </c>
    </row>
    <row r="71">
      <c r="A71" s="2" t="inlineStr">
        <is>
          <t>ORD-00070</t>
        </is>
      </c>
      <c r="B71" s="2" t="inlineStr">
        <is>
          <t>Customer 27</t>
        </is>
      </c>
      <c r="C71" s="2" t="inlineStr">
        <is>
          <t>Switchgear</t>
        </is>
      </c>
      <c r="D71" s="2" t="inlineStr">
        <is>
          <t>Plant B</t>
        </is>
      </c>
      <c r="E71" s="2" t="inlineStr">
        <is>
          <t>Central</t>
        </is>
      </c>
      <c r="F71" s="12" t="n">
        <v>46053</v>
      </c>
      <c r="G71" s="12" t="n">
        <v>46078</v>
      </c>
      <c r="H71" s="12" t="n">
        <v>46076</v>
      </c>
      <c r="I71" s="12" t="n">
        <v>46076</v>
      </c>
      <c r="J71" s="12" t="n">
        <v>46079</v>
      </c>
      <c r="K71" s="2" t="n">
        <v>945</v>
      </c>
      <c r="L71" s="2" t="inlineStr">
        <is>
          <t>Sea</t>
        </is>
      </c>
      <c r="M71" s="2" t="inlineStr">
        <is>
          <t>Documentation Issue</t>
        </is>
      </c>
      <c r="N71" s="4">
        <f>IF(I71&lt;=H71,1,0)</f>
        <v/>
      </c>
      <c r="O71" s="4">
        <f>IF(J71&lt;=G71,1,0)</f>
        <v/>
      </c>
      <c r="P71" s="4">
        <f>MAX(0,I71-H71)</f>
        <v/>
      </c>
      <c r="Q71" s="4">
        <f>MAX(0,J71-G71)</f>
        <v/>
      </c>
      <c r="R71" s="4">
        <f>IF(AND(N71=1,O71=1),"On Track",IF(O71=0,"Customer Delivery Late","Ship Late"))</f>
        <v/>
      </c>
    </row>
    <row r="72">
      <c r="A72" s="2" t="inlineStr">
        <is>
          <t>ORD-00071</t>
        </is>
      </c>
      <c r="B72" s="2" t="inlineStr">
        <is>
          <t>Customer 26</t>
        </is>
      </c>
      <c r="C72" s="2" t="inlineStr">
        <is>
          <t>Power Supply</t>
        </is>
      </c>
      <c r="D72" s="2" t="inlineStr">
        <is>
          <t>Plant B</t>
        </is>
      </c>
      <c r="E72" s="2" t="inlineStr">
        <is>
          <t>South</t>
        </is>
      </c>
      <c r="F72" s="12" t="n">
        <v>46060</v>
      </c>
      <c r="G72" s="12" t="n">
        <v>46077</v>
      </c>
      <c r="H72" s="12" t="n">
        <v>46075</v>
      </c>
      <c r="I72" s="12" t="n">
        <v>46075</v>
      </c>
      <c r="J72" s="12" t="n">
        <v>46076</v>
      </c>
      <c r="K72" s="2" t="n">
        <v>15</v>
      </c>
      <c r="L72" s="2" t="inlineStr">
        <is>
          <t>Air</t>
        </is>
      </c>
      <c r="M72" s="2" t="inlineStr">
        <is>
          <t>No Delay</t>
        </is>
      </c>
      <c r="N72" s="4">
        <f>IF(I72&lt;=H72,1,0)</f>
        <v/>
      </c>
      <c r="O72" s="4">
        <f>IF(J72&lt;=G72,1,0)</f>
        <v/>
      </c>
      <c r="P72" s="4">
        <f>MAX(0,I72-H72)</f>
        <v/>
      </c>
      <c r="Q72" s="4">
        <f>MAX(0,J72-G72)</f>
        <v/>
      </c>
      <c r="R72" s="4">
        <f>IF(AND(N72=1,O72=1),"On Track",IF(O72=0,"Customer Delivery Late","Ship Late"))</f>
        <v/>
      </c>
    </row>
    <row r="73">
      <c r="A73" s="2" t="inlineStr">
        <is>
          <t>ORD-00072</t>
        </is>
      </c>
      <c r="B73" s="2" t="inlineStr">
        <is>
          <t>Customer 11</t>
        </is>
      </c>
      <c r="C73" s="2" t="inlineStr">
        <is>
          <t>Power Supply</t>
        </is>
      </c>
      <c r="D73" s="2" t="inlineStr">
        <is>
          <t>Plant B</t>
        </is>
      </c>
      <c r="E73" s="2" t="inlineStr">
        <is>
          <t>South</t>
        </is>
      </c>
      <c r="F73" s="12" t="n">
        <v>46099</v>
      </c>
      <c r="G73" s="12" t="n">
        <v>46122</v>
      </c>
      <c r="H73" s="12" t="n">
        <v>46117</v>
      </c>
      <c r="I73" s="12" t="n">
        <v>46125</v>
      </c>
      <c r="J73" s="12" t="n">
        <v>46130</v>
      </c>
      <c r="K73" s="2" t="n">
        <v>396</v>
      </c>
      <c r="L73" s="2" t="inlineStr">
        <is>
          <t>Sea</t>
        </is>
      </c>
      <c r="M73" s="2" t="inlineStr">
        <is>
          <t>Carrier Delay</t>
        </is>
      </c>
      <c r="N73" s="4">
        <f>IF(I73&lt;=H73,1,0)</f>
        <v/>
      </c>
      <c r="O73" s="4">
        <f>IF(J73&lt;=G73,1,0)</f>
        <v/>
      </c>
      <c r="P73" s="4">
        <f>MAX(0,I73-H73)</f>
        <v/>
      </c>
      <c r="Q73" s="4">
        <f>MAX(0,J73-G73)</f>
        <v/>
      </c>
      <c r="R73" s="4">
        <f>IF(AND(N73=1,O73=1),"On Track",IF(O73=0,"Customer Delivery Late","Ship Late"))</f>
        <v/>
      </c>
    </row>
    <row r="74">
      <c r="A74" s="2" t="inlineStr">
        <is>
          <t>ORD-00073</t>
        </is>
      </c>
      <c r="B74" s="2" t="inlineStr">
        <is>
          <t>Customer 23</t>
        </is>
      </c>
      <c r="C74" s="2" t="inlineStr">
        <is>
          <t>Power Supply</t>
        </is>
      </c>
      <c r="D74" s="2" t="inlineStr">
        <is>
          <t>Plant B</t>
        </is>
      </c>
      <c r="E74" s="2" t="inlineStr">
        <is>
          <t>Central</t>
        </is>
      </c>
      <c r="F74" s="12" t="n">
        <v>46084</v>
      </c>
      <c r="G74" s="12" t="n">
        <v>46107</v>
      </c>
      <c r="H74" s="12" t="n">
        <v>46103</v>
      </c>
      <c r="I74" s="12" t="n">
        <v>46102</v>
      </c>
      <c r="J74" s="12" t="n">
        <v>46106</v>
      </c>
      <c r="K74" s="2" t="n">
        <v>1024</v>
      </c>
      <c r="L74" s="2" t="inlineStr">
        <is>
          <t>Road</t>
        </is>
      </c>
      <c r="M74" s="2" t="inlineStr">
        <is>
          <t>No Delay</t>
        </is>
      </c>
      <c r="N74" s="4">
        <f>IF(I74&lt;=H74,1,0)</f>
        <v/>
      </c>
      <c r="O74" s="4">
        <f>IF(J74&lt;=G74,1,0)</f>
        <v/>
      </c>
      <c r="P74" s="4">
        <f>MAX(0,I74-H74)</f>
        <v/>
      </c>
      <c r="Q74" s="4">
        <f>MAX(0,J74-G74)</f>
        <v/>
      </c>
      <c r="R74" s="4">
        <f>IF(AND(N74=1,O74=1),"On Track",IF(O74=0,"Customer Delivery Late","Ship Late"))</f>
        <v/>
      </c>
    </row>
    <row r="75">
      <c r="A75" s="2" t="inlineStr">
        <is>
          <t>ORD-00074</t>
        </is>
      </c>
      <c r="B75" s="2" t="inlineStr">
        <is>
          <t>Customer 15</t>
        </is>
      </c>
      <c r="C75" s="2" t="inlineStr">
        <is>
          <t>Breaker</t>
        </is>
      </c>
      <c r="D75" s="2" t="inlineStr">
        <is>
          <t>Plant C</t>
        </is>
      </c>
      <c r="E75" s="2" t="inlineStr">
        <is>
          <t>Central</t>
        </is>
      </c>
      <c r="F75" s="12" t="n">
        <v>46055</v>
      </c>
      <c r="G75" s="12" t="n">
        <v>46076</v>
      </c>
      <c r="H75" s="12" t="n">
        <v>46071</v>
      </c>
      <c r="I75" s="12" t="n">
        <v>46069</v>
      </c>
      <c r="J75" s="12" t="n">
        <v>46073</v>
      </c>
      <c r="K75" s="2" t="n">
        <v>849</v>
      </c>
      <c r="L75" s="2" t="inlineStr">
        <is>
          <t>Sea</t>
        </is>
      </c>
      <c r="M75" s="2" t="inlineStr">
        <is>
          <t>No Delay</t>
        </is>
      </c>
      <c r="N75" s="4">
        <f>IF(I75&lt;=H75,1,0)</f>
        <v/>
      </c>
      <c r="O75" s="4">
        <f>IF(J75&lt;=G75,1,0)</f>
        <v/>
      </c>
      <c r="P75" s="4">
        <f>MAX(0,I75-H75)</f>
        <v/>
      </c>
      <c r="Q75" s="4">
        <f>MAX(0,J75-G75)</f>
        <v/>
      </c>
      <c r="R75" s="4">
        <f>IF(AND(N75=1,O75=1),"On Track",IF(O75=0,"Customer Delivery Late","Ship Late"))</f>
        <v/>
      </c>
    </row>
    <row r="76">
      <c r="A76" s="2" t="inlineStr">
        <is>
          <t>ORD-00075</t>
        </is>
      </c>
      <c r="B76" s="2" t="inlineStr">
        <is>
          <t>Customer 21</t>
        </is>
      </c>
      <c r="C76" s="2" t="inlineStr">
        <is>
          <t>Contactor</t>
        </is>
      </c>
      <c r="D76" s="2" t="inlineStr">
        <is>
          <t>Plant B</t>
        </is>
      </c>
      <c r="E76" s="2" t="inlineStr">
        <is>
          <t>Export</t>
        </is>
      </c>
      <c r="F76" s="12" t="n">
        <v>46062</v>
      </c>
      <c r="G76" s="12" t="n">
        <v>46069</v>
      </c>
      <c r="H76" s="12" t="n">
        <v>46065</v>
      </c>
      <c r="I76" s="12" t="n">
        <v>46064</v>
      </c>
      <c r="J76" s="12" t="n">
        <v>46069</v>
      </c>
      <c r="K76" s="2" t="n">
        <v>658</v>
      </c>
      <c r="L76" s="2" t="inlineStr">
        <is>
          <t>Sea</t>
        </is>
      </c>
      <c r="M76" s="2" t="inlineStr">
        <is>
          <t>No Delay</t>
        </is>
      </c>
      <c r="N76" s="4">
        <f>IF(I76&lt;=H76,1,0)</f>
        <v/>
      </c>
      <c r="O76" s="4">
        <f>IF(J76&lt;=G76,1,0)</f>
        <v/>
      </c>
      <c r="P76" s="4">
        <f>MAX(0,I76-H76)</f>
        <v/>
      </c>
      <c r="Q76" s="4">
        <f>MAX(0,J76-G76)</f>
        <v/>
      </c>
      <c r="R76" s="4">
        <f>IF(AND(N76=1,O76=1),"On Track",IF(O76=0,"Customer Delivery Late","Ship Late"))</f>
        <v/>
      </c>
    </row>
    <row r="77">
      <c r="A77" s="2" t="inlineStr">
        <is>
          <t>ORD-00076</t>
        </is>
      </c>
      <c r="B77" s="2" t="inlineStr">
        <is>
          <t>Customer 14</t>
        </is>
      </c>
      <c r="C77" s="2" t="inlineStr">
        <is>
          <t>Contactor</t>
        </is>
      </c>
      <c r="D77" s="2" t="inlineStr">
        <is>
          <t>Plant C</t>
        </is>
      </c>
      <c r="E77" s="2" t="inlineStr">
        <is>
          <t>North</t>
        </is>
      </c>
      <c r="F77" s="12" t="n">
        <v>46147</v>
      </c>
      <c r="G77" s="12" t="n">
        <v>46169</v>
      </c>
      <c r="H77" s="12" t="n">
        <v>46168</v>
      </c>
      <c r="I77" s="12" t="n">
        <v>46166</v>
      </c>
      <c r="J77" s="12" t="n">
        <v>46167</v>
      </c>
      <c r="K77" s="2" t="n">
        <v>918</v>
      </c>
      <c r="L77" s="2" t="inlineStr">
        <is>
          <t>Road</t>
        </is>
      </c>
      <c r="M77" s="2" t="inlineStr">
        <is>
          <t>No Delay</t>
        </is>
      </c>
      <c r="N77" s="4">
        <f>IF(I77&lt;=H77,1,0)</f>
        <v/>
      </c>
      <c r="O77" s="4">
        <f>IF(J77&lt;=G77,1,0)</f>
        <v/>
      </c>
      <c r="P77" s="4">
        <f>MAX(0,I77-H77)</f>
        <v/>
      </c>
      <c r="Q77" s="4">
        <f>MAX(0,J77-G77)</f>
        <v/>
      </c>
      <c r="R77" s="4">
        <f>IF(AND(N77=1,O77=1),"On Track",IF(O77=0,"Customer Delivery Late","Ship Late"))</f>
        <v/>
      </c>
    </row>
    <row r="78">
      <c r="A78" s="2" t="inlineStr">
        <is>
          <t>ORD-00077</t>
        </is>
      </c>
      <c r="B78" s="2" t="inlineStr">
        <is>
          <t>Customer 05</t>
        </is>
      </c>
      <c r="C78" s="2" t="inlineStr">
        <is>
          <t>PLC</t>
        </is>
      </c>
      <c r="D78" s="2" t="inlineStr">
        <is>
          <t>Plant C</t>
        </is>
      </c>
      <c r="E78" s="2" t="inlineStr">
        <is>
          <t>Export</t>
        </is>
      </c>
      <c r="F78" s="12" t="n">
        <v>46200</v>
      </c>
      <c r="G78" s="12" t="n">
        <v>46214</v>
      </c>
      <c r="H78" s="12" t="n">
        <v>46213</v>
      </c>
      <c r="I78" s="12" t="n">
        <v>46211</v>
      </c>
      <c r="J78" s="12" t="n">
        <v>46212</v>
      </c>
      <c r="K78" s="2" t="n">
        <v>1169</v>
      </c>
      <c r="L78" s="2" t="inlineStr">
        <is>
          <t>Sea</t>
        </is>
      </c>
      <c r="M78" s="2" t="inlineStr">
        <is>
          <t>No Delay</t>
        </is>
      </c>
      <c r="N78" s="4">
        <f>IF(I78&lt;=H78,1,0)</f>
        <v/>
      </c>
      <c r="O78" s="4">
        <f>IF(J78&lt;=G78,1,0)</f>
        <v/>
      </c>
      <c r="P78" s="4">
        <f>MAX(0,I78-H78)</f>
        <v/>
      </c>
      <c r="Q78" s="4">
        <f>MAX(0,J78-G78)</f>
        <v/>
      </c>
      <c r="R78" s="4">
        <f>IF(AND(N78=1,O78=1),"On Track",IF(O78=0,"Customer Delivery Late","Ship Late"))</f>
        <v/>
      </c>
    </row>
    <row r="79">
      <c r="A79" s="2" t="inlineStr">
        <is>
          <t>ORD-00078</t>
        </is>
      </c>
      <c r="B79" s="2" t="inlineStr">
        <is>
          <t>Customer 05</t>
        </is>
      </c>
      <c r="C79" s="2" t="inlineStr">
        <is>
          <t>PLC</t>
        </is>
      </c>
      <c r="D79" s="2" t="inlineStr">
        <is>
          <t>Plant B</t>
        </is>
      </c>
      <c r="E79" s="2" t="inlineStr">
        <is>
          <t>South</t>
        </is>
      </c>
      <c r="F79" s="12" t="n">
        <v>46069</v>
      </c>
      <c r="G79" s="12" t="n">
        <v>46079</v>
      </c>
      <c r="H79" s="12" t="n">
        <v>46077</v>
      </c>
      <c r="I79" s="12" t="n">
        <v>46076</v>
      </c>
      <c r="J79" s="12" t="n">
        <v>46078</v>
      </c>
      <c r="K79" s="2" t="n">
        <v>951</v>
      </c>
      <c r="L79" s="2" t="inlineStr">
        <is>
          <t>Air</t>
        </is>
      </c>
      <c r="M79" s="2" t="inlineStr">
        <is>
          <t>No Delay</t>
        </is>
      </c>
      <c r="N79" s="4">
        <f>IF(I79&lt;=H79,1,0)</f>
        <v/>
      </c>
      <c r="O79" s="4">
        <f>IF(J79&lt;=G79,1,0)</f>
        <v/>
      </c>
      <c r="P79" s="4">
        <f>MAX(0,I79-H79)</f>
        <v/>
      </c>
      <c r="Q79" s="4">
        <f>MAX(0,J79-G79)</f>
        <v/>
      </c>
      <c r="R79" s="4">
        <f>IF(AND(N79=1,O79=1),"On Track",IF(O79=0,"Customer Delivery Late","Ship Late"))</f>
        <v/>
      </c>
    </row>
    <row r="80">
      <c r="A80" s="2" t="inlineStr">
        <is>
          <t>ORD-00079</t>
        </is>
      </c>
      <c r="B80" s="2" t="inlineStr">
        <is>
          <t>Customer 12</t>
        </is>
      </c>
      <c r="C80" s="2" t="inlineStr">
        <is>
          <t>Sensor</t>
        </is>
      </c>
      <c r="D80" s="2" t="inlineStr">
        <is>
          <t>Plant C</t>
        </is>
      </c>
      <c r="E80" s="2" t="inlineStr">
        <is>
          <t>Export</t>
        </is>
      </c>
      <c r="F80" s="12" t="n">
        <v>46193</v>
      </c>
      <c r="G80" s="12" t="n">
        <v>46198</v>
      </c>
      <c r="H80" s="12" t="n">
        <v>46194</v>
      </c>
      <c r="I80" s="12" t="n">
        <v>46194</v>
      </c>
      <c r="J80" s="12" t="n">
        <v>46197</v>
      </c>
      <c r="K80" s="2" t="n">
        <v>1423</v>
      </c>
      <c r="L80" s="2" t="inlineStr">
        <is>
          <t>Air</t>
        </is>
      </c>
      <c r="M80" s="2" t="inlineStr">
        <is>
          <t>No Delay</t>
        </is>
      </c>
      <c r="N80" s="4">
        <f>IF(I80&lt;=H80,1,0)</f>
        <v/>
      </c>
      <c r="O80" s="4">
        <f>IF(J80&lt;=G80,1,0)</f>
        <v/>
      </c>
      <c r="P80" s="4">
        <f>MAX(0,I80-H80)</f>
        <v/>
      </c>
      <c r="Q80" s="4">
        <f>MAX(0,J80-G80)</f>
        <v/>
      </c>
      <c r="R80" s="4">
        <f>IF(AND(N80=1,O80=1),"On Track",IF(O80=0,"Customer Delivery Late","Ship Late"))</f>
        <v/>
      </c>
    </row>
    <row r="81">
      <c r="A81" s="2" t="inlineStr">
        <is>
          <t>ORD-00080</t>
        </is>
      </c>
      <c r="B81" s="2" t="inlineStr">
        <is>
          <t>Customer 19</t>
        </is>
      </c>
      <c r="C81" s="2" t="inlineStr">
        <is>
          <t>Sensor</t>
        </is>
      </c>
      <c r="D81" s="2" t="inlineStr">
        <is>
          <t>Plant C</t>
        </is>
      </c>
      <c r="E81" s="2" t="inlineStr">
        <is>
          <t>South</t>
        </is>
      </c>
      <c r="F81" s="12" t="n">
        <v>46139</v>
      </c>
      <c r="G81" s="12" t="n">
        <v>46153</v>
      </c>
      <c r="H81" s="12" t="n">
        <v>46151</v>
      </c>
      <c r="I81" s="12" t="n">
        <v>46159</v>
      </c>
      <c r="J81" s="12" t="n">
        <v>46161</v>
      </c>
      <c r="K81" s="2" t="n">
        <v>54</v>
      </c>
      <c r="L81" s="2" t="inlineStr">
        <is>
          <t>Sea</t>
        </is>
      </c>
      <c r="M81" s="2" t="inlineStr">
        <is>
          <t>Carrier Delay</t>
        </is>
      </c>
      <c r="N81" s="4">
        <f>IF(I81&lt;=H81,1,0)</f>
        <v/>
      </c>
      <c r="O81" s="4">
        <f>IF(J81&lt;=G81,1,0)</f>
        <v/>
      </c>
      <c r="P81" s="4">
        <f>MAX(0,I81-H81)</f>
        <v/>
      </c>
      <c r="Q81" s="4">
        <f>MAX(0,J81-G81)</f>
        <v/>
      </c>
      <c r="R81" s="4">
        <f>IF(AND(N81=1,O81=1),"On Track",IF(O81=0,"Customer Delivery Late","Ship Late"))</f>
        <v/>
      </c>
    </row>
    <row r="82">
      <c r="A82" s="2" t="inlineStr">
        <is>
          <t>ORD-00081</t>
        </is>
      </c>
      <c r="B82" s="2" t="inlineStr">
        <is>
          <t>Customer 25</t>
        </is>
      </c>
      <c r="C82" s="2" t="inlineStr">
        <is>
          <t>PLC</t>
        </is>
      </c>
      <c r="D82" s="2" t="inlineStr">
        <is>
          <t>Plant C</t>
        </is>
      </c>
      <c r="E82" s="2" t="inlineStr">
        <is>
          <t>South</t>
        </is>
      </c>
      <c r="F82" s="12" t="n">
        <v>46124</v>
      </c>
      <c r="G82" s="12" t="n">
        <v>46137</v>
      </c>
      <c r="H82" s="12" t="n">
        <v>46136</v>
      </c>
      <c r="I82" s="12" t="n">
        <v>46136</v>
      </c>
      <c r="J82" s="12" t="n">
        <v>46138</v>
      </c>
      <c r="K82" s="2" t="n">
        <v>458</v>
      </c>
      <c r="L82" s="2" t="inlineStr">
        <is>
          <t>Sea</t>
        </is>
      </c>
      <c r="M82" s="2" t="inlineStr">
        <is>
          <t>Carrier Delay</t>
        </is>
      </c>
      <c r="N82" s="4">
        <f>IF(I82&lt;=H82,1,0)</f>
        <v/>
      </c>
      <c r="O82" s="4">
        <f>IF(J82&lt;=G82,1,0)</f>
        <v/>
      </c>
      <c r="P82" s="4">
        <f>MAX(0,I82-H82)</f>
        <v/>
      </c>
      <c r="Q82" s="4">
        <f>MAX(0,J82-G82)</f>
        <v/>
      </c>
      <c r="R82" s="4">
        <f>IF(AND(N82=1,O82=1),"On Track",IF(O82=0,"Customer Delivery Late","Ship Late"))</f>
        <v/>
      </c>
    </row>
    <row r="83">
      <c r="A83" s="2" t="inlineStr">
        <is>
          <t>ORD-00082</t>
        </is>
      </c>
      <c r="B83" s="2" t="inlineStr">
        <is>
          <t>Customer 21</t>
        </is>
      </c>
      <c r="C83" s="2" t="inlineStr">
        <is>
          <t>Breaker</t>
        </is>
      </c>
      <c r="D83" s="2" t="inlineStr">
        <is>
          <t>Plant B</t>
        </is>
      </c>
      <c r="E83" s="2" t="inlineStr">
        <is>
          <t>Export</t>
        </is>
      </c>
      <c r="F83" s="12" t="n">
        <v>46071</v>
      </c>
      <c r="G83" s="12" t="n">
        <v>46095</v>
      </c>
      <c r="H83" s="12" t="n">
        <v>46092</v>
      </c>
      <c r="I83" s="12" t="n">
        <v>46092</v>
      </c>
      <c r="J83" s="12" t="n">
        <v>46094</v>
      </c>
      <c r="K83" s="2" t="n">
        <v>78</v>
      </c>
      <c r="L83" s="2" t="inlineStr">
        <is>
          <t>Sea</t>
        </is>
      </c>
      <c r="M83" s="2" t="inlineStr">
        <is>
          <t>No Delay</t>
        </is>
      </c>
      <c r="N83" s="4">
        <f>IF(I83&lt;=H83,1,0)</f>
        <v/>
      </c>
      <c r="O83" s="4">
        <f>IF(J83&lt;=G83,1,0)</f>
        <v/>
      </c>
      <c r="P83" s="4">
        <f>MAX(0,I83-H83)</f>
        <v/>
      </c>
      <c r="Q83" s="4">
        <f>MAX(0,J83-G83)</f>
        <v/>
      </c>
      <c r="R83" s="4">
        <f>IF(AND(N83=1,O83=1),"On Track",IF(O83=0,"Customer Delivery Late","Ship Late"))</f>
        <v/>
      </c>
    </row>
    <row r="84">
      <c r="A84" s="2" t="inlineStr">
        <is>
          <t>ORD-00083</t>
        </is>
      </c>
      <c r="B84" s="2" t="inlineStr">
        <is>
          <t>Customer 26</t>
        </is>
      </c>
      <c r="C84" s="2" t="inlineStr">
        <is>
          <t>Drive</t>
        </is>
      </c>
      <c r="D84" s="2" t="inlineStr">
        <is>
          <t>Plant C</t>
        </is>
      </c>
      <c r="E84" s="2" t="inlineStr">
        <is>
          <t>South</t>
        </is>
      </c>
      <c r="F84" s="12" t="n">
        <v>46116</v>
      </c>
      <c r="G84" s="12" t="n">
        <v>46125</v>
      </c>
      <c r="H84" s="12" t="n">
        <v>46124</v>
      </c>
      <c r="I84" s="12" t="n">
        <v>46123</v>
      </c>
      <c r="J84" s="12" t="n">
        <v>46124</v>
      </c>
      <c r="K84" s="2" t="n">
        <v>346</v>
      </c>
      <c r="L84" s="2" t="inlineStr">
        <is>
          <t>Air</t>
        </is>
      </c>
      <c r="M84" s="2" t="inlineStr">
        <is>
          <t>No Delay</t>
        </is>
      </c>
      <c r="N84" s="4">
        <f>IF(I84&lt;=H84,1,0)</f>
        <v/>
      </c>
      <c r="O84" s="4">
        <f>IF(J84&lt;=G84,1,0)</f>
        <v/>
      </c>
      <c r="P84" s="4">
        <f>MAX(0,I84-H84)</f>
        <v/>
      </c>
      <c r="Q84" s="4">
        <f>MAX(0,J84-G84)</f>
        <v/>
      </c>
      <c r="R84" s="4">
        <f>IF(AND(N84=1,O84=1),"On Track",IF(O84=0,"Customer Delivery Late","Ship Late"))</f>
        <v/>
      </c>
    </row>
    <row r="85">
      <c r="A85" s="2" t="inlineStr">
        <is>
          <t>ORD-00084</t>
        </is>
      </c>
      <c r="B85" s="2" t="inlineStr">
        <is>
          <t>Customer 08</t>
        </is>
      </c>
      <c r="C85" s="2" t="inlineStr">
        <is>
          <t>Power Supply</t>
        </is>
      </c>
      <c r="D85" s="2" t="inlineStr">
        <is>
          <t>Plant C</t>
        </is>
      </c>
      <c r="E85" s="2" t="inlineStr">
        <is>
          <t>South</t>
        </is>
      </c>
      <c r="F85" s="12" t="n">
        <v>46146</v>
      </c>
      <c r="G85" s="12" t="n">
        <v>46160</v>
      </c>
      <c r="H85" s="12" t="n">
        <v>46157</v>
      </c>
      <c r="I85" s="12" t="n">
        <v>46156</v>
      </c>
      <c r="J85" s="12" t="n">
        <v>46159</v>
      </c>
      <c r="K85" s="2" t="n">
        <v>194</v>
      </c>
      <c r="L85" s="2" t="inlineStr">
        <is>
          <t>Air</t>
        </is>
      </c>
      <c r="M85" s="2" t="inlineStr">
        <is>
          <t>No Delay</t>
        </is>
      </c>
      <c r="N85" s="4">
        <f>IF(I85&lt;=H85,1,0)</f>
        <v/>
      </c>
      <c r="O85" s="4">
        <f>IF(J85&lt;=G85,1,0)</f>
        <v/>
      </c>
      <c r="P85" s="4">
        <f>MAX(0,I85-H85)</f>
        <v/>
      </c>
      <c r="Q85" s="4">
        <f>MAX(0,J85-G85)</f>
        <v/>
      </c>
      <c r="R85" s="4">
        <f>IF(AND(N85=1,O85=1),"On Track",IF(O85=0,"Customer Delivery Late","Ship Late"))</f>
        <v/>
      </c>
    </row>
    <row r="86">
      <c r="A86" s="2" t="inlineStr">
        <is>
          <t>ORD-00085</t>
        </is>
      </c>
      <c r="B86" s="2" t="inlineStr">
        <is>
          <t>Customer 21</t>
        </is>
      </c>
      <c r="C86" s="2" t="inlineStr">
        <is>
          <t>Drive</t>
        </is>
      </c>
      <c r="D86" s="2" t="inlineStr">
        <is>
          <t>Plant A</t>
        </is>
      </c>
      <c r="E86" s="2" t="inlineStr">
        <is>
          <t>Central</t>
        </is>
      </c>
      <c r="F86" s="12" t="n">
        <v>46026</v>
      </c>
      <c r="G86" s="12" t="n">
        <v>46039</v>
      </c>
      <c r="H86" s="12" t="n">
        <v>46034</v>
      </c>
      <c r="I86" s="12" t="n">
        <v>46033</v>
      </c>
      <c r="J86" s="12" t="n">
        <v>46039</v>
      </c>
      <c r="K86" s="2" t="n">
        <v>975</v>
      </c>
      <c r="L86" s="2" t="inlineStr">
        <is>
          <t>Road</t>
        </is>
      </c>
      <c r="M86" s="2" t="inlineStr">
        <is>
          <t>No Delay</t>
        </is>
      </c>
      <c r="N86" s="4">
        <f>IF(I86&lt;=H86,1,0)</f>
        <v/>
      </c>
      <c r="O86" s="4">
        <f>IF(J86&lt;=G86,1,0)</f>
        <v/>
      </c>
      <c r="P86" s="4">
        <f>MAX(0,I86-H86)</f>
        <v/>
      </c>
      <c r="Q86" s="4">
        <f>MAX(0,J86-G86)</f>
        <v/>
      </c>
      <c r="R86" s="4">
        <f>IF(AND(N86=1,O86=1),"On Track",IF(O86=0,"Customer Delivery Late","Ship Late"))</f>
        <v/>
      </c>
    </row>
    <row r="87">
      <c r="A87" s="2" t="inlineStr">
        <is>
          <t>ORD-00086</t>
        </is>
      </c>
      <c r="B87" s="2" t="inlineStr">
        <is>
          <t>Customer 10</t>
        </is>
      </c>
      <c r="C87" s="2" t="inlineStr">
        <is>
          <t>Power Supply</t>
        </is>
      </c>
      <c r="D87" s="2" t="inlineStr">
        <is>
          <t>Plant A</t>
        </is>
      </c>
      <c r="E87" s="2" t="inlineStr">
        <is>
          <t>Central</t>
        </is>
      </c>
      <c r="F87" s="12" t="n">
        <v>46181</v>
      </c>
      <c r="G87" s="12" t="n">
        <v>46203</v>
      </c>
      <c r="H87" s="12" t="n">
        <v>46200</v>
      </c>
      <c r="I87" s="12" t="n">
        <v>46198</v>
      </c>
      <c r="J87" s="12" t="n">
        <v>46201</v>
      </c>
      <c r="K87" s="2" t="n">
        <v>102</v>
      </c>
      <c r="L87" s="2" t="inlineStr">
        <is>
          <t>Road</t>
        </is>
      </c>
      <c r="M87" s="2" t="inlineStr">
        <is>
          <t>No Delay</t>
        </is>
      </c>
      <c r="N87" s="4">
        <f>IF(I87&lt;=H87,1,0)</f>
        <v/>
      </c>
      <c r="O87" s="4">
        <f>IF(J87&lt;=G87,1,0)</f>
        <v/>
      </c>
      <c r="P87" s="4">
        <f>MAX(0,I87-H87)</f>
        <v/>
      </c>
      <c r="Q87" s="4">
        <f>MAX(0,J87-G87)</f>
        <v/>
      </c>
      <c r="R87" s="4">
        <f>IF(AND(N87=1,O87=1),"On Track",IF(O87=0,"Customer Delivery Late","Ship Late"))</f>
        <v/>
      </c>
    </row>
    <row r="88">
      <c r="A88" s="2" t="inlineStr">
        <is>
          <t>ORD-00087</t>
        </is>
      </c>
      <c r="B88" s="2" t="inlineStr">
        <is>
          <t>Customer 22</t>
        </is>
      </c>
      <c r="C88" s="2" t="inlineStr">
        <is>
          <t>Power Supply</t>
        </is>
      </c>
      <c r="D88" s="2" t="inlineStr">
        <is>
          <t>Plant C</t>
        </is>
      </c>
      <c r="E88" s="2" t="inlineStr">
        <is>
          <t>Central</t>
        </is>
      </c>
      <c r="F88" s="12" t="n">
        <v>46100</v>
      </c>
      <c r="G88" s="12" t="n">
        <v>46120</v>
      </c>
      <c r="H88" s="12" t="n">
        <v>46119</v>
      </c>
      <c r="I88" s="12" t="n">
        <v>46119</v>
      </c>
      <c r="J88" s="12" t="n">
        <v>46120</v>
      </c>
      <c r="K88" s="2" t="n">
        <v>859</v>
      </c>
      <c r="L88" s="2" t="inlineStr">
        <is>
          <t>Sea</t>
        </is>
      </c>
      <c r="M88" s="2" t="inlineStr">
        <is>
          <t>No Delay</t>
        </is>
      </c>
      <c r="N88" s="4">
        <f>IF(I88&lt;=H88,1,0)</f>
        <v/>
      </c>
      <c r="O88" s="4">
        <f>IF(J88&lt;=G88,1,0)</f>
        <v/>
      </c>
      <c r="P88" s="4">
        <f>MAX(0,I88-H88)</f>
        <v/>
      </c>
      <c r="Q88" s="4">
        <f>MAX(0,J88-G88)</f>
        <v/>
      </c>
      <c r="R88" s="4">
        <f>IF(AND(N88=1,O88=1),"On Track",IF(O88=0,"Customer Delivery Late","Ship Late"))</f>
        <v/>
      </c>
    </row>
    <row r="89">
      <c r="A89" s="2" t="inlineStr">
        <is>
          <t>ORD-00088</t>
        </is>
      </c>
      <c r="B89" s="2" t="inlineStr">
        <is>
          <t>Customer 15</t>
        </is>
      </c>
      <c r="C89" s="2" t="inlineStr">
        <is>
          <t>PLC</t>
        </is>
      </c>
      <c r="D89" s="2" t="inlineStr">
        <is>
          <t>Plant B</t>
        </is>
      </c>
      <c r="E89" s="2" t="inlineStr">
        <is>
          <t>North</t>
        </is>
      </c>
      <c r="F89" s="12" t="n">
        <v>46048</v>
      </c>
      <c r="G89" s="12" t="n">
        <v>46068</v>
      </c>
      <c r="H89" s="12" t="n">
        <v>46063</v>
      </c>
      <c r="I89" s="12" t="n">
        <v>46062</v>
      </c>
      <c r="J89" s="12" t="n">
        <v>46067</v>
      </c>
      <c r="K89" s="2" t="n">
        <v>1414</v>
      </c>
      <c r="L89" s="2" t="inlineStr">
        <is>
          <t>Air</t>
        </is>
      </c>
      <c r="M89" s="2" t="inlineStr">
        <is>
          <t>No Delay</t>
        </is>
      </c>
      <c r="N89" s="4">
        <f>IF(I89&lt;=H89,1,0)</f>
        <v/>
      </c>
      <c r="O89" s="4">
        <f>IF(J89&lt;=G89,1,0)</f>
        <v/>
      </c>
      <c r="P89" s="4">
        <f>MAX(0,I89-H89)</f>
        <v/>
      </c>
      <c r="Q89" s="4">
        <f>MAX(0,J89-G89)</f>
        <v/>
      </c>
      <c r="R89" s="4">
        <f>IF(AND(N89=1,O89=1),"On Track",IF(O89=0,"Customer Delivery Late","Ship Late"))</f>
        <v/>
      </c>
    </row>
    <row r="90">
      <c r="A90" s="2" t="inlineStr">
        <is>
          <t>ORD-00089</t>
        </is>
      </c>
      <c r="B90" s="2" t="inlineStr">
        <is>
          <t>Customer 27</t>
        </is>
      </c>
      <c r="C90" s="2" t="inlineStr">
        <is>
          <t>Switchgear</t>
        </is>
      </c>
      <c r="D90" s="2" t="inlineStr">
        <is>
          <t>Plant A</t>
        </is>
      </c>
      <c r="E90" s="2" t="inlineStr">
        <is>
          <t>Central</t>
        </is>
      </c>
      <c r="F90" s="12" t="n">
        <v>46162</v>
      </c>
      <c r="G90" s="12" t="n">
        <v>46187</v>
      </c>
      <c r="H90" s="12" t="n">
        <v>46184</v>
      </c>
      <c r="I90" s="12" t="n">
        <v>46183</v>
      </c>
      <c r="J90" s="12" t="n">
        <v>46185</v>
      </c>
      <c r="K90" s="2" t="n">
        <v>1324</v>
      </c>
      <c r="L90" s="2" t="inlineStr">
        <is>
          <t>Sea</t>
        </is>
      </c>
      <c r="M90" s="2" t="inlineStr">
        <is>
          <t>No Delay</t>
        </is>
      </c>
      <c r="N90" s="4">
        <f>IF(I90&lt;=H90,1,0)</f>
        <v/>
      </c>
      <c r="O90" s="4">
        <f>IF(J90&lt;=G90,1,0)</f>
        <v/>
      </c>
      <c r="P90" s="4">
        <f>MAX(0,I90-H90)</f>
        <v/>
      </c>
      <c r="Q90" s="4">
        <f>MAX(0,J90-G90)</f>
        <v/>
      </c>
      <c r="R90" s="4">
        <f>IF(AND(N90=1,O90=1),"On Track",IF(O90=0,"Customer Delivery Late","Ship Late"))</f>
        <v/>
      </c>
    </row>
    <row r="91">
      <c r="A91" s="2" t="inlineStr">
        <is>
          <t>ORD-00090</t>
        </is>
      </c>
      <c r="B91" s="2" t="inlineStr">
        <is>
          <t>Customer 27</t>
        </is>
      </c>
      <c r="C91" s="2" t="inlineStr">
        <is>
          <t>PLC</t>
        </is>
      </c>
      <c r="D91" s="2" t="inlineStr">
        <is>
          <t>Plant C</t>
        </is>
      </c>
      <c r="E91" s="2" t="inlineStr">
        <is>
          <t>Central</t>
        </is>
      </c>
      <c r="F91" s="12" t="n">
        <v>46175</v>
      </c>
      <c r="G91" s="12" t="n">
        <v>46180</v>
      </c>
      <c r="H91" s="12" t="n">
        <v>46179</v>
      </c>
      <c r="I91" s="12" t="n">
        <v>46177</v>
      </c>
      <c r="J91" s="12" t="n">
        <v>46179</v>
      </c>
      <c r="K91" s="2" t="n">
        <v>487</v>
      </c>
      <c r="L91" s="2" t="inlineStr">
        <is>
          <t>Air</t>
        </is>
      </c>
      <c r="M91" s="2" t="inlineStr">
        <is>
          <t>No Delay</t>
        </is>
      </c>
      <c r="N91" s="4">
        <f>IF(I91&lt;=H91,1,0)</f>
        <v/>
      </c>
      <c r="O91" s="4">
        <f>IF(J91&lt;=G91,1,0)</f>
        <v/>
      </c>
      <c r="P91" s="4">
        <f>MAX(0,I91-H91)</f>
        <v/>
      </c>
      <c r="Q91" s="4">
        <f>MAX(0,J91-G91)</f>
        <v/>
      </c>
      <c r="R91" s="4">
        <f>IF(AND(N91=1,O91=1),"On Track",IF(O91=0,"Customer Delivery Late","Ship Late"))</f>
        <v/>
      </c>
    </row>
    <row r="92">
      <c r="A92" s="2" t="inlineStr">
        <is>
          <t>ORD-00091</t>
        </is>
      </c>
      <c r="B92" s="2" t="inlineStr">
        <is>
          <t>Customer 06</t>
        </is>
      </c>
      <c r="C92" s="2" t="inlineStr">
        <is>
          <t>Contactor</t>
        </is>
      </c>
      <c r="D92" s="2" t="inlineStr">
        <is>
          <t>Plant C</t>
        </is>
      </c>
      <c r="E92" s="2" t="inlineStr">
        <is>
          <t>North</t>
        </is>
      </c>
      <c r="F92" s="12" t="n">
        <v>46060</v>
      </c>
      <c r="G92" s="12" t="n">
        <v>46084</v>
      </c>
      <c r="H92" s="12" t="n">
        <v>46083</v>
      </c>
      <c r="I92" s="12" t="n">
        <v>46081</v>
      </c>
      <c r="J92" s="12" t="n">
        <v>46083</v>
      </c>
      <c r="K92" s="2" t="n">
        <v>279</v>
      </c>
      <c r="L92" s="2" t="inlineStr">
        <is>
          <t>Road</t>
        </is>
      </c>
      <c r="M92" s="2" t="inlineStr">
        <is>
          <t>No Delay</t>
        </is>
      </c>
      <c r="N92" s="4">
        <f>IF(I92&lt;=H92,1,0)</f>
        <v/>
      </c>
      <c r="O92" s="4">
        <f>IF(J92&lt;=G92,1,0)</f>
        <v/>
      </c>
      <c r="P92" s="4">
        <f>MAX(0,I92-H92)</f>
        <v/>
      </c>
      <c r="Q92" s="4">
        <f>MAX(0,J92-G92)</f>
        <v/>
      </c>
      <c r="R92" s="4">
        <f>IF(AND(N92=1,O92=1),"On Track",IF(O92=0,"Customer Delivery Late","Ship Late"))</f>
        <v/>
      </c>
    </row>
    <row r="93">
      <c r="A93" s="2" t="inlineStr">
        <is>
          <t>ORD-00092</t>
        </is>
      </c>
      <c r="B93" s="2" t="inlineStr">
        <is>
          <t>Customer 14</t>
        </is>
      </c>
      <c r="C93" s="2" t="inlineStr">
        <is>
          <t>Contactor</t>
        </is>
      </c>
      <c r="D93" s="2" t="inlineStr">
        <is>
          <t>Plant C</t>
        </is>
      </c>
      <c r="E93" s="2" t="inlineStr">
        <is>
          <t>North</t>
        </is>
      </c>
      <c r="F93" s="12" t="n">
        <v>46114</v>
      </c>
      <c r="G93" s="12" t="n">
        <v>46126</v>
      </c>
      <c r="H93" s="12" t="n">
        <v>46121</v>
      </c>
      <c r="I93" s="12" t="n">
        <v>46119</v>
      </c>
      <c r="J93" s="12" t="n">
        <v>46123</v>
      </c>
      <c r="K93" s="2" t="n">
        <v>985</v>
      </c>
      <c r="L93" s="2" t="inlineStr">
        <is>
          <t>Air</t>
        </is>
      </c>
      <c r="M93" s="2" t="inlineStr">
        <is>
          <t>No Delay</t>
        </is>
      </c>
      <c r="N93" s="4">
        <f>IF(I93&lt;=H93,1,0)</f>
        <v/>
      </c>
      <c r="O93" s="4">
        <f>IF(J93&lt;=G93,1,0)</f>
        <v/>
      </c>
      <c r="P93" s="4">
        <f>MAX(0,I93-H93)</f>
        <v/>
      </c>
      <c r="Q93" s="4">
        <f>MAX(0,J93-G93)</f>
        <v/>
      </c>
      <c r="R93" s="4">
        <f>IF(AND(N93=1,O93=1),"On Track",IF(O93=0,"Customer Delivery Late","Ship Late"))</f>
        <v/>
      </c>
    </row>
    <row r="94">
      <c r="A94" s="2" t="inlineStr">
        <is>
          <t>ORD-00093</t>
        </is>
      </c>
      <c r="B94" s="2" t="inlineStr">
        <is>
          <t>Customer 17</t>
        </is>
      </c>
      <c r="C94" s="2" t="inlineStr">
        <is>
          <t>Sensor</t>
        </is>
      </c>
      <c r="D94" s="2" t="inlineStr">
        <is>
          <t>Plant B</t>
        </is>
      </c>
      <c r="E94" s="2" t="inlineStr">
        <is>
          <t>North</t>
        </is>
      </c>
      <c r="F94" s="12" t="n">
        <v>46115</v>
      </c>
      <c r="G94" s="12" t="n">
        <v>46136</v>
      </c>
      <c r="H94" s="12" t="n">
        <v>46131</v>
      </c>
      <c r="I94" s="12" t="n">
        <v>46131</v>
      </c>
      <c r="J94" s="12" t="n">
        <v>46137</v>
      </c>
      <c r="K94" s="2" t="n">
        <v>134</v>
      </c>
      <c r="L94" s="2" t="inlineStr">
        <is>
          <t>Air</t>
        </is>
      </c>
      <c r="M94" s="2" t="inlineStr">
        <is>
          <t>Customer Change</t>
        </is>
      </c>
      <c r="N94" s="4">
        <f>IF(I94&lt;=H94,1,0)</f>
        <v/>
      </c>
      <c r="O94" s="4">
        <f>IF(J94&lt;=G94,1,0)</f>
        <v/>
      </c>
      <c r="P94" s="4">
        <f>MAX(0,I94-H94)</f>
        <v/>
      </c>
      <c r="Q94" s="4">
        <f>MAX(0,J94-G94)</f>
        <v/>
      </c>
      <c r="R94" s="4">
        <f>IF(AND(N94=1,O94=1),"On Track",IF(O94=0,"Customer Delivery Late","Ship Late"))</f>
        <v/>
      </c>
    </row>
    <row r="95">
      <c r="A95" s="2" t="inlineStr">
        <is>
          <t>ORD-00094</t>
        </is>
      </c>
      <c r="B95" s="2" t="inlineStr">
        <is>
          <t>Customer 05</t>
        </is>
      </c>
      <c r="C95" s="2" t="inlineStr">
        <is>
          <t>Contactor</t>
        </is>
      </c>
      <c r="D95" s="2" t="inlineStr">
        <is>
          <t>Plant A</t>
        </is>
      </c>
      <c r="E95" s="2" t="inlineStr">
        <is>
          <t>South</t>
        </is>
      </c>
      <c r="F95" s="12" t="n">
        <v>46125</v>
      </c>
      <c r="G95" s="12" t="n">
        <v>46143</v>
      </c>
      <c r="H95" s="12" t="n">
        <v>46142</v>
      </c>
      <c r="I95" s="12" t="n">
        <v>46141</v>
      </c>
      <c r="J95" s="12" t="n">
        <v>46142</v>
      </c>
      <c r="K95" s="2" t="n">
        <v>1288</v>
      </c>
      <c r="L95" s="2" t="inlineStr">
        <is>
          <t>Sea</t>
        </is>
      </c>
      <c r="M95" s="2" t="inlineStr">
        <is>
          <t>No Delay</t>
        </is>
      </c>
      <c r="N95" s="4">
        <f>IF(I95&lt;=H95,1,0)</f>
        <v/>
      </c>
      <c r="O95" s="4">
        <f>IF(J95&lt;=G95,1,0)</f>
        <v/>
      </c>
      <c r="P95" s="4">
        <f>MAX(0,I95-H95)</f>
        <v/>
      </c>
      <c r="Q95" s="4">
        <f>MAX(0,J95-G95)</f>
        <v/>
      </c>
      <c r="R95" s="4">
        <f>IF(AND(N95=1,O95=1),"On Track",IF(O95=0,"Customer Delivery Late","Ship Late"))</f>
        <v/>
      </c>
    </row>
    <row r="96">
      <c r="A96" s="2" t="inlineStr">
        <is>
          <t>ORD-00095</t>
        </is>
      </c>
      <c r="B96" s="2" t="inlineStr">
        <is>
          <t>Customer 14</t>
        </is>
      </c>
      <c r="C96" s="2" t="inlineStr">
        <is>
          <t>Contactor</t>
        </is>
      </c>
      <c r="D96" s="2" t="inlineStr">
        <is>
          <t>Plant C</t>
        </is>
      </c>
      <c r="E96" s="2" t="inlineStr">
        <is>
          <t>North</t>
        </is>
      </c>
      <c r="F96" s="12" t="n">
        <v>46172</v>
      </c>
      <c r="G96" s="12" t="n">
        <v>46194</v>
      </c>
      <c r="H96" s="12" t="n">
        <v>46191</v>
      </c>
      <c r="I96" s="12" t="n">
        <v>46191</v>
      </c>
      <c r="J96" s="12" t="n">
        <v>46194</v>
      </c>
      <c r="K96" s="2" t="n">
        <v>1350</v>
      </c>
      <c r="L96" s="2" t="inlineStr">
        <is>
          <t>Sea</t>
        </is>
      </c>
      <c r="M96" s="2" t="inlineStr">
        <is>
          <t>No Delay</t>
        </is>
      </c>
      <c r="N96" s="4">
        <f>IF(I96&lt;=H96,1,0)</f>
        <v/>
      </c>
      <c r="O96" s="4">
        <f>IF(J96&lt;=G96,1,0)</f>
        <v/>
      </c>
      <c r="P96" s="4">
        <f>MAX(0,I96-H96)</f>
        <v/>
      </c>
      <c r="Q96" s="4">
        <f>MAX(0,J96-G96)</f>
        <v/>
      </c>
      <c r="R96" s="4">
        <f>IF(AND(N96=1,O96=1),"On Track",IF(O96=0,"Customer Delivery Late","Ship Late"))</f>
        <v/>
      </c>
    </row>
    <row r="97">
      <c r="A97" s="2" t="inlineStr">
        <is>
          <t>ORD-00096</t>
        </is>
      </c>
      <c r="B97" s="2" t="inlineStr">
        <is>
          <t>Customer 13</t>
        </is>
      </c>
      <c r="C97" s="2" t="inlineStr">
        <is>
          <t>Power Supply</t>
        </is>
      </c>
      <c r="D97" s="2" t="inlineStr">
        <is>
          <t>Plant C</t>
        </is>
      </c>
      <c r="E97" s="2" t="inlineStr">
        <is>
          <t>North</t>
        </is>
      </c>
      <c r="F97" s="12" t="n">
        <v>46164</v>
      </c>
      <c r="G97" s="12" t="n">
        <v>46175</v>
      </c>
      <c r="H97" s="12" t="n">
        <v>46171</v>
      </c>
      <c r="I97" s="12" t="n">
        <v>46169</v>
      </c>
      <c r="J97" s="12" t="n">
        <v>46173</v>
      </c>
      <c r="K97" s="2" t="n">
        <v>650</v>
      </c>
      <c r="L97" s="2" t="inlineStr">
        <is>
          <t>Air</t>
        </is>
      </c>
      <c r="M97" s="2" t="inlineStr">
        <is>
          <t>No Delay</t>
        </is>
      </c>
      <c r="N97" s="4">
        <f>IF(I97&lt;=H97,1,0)</f>
        <v/>
      </c>
      <c r="O97" s="4">
        <f>IF(J97&lt;=G97,1,0)</f>
        <v/>
      </c>
      <c r="P97" s="4">
        <f>MAX(0,I97-H97)</f>
        <v/>
      </c>
      <c r="Q97" s="4">
        <f>MAX(0,J97-G97)</f>
        <v/>
      </c>
      <c r="R97" s="4">
        <f>IF(AND(N97=1,O97=1),"On Track",IF(O97=0,"Customer Delivery Late","Ship Late"))</f>
        <v/>
      </c>
    </row>
    <row r="98">
      <c r="A98" s="2" t="inlineStr">
        <is>
          <t>ORD-00097</t>
        </is>
      </c>
      <c r="B98" s="2" t="inlineStr">
        <is>
          <t>Customer 03</t>
        </is>
      </c>
      <c r="C98" s="2" t="inlineStr">
        <is>
          <t>Contactor</t>
        </is>
      </c>
      <c r="D98" s="2" t="inlineStr">
        <is>
          <t>Plant B</t>
        </is>
      </c>
      <c r="E98" s="2" t="inlineStr">
        <is>
          <t>North</t>
        </is>
      </c>
      <c r="F98" s="12" t="n">
        <v>46103</v>
      </c>
      <c r="G98" s="12" t="n">
        <v>46116</v>
      </c>
      <c r="H98" s="12" t="n">
        <v>46113</v>
      </c>
      <c r="I98" s="12" t="n">
        <v>46113</v>
      </c>
      <c r="J98" s="12" t="n">
        <v>46115</v>
      </c>
      <c r="K98" s="2" t="n">
        <v>773</v>
      </c>
      <c r="L98" s="2" t="inlineStr">
        <is>
          <t>Road</t>
        </is>
      </c>
      <c r="M98" s="2" t="inlineStr">
        <is>
          <t>No Delay</t>
        </is>
      </c>
      <c r="N98" s="4">
        <f>IF(I98&lt;=H98,1,0)</f>
        <v/>
      </c>
      <c r="O98" s="4">
        <f>IF(J98&lt;=G98,1,0)</f>
        <v/>
      </c>
      <c r="P98" s="4">
        <f>MAX(0,I98-H98)</f>
        <v/>
      </c>
      <c r="Q98" s="4">
        <f>MAX(0,J98-G98)</f>
        <v/>
      </c>
      <c r="R98" s="4">
        <f>IF(AND(N98=1,O98=1),"On Track",IF(O98=0,"Customer Delivery Late","Ship Late"))</f>
        <v/>
      </c>
    </row>
    <row r="99">
      <c r="A99" s="2" t="inlineStr">
        <is>
          <t>ORD-00098</t>
        </is>
      </c>
      <c r="B99" s="2" t="inlineStr">
        <is>
          <t>Customer 28</t>
        </is>
      </c>
      <c r="C99" s="2" t="inlineStr">
        <is>
          <t>Power Supply</t>
        </is>
      </c>
      <c r="D99" s="2" t="inlineStr">
        <is>
          <t>Plant C</t>
        </is>
      </c>
      <c r="E99" s="2" t="inlineStr">
        <is>
          <t>North</t>
        </is>
      </c>
      <c r="F99" s="12" t="n">
        <v>46165</v>
      </c>
      <c r="G99" s="12" t="n">
        <v>46171</v>
      </c>
      <c r="H99" s="12" t="n">
        <v>46166</v>
      </c>
      <c r="I99" s="12" t="n">
        <v>46166</v>
      </c>
      <c r="J99" s="12" t="n">
        <v>46170</v>
      </c>
      <c r="K99" s="2" t="n">
        <v>599</v>
      </c>
      <c r="L99" s="2" t="inlineStr">
        <is>
          <t>Sea</t>
        </is>
      </c>
      <c r="M99" s="2" t="inlineStr">
        <is>
          <t>No Delay</t>
        </is>
      </c>
      <c r="N99" s="4">
        <f>IF(I99&lt;=H99,1,0)</f>
        <v/>
      </c>
      <c r="O99" s="4">
        <f>IF(J99&lt;=G99,1,0)</f>
        <v/>
      </c>
      <c r="P99" s="4">
        <f>MAX(0,I99-H99)</f>
        <v/>
      </c>
      <c r="Q99" s="4">
        <f>MAX(0,J99-G99)</f>
        <v/>
      </c>
      <c r="R99" s="4">
        <f>IF(AND(N99=1,O99=1),"On Track",IF(O99=0,"Customer Delivery Late","Ship Late"))</f>
        <v/>
      </c>
    </row>
    <row r="100">
      <c r="A100" s="2" t="inlineStr">
        <is>
          <t>ORD-00099</t>
        </is>
      </c>
      <c r="B100" s="2" t="inlineStr">
        <is>
          <t>Customer 04</t>
        </is>
      </c>
      <c r="C100" s="2" t="inlineStr">
        <is>
          <t>Drive</t>
        </is>
      </c>
      <c r="D100" s="2" t="inlineStr">
        <is>
          <t>Plant C</t>
        </is>
      </c>
      <c r="E100" s="2" t="inlineStr">
        <is>
          <t>South</t>
        </is>
      </c>
      <c r="F100" s="12" t="n">
        <v>46102</v>
      </c>
      <c r="G100" s="12" t="n">
        <v>46118</v>
      </c>
      <c r="H100" s="12" t="n">
        <v>46117</v>
      </c>
      <c r="I100" s="12" t="n">
        <v>46115</v>
      </c>
      <c r="J100" s="12" t="n">
        <v>46116</v>
      </c>
      <c r="K100" s="2" t="n">
        <v>245</v>
      </c>
      <c r="L100" s="2" t="inlineStr">
        <is>
          <t>Air</t>
        </is>
      </c>
      <c r="M100" s="2" t="inlineStr">
        <is>
          <t>No Delay</t>
        </is>
      </c>
      <c r="N100" s="4">
        <f>IF(I100&lt;=H100,1,0)</f>
        <v/>
      </c>
      <c r="O100" s="4">
        <f>IF(J100&lt;=G100,1,0)</f>
        <v/>
      </c>
      <c r="P100" s="4">
        <f>MAX(0,I100-H100)</f>
        <v/>
      </c>
      <c r="Q100" s="4">
        <f>MAX(0,J100-G100)</f>
        <v/>
      </c>
      <c r="R100" s="4">
        <f>IF(AND(N100=1,O100=1),"On Track",IF(O100=0,"Customer Delivery Late","Ship Late"))</f>
        <v/>
      </c>
    </row>
    <row r="101">
      <c r="A101" s="2" t="inlineStr">
        <is>
          <t>ORD-00100</t>
        </is>
      </c>
      <c r="B101" s="2" t="inlineStr">
        <is>
          <t>Customer 09</t>
        </is>
      </c>
      <c r="C101" s="2" t="inlineStr">
        <is>
          <t>Breaker</t>
        </is>
      </c>
      <c r="D101" s="2" t="inlineStr">
        <is>
          <t>Plant A</t>
        </is>
      </c>
      <c r="E101" s="2" t="inlineStr">
        <is>
          <t>South</t>
        </is>
      </c>
      <c r="F101" s="12" t="n">
        <v>46169</v>
      </c>
      <c r="G101" s="12" t="n">
        <v>46181</v>
      </c>
      <c r="H101" s="12" t="n">
        <v>46177</v>
      </c>
      <c r="I101" s="12" t="n">
        <v>46177</v>
      </c>
      <c r="J101" s="12" t="n">
        <v>46182</v>
      </c>
      <c r="K101" s="2" t="n">
        <v>1449</v>
      </c>
      <c r="L101" s="2" t="inlineStr">
        <is>
          <t>Air</t>
        </is>
      </c>
      <c r="M101" s="2" t="inlineStr">
        <is>
          <t>Customer Change</t>
        </is>
      </c>
      <c r="N101" s="4">
        <f>IF(I101&lt;=H101,1,0)</f>
        <v/>
      </c>
      <c r="O101" s="4">
        <f>IF(J101&lt;=G101,1,0)</f>
        <v/>
      </c>
      <c r="P101" s="4">
        <f>MAX(0,I101-H101)</f>
        <v/>
      </c>
      <c r="Q101" s="4">
        <f>MAX(0,J101-G101)</f>
        <v/>
      </c>
      <c r="R101" s="4">
        <f>IF(AND(N101=1,O101=1),"On Track",IF(O101=0,"Customer Delivery Late","Ship Late"))</f>
        <v/>
      </c>
    </row>
    <row r="102">
      <c r="A102" s="2" t="inlineStr">
        <is>
          <t>ORD-00101</t>
        </is>
      </c>
      <c r="B102" s="2" t="inlineStr">
        <is>
          <t>Customer 21</t>
        </is>
      </c>
      <c r="C102" s="2" t="inlineStr">
        <is>
          <t>Breaker</t>
        </is>
      </c>
      <c r="D102" s="2" t="inlineStr">
        <is>
          <t>Plant A</t>
        </is>
      </c>
      <c r="E102" s="2" t="inlineStr">
        <is>
          <t>Central</t>
        </is>
      </c>
      <c r="F102" s="12" t="n">
        <v>46109</v>
      </c>
      <c r="G102" s="12" t="n">
        <v>46125</v>
      </c>
      <c r="H102" s="12" t="n">
        <v>46124</v>
      </c>
      <c r="I102" s="12" t="n">
        <v>46122</v>
      </c>
      <c r="J102" s="12" t="n">
        <v>46123</v>
      </c>
      <c r="K102" s="2" t="n">
        <v>780</v>
      </c>
      <c r="L102" s="2" t="inlineStr">
        <is>
          <t>Air</t>
        </is>
      </c>
      <c r="M102" s="2" t="inlineStr">
        <is>
          <t>No Delay</t>
        </is>
      </c>
      <c r="N102" s="4">
        <f>IF(I102&lt;=H102,1,0)</f>
        <v/>
      </c>
      <c r="O102" s="4">
        <f>IF(J102&lt;=G102,1,0)</f>
        <v/>
      </c>
      <c r="P102" s="4">
        <f>MAX(0,I102-H102)</f>
        <v/>
      </c>
      <c r="Q102" s="4">
        <f>MAX(0,J102-G102)</f>
        <v/>
      </c>
      <c r="R102" s="4">
        <f>IF(AND(N102=1,O102=1),"On Track",IF(O102=0,"Customer Delivery Late","Ship Late"))</f>
        <v/>
      </c>
    </row>
    <row r="103">
      <c r="A103" s="2" t="inlineStr">
        <is>
          <t>ORD-00102</t>
        </is>
      </c>
      <c r="B103" s="2" t="inlineStr">
        <is>
          <t>Customer 05</t>
        </is>
      </c>
      <c r="C103" s="2" t="inlineStr">
        <is>
          <t>Relay</t>
        </is>
      </c>
      <c r="D103" s="2" t="inlineStr">
        <is>
          <t>Plant C</t>
        </is>
      </c>
      <c r="E103" s="2" t="inlineStr">
        <is>
          <t>North</t>
        </is>
      </c>
      <c r="F103" s="12" t="n">
        <v>46139</v>
      </c>
      <c r="G103" s="12" t="n">
        <v>46154</v>
      </c>
      <c r="H103" s="12" t="n">
        <v>46152</v>
      </c>
      <c r="I103" s="12" t="n">
        <v>46152</v>
      </c>
      <c r="J103" s="12" t="n">
        <v>46155</v>
      </c>
      <c r="K103" s="2" t="n">
        <v>1390</v>
      </c>
      <c r="L103" s="2" t="inlineStr">
        <is>
          <t>Road</t>
        </is>
      </c>
      <c r="M103" s="2" t="inlineStr">
        <is>
          <t>Material Shortage</t>
        </is>
      </c>
      <c r="N103" s="4">
        <f>IF(I103&lt;=H103,1,0)</f>
        <v/>
      </c>
      <c r="O103" s="4">
        <f>IF(J103&lt;=G103,1,0)</f>
        <v/>
      </c>
      <c r="P103" s="4">
        <f>MAX(0,I103-H103)</f>
        <v/>
      </c>
      <c r="Q103" s="4">
        <f>MAX(0,J103-G103)</f>
        <v/>
      </c>
      <c r="R103" s="4">
        <f>IF(AND(N103=1,O103=1),"On Track",IF(O103=0,"Customer Delivery Late","Ship Late"))</f>
        <v/>
      </c>
    </row>
    <row r="104">
      <c r="A104" s="2" t="inlineStr">
        <is>
          <t>ORD-00103</t>
        </is>
      </c>
      <c r="B104" s="2" t="inlineStr">
        <is>
          <t>Customer 17</t>
        </is>
      </c>
      <c r="C104" s="2" t="inlineStr">
        <is>
          <t>Contactor</t>
        </is>
      </c>
      <c r="D104" s="2" t="inlineStr">
        <is>
          <t>Plant B</t>
        </is>
      </c>
      <c r="E104" s="2" t="inlineStr">
        <is>
          <t>Export</t>
        </is>
      </c>
      <c r="F104" s="12" t="n">
        <v>46092</v>
      </c>
      <c r="G104" s="12" t="n">
        <v>46111</v>
      </c>
      <c r="H104" s="12" t="n">
        <v>46107</v>
      </c>
      <c r="I104" s="12" t="n">
        <v>46106</v>
      </c>
      <c r="J104" s="12" t="n">
        <v>46110</v>
      </c>
      <c r="K104" s="2" t="n">
        <v>237</v>
      </c>
      <c r="L104" s="2" t="inlineStr">
        <is>
          <t>Air</t>
        </is>
      </c>
      <c r="M104" s="2" t="inlineStr">
        <is>
          <t>No Delay</t>
        </is>
      </c>
      <c r="N104" s="4">
        <f>IF(I104&lt;=H104,1,0)</f>
        <v/>
      </c>
      <c r="O104" s="4">
        <f>IF(J104&lt;=G104,1,0)</f>
        <v/>
      </c>
      <c r="P104" s="4">
        <f>MAX(0,I104-H104)</f>
        <v/>
      </c>
      <c r="Q104" s="4">
        <f>MAX(0,J104-G104)</f>
        <v/>
      </c>
      <c r="R104" s="4">
        <f>IF(AND(N104=1,O104=1),"On Track",IF(O104=0,"Customer Delivery Late","Ship Late"))</f>
        <v/>
      </c>
    </row>
    <row r="105">
      <c r="A105" s="2" t="inlineStr">
        <is>
          <t>ORD-00104</t>
        </is>
      </c>
      <c r="B105" s="2" t="inlineStr">
        <is>
          <t>Customer 20</t>
        </is>
      </c>
      <c r="C105" s="2" t="inlineStr">
        <is>
          <t>Breaker</t>
        </is>
      </c>
      <c r="D105" s="2" t="inlineStr">
        <is>
          <t>Plant A</t>
        </is>
      </c>
      <c r="E105" s="2" t="inlineStr">
        <is>
          <t>Central</t>
        </is>
      </c>
      <c r="F105" s="12" t="n">
        <v>46196</v>
      </c>
      <c r="G105" s="12" t="n">
        <v>46219</v>
      </c>
      <c r="H105" s="12" t="n">
        <v>46215</v>
      </c>
      <c r="I105" s="12" t="n">
        <v>46214</v>
      </c>
      <c r="J105" s="12" t="n">
        <v>46218</v>
      </c>
      <c r="K105" s="2" t="n">
        <v>627</v>
      </c>
      <c r="L105" s="2" t="inlineStr">
        <is>
          <t>Road</t>
        </is>
      </c>
      <c r="M105" s="2" t="inlineStr">
        <is>
          <t>No Delay</t>
        </is>
      </c>
      <c r="N105" s="4">
        <f>IF(I105&lt;=H105,1,0)</f>
        <v/>
      </c>
      <c r="O105" s="4">
        <f>IF(J105&lt;=G105,1,0)</f>
        <v/>
      </c>
      <c r="P105" s="4">
        <f>MAX(0,I105-H105)</f>
        <v/>
      </c>
      <c r="Q105" s="4">
        <f>MAX(0,J105-G105)</f>
        <v/>
      </c>
      <c r="R105" s="4">
        <f>IF(AND(N105=1,O105=1),"On Track",IF(O105=0,"Customer Delivery Late","Ship Late"))</f>
        <v/>
      </c>
    </row>
    <row r="106">
      <c r="A106" s="2" t="inlineStr">
        <is>
          <t>ORD-00105</t>
        </is>
      </c>
      <c r="B106" s="2" t="inlineStr">
        <is>
          <t>Customer 13</t>
        </is>
      </c>
      <c r="C106" s="2" t="inlineStr">
        <is>
          <t>PLC</t>
        </is>
      </c>
      <c r="D106" s="2" t="inlineStr">
        <is>
          <t>Plant C</t>
        </is>
      </c>
      <c r="E106" s="2" t="inlineStr">
        <is>
          <t>South</t>
        </is>
      </c>
      <c r="F106" s="12" t="n">
        <v>46058</v>
      </c>
      <c r="G106" s="12" t="n">
        <v>46071</v>
      </c>
      <c r="H106" s="12" t="n">
        <v>46068</v>
      </c>
      <c r="I106" s="12" t="n">
        <v>46066</v>
      </c>
      <c r="J106" s="12" t="n">
        <v>46069</v>
      </c>
      <c r="K106" s="2" t="n">
        <v>157</v>
      </c>
      <c r="L106" s="2" t="inlineStr">
        <is>
          <t>Air</t>
        </is>
      </c>
      <c r="M106" s="2" t="inlineStr">
        <is>
          <t>No Delay</t>
        </is>
      </c>
      <c r="N106" s="4">
        <f>IF(I106&lt;=H106,1,0)</f>
        <v/>
      </c>
      <c r="O106" s="4">
        <f>IF(J106&lt;=G106,1,0)</f>
        <v/>
      </c>
      <c r="P106" s="4">
        <f>MAX(0,I106-H106)</f>
        <v/>
      </c>
      <c r="Q106" s="4">
        <f>MAX(0,J106-G106)</f>
        <v/>
      </c>
      <c r="R106" s="4">
        <f>IF(AND(N106=1,O106=1),"On Track",IF(O106=0,"Customer Delivery Late","Ship Late"))</f>
        <v/>
      </c>
    </row>
    <row r="107">
      <c r="A107" s="2" t="inlineStr">
        <is>
          <t>ORD-00106</t>
        </is>
      </c>
      <c r="B107" s="2" t="inlineStr">
        <is>
          <t>Customer 13</t>
        </is>
      </c>
      <c r="C107" s="2" t="inlineStr">
        <is>
          <t>Power Supply</t>
        </is>
      </c>
      <c r="D107" s="2" t="inlineStr">
        <is>
          <t>Plant B</t>
        </is>
      </c>
      <c r="E107" s="2" t="inlineStr">
        <is>
          <t>North</t>
        </is>
      </c>
      <c r="F107" s="12" t="n">
        <v>46033</v>
      </c>
      <c r="G107" s="12" t="n">
        <v>46051</v>
      </c>
      <c r="H107" s="12" t="n">
        <v>46050</v>
      </c>
      <c r="I107" s="12" t="n">
        <v>46048</v>
      </c>
      <c r="J107" s="12" t="n">
        <v>46050</v>
      </c>
      <c r="K107" s="2" t="n">
        <v>839</v>
      </c>
      <c r="L107" s="2" t="inlineStr">
        <is>
          <t>Road</t>
        </is>
      </c>
      <c r="M107" s="2" t="inlineStr">
        <is>
          <t>No Delay</t>
        </is>
      </c>
      <c r="N107" s="4">
        <f>IF(I107&lt;=H107,1,0)</f>
        <v/>
      </c>
      <c r="O107" s="4">
        <f>IF(J107&lt;=G107,1,0)</f>
        <v/>
      </c>
      <c r="P107" s="4">
        <f>MAX(0,I107-H107)</f>
        <v/>
      </c>
      <c r="Q107" s="4">
        <f>MAX(0,J107-G107)</f>
        <v/>
      </c>
      <c r="R107" s="4">
        <f>IF(AND(N107=1,O107=1),"On Track",IF(O107=0,"Customer Delivery Late","Ship Late"))</f>
        <v/>
      </c>
    </row>
    <row r="108">
      <c r="A108" s="2" t="inlineStr">
        <is>
          <t>ORD-00107</t>
        </is>
      </c>
      <c r="B108" s="2" t="inlineStr">
        <is>
          <t>Customer 04</t>
        </is>
      </c>
      <c r="C108" s="2" t="inlineStr">
        <is>
          <t>PLC</t>
        </is>
      </c>
      <c r="D108" s="2" t="inlineStr">
        <is>
          <t>Plant B</t>
        </is>
      </c>
      <c r="E108" s="2" t="inlineStr">
        <is>
          <t>Export</t>
        </is>
      </c>
      <c r="F108" s="12" t="n">
        <v>46106</v>
      </c>
      <c r="G108" s="12" t="n">
        <v>46116</v>
      </c>
      <c r="H108" s="12" t="n">
        <v>46111</v>
      </c>
      <c r="I108" s="12" t="n">
        <v>46111</v>
      </c>
      <c r="J108" s="12" t="n">
        <v>46115</v>
      </c>
      <c r="K108" s="2" t="n">
        <v>1083</v>
      </c>
      <c r="L108" s="2" t="inlineStr">
        <is>
          <t>Road</t>
        </is>
      </c>
      <c r="M108" s="2" t="inlineStr">
        <is>
          <t>No Delay</t>
        </is>
      </c>
      <c r="N108" s="4">
        <f>IF(I108&lt;=H108,1,0)</f>
        <v/>
      </c>
      <c r="O108" s="4">
        <f>IF(J108&lt;=G108,1,0)</f>
        <v/>
      </c>
      <c r="P108" s="4">
        <f>MAX(0,I108-H108)</f>
        <v/>
      </c>
      <c r="Q108" s="4">
        <f>MAX(0,J108-G108)</f>
        <v/>
      </c>
      <c r="R108" s="4">
        <f>IF(AND(N108=1,O108=1),"On Track",IF(O108=0,"Customer Delivery Late","Ship Late"))</f>
        <v/>
      </c>
    </row>
    <row r="109">
      <c r="A109" s="2" t="inlineStr">
        <is>
          <t>ORD-00108</t>
        </is>
      </c>
      <c r="B109" s="2" t="inlineStr">
        <is>
          <t>Customer 17</t>
        </is>
      </c>
      <c r="C109" s="2" t="inlineStr">
        <is>
          <t>PLC</t>
        </is>
      </c>
      <c r="D109" s="2" t="inlineStr">
        <is>
          <t>Plant B</t>
        </is>
      </c>
      <c r="E109" s="2" t="inlineStr">
        <is>
          <t>South</t>
        </is>
      </c>
      <c r="F109" s="12" t="n">
        <v>46124</v>
      </c>
      <c r="G109" s="12" t="n">
        <v>46138</v>
      </c>
      <c r="H109" s="12" t="n">
        <v>46135</v>
      </c>
      <c r="I109" s="12" t="n">
        <v>46133</v>
      </c>
      <c r="J109" s="12" t="n">
        <v>46137</v>
      </c>
      <c r="K109" s="2" t="n">
        <v>1499</v>
      </c>
      <c r="L109" s="2" t="inlineStr">
        <is>
          <t>Sea</t>
        </is>
      </c>
      <c r="M109" s="2" t="inlineStr">
        <is>
          <t>No Delay</t>
        </is>
      </c>
      <c r="N109" s="4">
        <f>IF(I109&lt;=H109,1,0)</f>
        <v/>
      </c>
      <c r="O109" s="4">
        <f>IF(J109&lt;=G109,1,0)</f>
        <v/>
      </c>
      <c r="P109" s="4">
        <f>MAX(0,I109-H109)</f>
        <v/>
      </c>
      <c r="Q109" s="4">
        <f>MAX(0,J109-G109)</f>
        <v/>
      </c>
      <c r="R109" s="4">
        <f>IF(AND(N109=1,O109=1),"On Track",IF(O109=0,"Customer Delivery Late","Ship Late"))</f>
        <v/>
      </c>
    </row>
    <row r="110">
      <c r="A110" s="2" t="inlineStr">
        <is>
          <t>ORD-00109</t>
        </is>
      </c>
      <c r="B110" s="2" t="inlineStr">
        <is>
          <t>Customer 25</t>
        </is>
      </c>
      <c r="C110" s="2" t="inlineStr">
        <is>
          <t>Contactor</t>
        </is>
      </c>
      <c r="D110" s="2" t="inlineStr">
        <is>
          <t>Plant A</t>
        </is>
      </c>
      <c r="E110" s="2" t="inlineStr">
        <is>
          <t>Export</t>
        </is>
      </c>
      <c r="F110" s="12" t="n">
        <v>46060</v>
      </c>
      <c r="G110" s="12" t="n">
        <v>46072</v>
      </c>
      <c r="H110" s="12" t="n">
        <v>46071</v>
      </c>
      <c r="I110" s="12" t="n">
        <v>46069</v>
      </c>
      <c r="J110" s="12" t="n">
        <v>46071</v>
      </c>
      <c r="K110" s="2" t="n">
        <v>960</v>
      </c>
      <c r="L110" s="2" t="inlineStr">
        <is>
          <t>Sea</t>
        </is>
      </c>
      <c r="M110" s="2" t="inlineStr">
        <is>
          <t>No Delay</t>
        </is>
      </c>
      <c r="N110" s="4">
        <f>IF(I110&lt;=H110,1,0)</f>
        <v/>
      </c>
      <c r="O110" s="4">
        <f>IF(J110&lt;=G110,1,0)</f>
        <v/>
      </c>
      <c r="P110" s="4">
        <f>MAX(0,I110-H110)</f>
        <v/>
      </c>
      <c r="Q110" s="4">
        <f>MAX(0,J110-G110)</f>
        <v/>
      </c>
      <c r="R110" s="4">
        <f>IF(AND(N110=1,O110=1),"On Track",IF(O110=0,"Customer Delivery Late","Ship Late"))</f>
        <v/>
      </c>
    </row>
    <row r="111">
      <c r="A111" s="2" t="inlineStr">
        <is>
          <t>ORD-00110</t>
        </is>
      </c>
      <c r="B111" s="2" t="inlineStr">
        <is>
          <t>Customer 03</t>
        </is>
      </c>
      <c r="C111" s="2" t="inlineStr">
        <is>
          <t>Switchgear</t>
        </is>
      </c>
      <c r="D111" s="2" t="inlineStr">
        <is>
          <t>Plant B</t>
        </is>
      </c>
      <c r="E111" s="2" t="inlineStr">
        <is>
          <t>South</t>
        </is>
      </c>
      <c r="F111" s="12" t="n">
        <v>46171</v>
      </c>
      <c r="G111" s="12" t="n">
        <v>46190</v>
      </c>
      <c r="H111" s="12" t="n">
        <v>46185</v>
      </c>
      <c r="I111" s="12" t="n">
        <v>46185</v>
      </c>
      <c r="J111" s="12" t="n">
        <v>46190</v>
      </c>
      <c r="K111" s="2" t="n">
        <v>572</v>
      </c>
      <c r="L111" s="2" t="inlineStr">
        <is>
          <t>Sea</t>
        </is>
      </c>
      <c r="M111" s="2" t="inlineStr">
        <is>
          <t>No Delay</t>
        </is>
      </c>
      <c r="N111" s="4">
        <f>IF(I111&lt;=H111,1,0)</f>
        <v/>
      </c>
      <c r="O111" s="4">
        <f>IF(J111&lt;=G111,1,0)</f>
        <v/>
      </c>
      <c r="P111" s="4">
        <f>MAX(0,I111-H111)</f>
        <v/>
      </c>
      <c r="Q111" s="4">
        <f>MAX(0,J111-G111)</f>
        <v/>
      </c>
      <c r="R111" s="4">
        <f>IF(AND(N111=1,O111=1),"On Track",IF(O111=0,"Customer Delivery Late","Ship Late"))</f>
        <v/>
      </c>
    </row>
    <row r="112">
      <c r="A112" s="2" t="inlineStr">
        <is>
          <t>ORD-00111</t>
        </is>
      </c>
      <c r="B112" s="2" t="inlineStr">
        <is>
          <t>Customer 27</t>
        </is>
      </c>
      <c r="C112" s="2" t="inlineStr">
        <is>
          <t>Sensor</t>
        </is>
      </c>
      <c r="D112" s="2" t="inlineStr">
        <is>
          <t>Plant A</t>
        </is>
      </c>
      <c r="E112" s="2" t="inlineStr">
        <is>
          <t>North</t>
        </is>
      </c>
      <c r="F112" s="12" t="n">
        <v>46037</v>
      </c>
      <c r="G112" s="12" t="n">
        <v>46053</v>
      </c>
      <c r="H112" s="12" t="n">
        <v>46048</v>
      </c>
      <c r="I112" s="12" t="n">
        <v>46047</v>
      </c>
      <c r="J112" s="12" t="n">
        <v>46051</v>
      </c>
      <c r="K112" s="2" t="n">
        <v>1269</v>
      </c>
      <c r="L112" s="2" t="inlineStr">
        <is>
          <t>Sea</t>
        </is>
      </c>
      <c r="M112" s="2" t="inlineStr">
        <is>
          <t>No Delay</t>
        </is>
      </c>
      <c r="N112" s="4">
        <f>IF(I112&lt;=H112,1,0)</f>
        <v/>
      </c>
      <c r="O112" s="4">
        <f>IF(J112&lt;=G112,1,0)</f>
        <v/>
      </c>
      <c r="P112" s="4">
        <f>MAX(0,I112-H112)</f>
        <v/>
      </c>
      <c r="Q112" s="4">
        <f>MAX(0,J112-G112)</f>
        <v/>
      </c>
      <c r="R112" s="4">
        <f>IF(AND(N112=1,O112=1),"On Track",IF(O112=0,"Customer Delivery Late","Ship Late"))</f>
        <v/>
      </c>
    </row>
    <row r="113">
      <c r="A113" s="2" t="inlineStr">
        <is>
          <t>ORD-00112</t>
        </is>
      </c>
      <c r="B113" s="2" t="inlineStr">
        <is>
          <t>Customer 19</t>
        </is>
      </c>
      <c r="C113" s="2" t="inlineStr">
        <is>
          <t>PLC</t>
        </is>
      </c>
      <c r="D113" s="2" t="inlineStr">
        <is>
          <t>Plant B</t>
        </is>
      </c>
      <c r="E113" s="2" t="inlineStr">
        <is>
          <t>Export</t>
        </is>
      </c>
      <c r="F113" s="12" t="n">
        <v>46152</v>
      </c>
      <c r="G113" s="12" t="n">
        <v>46169</v>
      </c>
      <c r="H113" s="12" t="n">
        <v>46165</v>
      </c>
      <c r="I113" s="12" t="n">
        <v>46165</v>
      </c>
      <c r="J113" s="12" t="n">
        <v>46169</v>
      </c>
      <c r="K113" s="2" t="n">
        <v>1036</v>
      </c>
      <c r="L113" s="2" t="inlineStr">
        <is>
          <t>Road</t>
        </is>
      </c>
      <c r="M113" s="2" t="inlineStr">
        <is>
          <t>No Delay</t>
        </is>
      </c>
      <c r="N113" s="4">
        <f>IF(I113&lt;=H113,1,0)</f>
        <v/>
      </c>
      <c r="O113" s="4">
        <f>IF(J113&lt;=G113,1,0)</f>
        <v/>
      </c>
      <c r="P113" s="4">
        <f>MAX(0,I113-H113)</f>
        <v/>
      </c>
      <c r="Q113" s="4">
        <f>MAX(0,J113-G113)</f>
        <v/>
      </c>
      <c r="R113" s="4">
        <f>IF(AND(N113=1,O113=1),"On Track",IF(O113=0,"Customer Delivery Late","Ship Late"))</f>
        <v/>
      </c>
    </row>
    <row r="114">
      <c r="A114" s="2" t="inlineStr">
        <is>
          <t>ORD-00113</t>
        </is>
      </c>
      <c r="B114" s="2" t="inlineStr">
        <is>
          <t>Customer 02</t>
        </is>
      </c>
      <c r="C114" s="2" t="inlineStr">
        <is>
          <t>PLC</t>
        </is>
      </c>
      <c r="D114" s="2" t="inlineStr">
        <is>
          <t>Plant C</t>
        </is>
      </c>
      <c r="E114" s="2" t="inlineStr">
        <is>
          <t>Export</t>
        </is>
      </c>
      <c r="F114" s="12" t="n">
        <v>46038</v>
      </c>
      <c r="G114" s="12" t="n">
        <v>46057</v>
      </c>
      <c r="H114" s="12" t="n">
        <v>46056</v>
      </c>
      <c r="I114" s="12" t="n">
        <v>46055</v>
      </c>
      <c r="J114" s="12" t="n">
        <v>46057</v>
      </c>
      <c r="K114" s="2" t="n">
        <v>909</v>
      </c>
      <c r="L114" s="2" t="inlineStr">
        <is>
          <t>Sea</t>
        </is>
      </c>
      <c r="M114" s="2" t="inlineStr">
        <is>
          <t>No Delay</t>
        </is>
      </c>
      <c r="N114" s="4">
        <f>IF(I114&lt;=H114,1,0)</f>
        <v/>
      </c>
      <c r="O114" s="4">
        <f>IF(J114&lt;=G114,1,0)</f>
        <v/>
      </c>
      <c r="P114" s="4">
        <f>MAX(0,I114-H114)</f>
        <v/>
      </c>
      <c r="Q114" s="4">
        <f>MAX(0,J114-G114)</f>
        <v/>
      </c>
      <c r="R114" s="4">
        <f>IF(AND(N114=1,O114=1),"On Track",IF(O114=0,"Customer Delivery Late","Ship Late"))</f>
        <v/>
      </c>
    </row>
    <row r="115">
      <c r="A115" s="2" t="inlineStr">
        <is>
          <t>ORD-00114</t>
        </is>
      </c>
      <c r="B115" s="2" t="inlineStr">
        <is>
          <t>Customer 22</t>
        </is>
      </c>
      <c r="C115" s="2" t="inlineStr">
        <is>
          <t>Breaker</t>
        </is>
      </c>
      <c r="D115" s="2" t="inlineStr">
        <is>
          <t>Plant C</t>
        </is>
      </c>
      <c r="E115" s="2" t="inlineStr">
        <is>
          <t>South</t>
        </is>
      </c>
      <c r="F115" s="12" t="n">
        <v>46156</v>
      </c>
      <c r="G115" s="12" t="n">
        <v>46180</v>
      </c>
      <c r="H115" s="12" t="n">
        <v>46178</v>
      </c>
      <c r="I115" s="12" t="n">
        <v>46177</v>
      </c>
      <c r="J115" s="12" t="n">
        <v>46179</v>
      </c>
      <c r="K115" s="2" t="n">
        <v>144</v>
      </c>
      <c r="L115" s="2" t="inlineStr">
        <is>
          <t>Air</t>
        </is>
      </c>
      <c r="M115" s="2" t="inlineStr">
        <is>
          <t>No Delay</t>
        </is>
      </c>
      <c r="N115" s="4">
        <f>IF(I115&lt;=H115,1,0)</f>
        <v/>
      </c>
      <c r="O115" s="4">
        <f>IF(J115&lt;=G115,1,0)</f>
        <v/>
      </c>
      <c r="P115" s="4">
        <f>MAX(0,I115-H115)</f>
        <v/>
      </c>
      <c r="Q115" s="4">
        <f>MAX(0,J115-G115)</f>
        <v/>
      </c>
      <c r="R115" s="4">
        <f>IF(AND(N115=1,O115=1),"On Track",IF(O115=0,"Customer Delivery Late","Ship Late"))</f>
        <v/>
      </c>
    </row>
    <row r="116">
      <c r="A116" s="2" t="inlineStr">
        <is>
          <t>ORD-00115</t>
        </is>
      </c>
      <c r="B116" s="2" t="inlineStr">
        <is>
          <t>Customer 22</t>
        </is>
      </c>
      <c r="C116" s="2" t="inlineStr">
        <is>
          <t>Relay</t>
        </is>
      </c>
      <c r="D116" s="2" t="inlineStr">
        <is>
          <t>Plant B</t>
        </is>
      </c>
      <c r="E116" s="2" t="inlineStr">
        <is>
          <t>South</t>
        </is>
      </c>
      <c r="F116" s="12" t="n">
        <v>46047</v>
      </c>
      <c r="G116" s="12" t="n">
        <v>46069</v>
      </c>
      <c r="H116" s="12" t="n">
        <v>46065</v>
      </c>
      <c r="I116" s="12" t="n">
        <v>46065</v>
      </c>
      <c r="J116" s="12" t="n">
        <v>46069</v>
      </c>
      <c r="K116" s="2" t="n">
        <v>1353</v>
      </c>
      <c r="L116" s="2" t="inlineStr">
        <is>
          <t>Sea</t>
        </is>
      </c>
      <c r="M116" s="2" t="inlineStr">
        <is>
          <t>No Delay</t>
        </is>
      </c>
      <c r="N116" s="4">
        <f>IF(I116&lt;=H116,1,0)</f>
        <v/>
      </c>
      <c r="O116" s="4">
        <f>IF(J116&lt;=G116,1,0)</f>
        <v/>
      </c>
      <c r="P116" s="4">
        <f>MAX(0,I116-H116)</f>
        <v/>
      </c>
      <c r="Q116" s="4">
        <f>MAX(0,J116-G116)</f>
        <v/>
      </c>
      <c r="R116" s="4">
        <f>IF(AND(N116=1,O116=1),"On Track",IF(O116=0,"Customer Delivery Late","Ship Late"))</f>
        <v/>
      </c>
    </row>
    <row r="117">
      <c r="A117" s="2" t="inlineStr">
        <is>
          <t>ORD-00116</t>
        </is>
      </c>
      <c r="B117" s="2" t="inlineStr">
        <is>
          <t>Customer 26</t>
        </is>
      </c>
      <c r="C117" s="2" t="inlineStr">
        <is>
          <t>Drive</t>
        </is>
      </c>
      <c r="D117" s="2" t="inlineStr">
        <is>
          <t>Plant A</t>
        </is>
      </c>
      <c r="E117" s="2" t="inlineStr">
        <is>
          <t>North</t>
        </is>
      </c>
      <c r="F117" s="12" t="n">
        <v>46192</v>
      </c>
      <c r="G117" s="12" t="n">
        <v>46209</v>
      </c>
      <c r="H117" s="12" t="n">
        <v>46207</v>
      </c>
      <c r="I117" s="12" t="n">
        <v>46205</v>
      </c>
      <c r="J117" s="12" t="n">
        <v>46208</v>
      </c>
      <c r="K117" s="2" t="n">
        <v>1333</v>
      </c>
      <c r="L117" s="2" t="inlineStr">
        <is>
          <t>Sea</t>
        </is>
      </c>
      <c r="M117" s="2" t="inlineStr">
        <is>
          <t>No Delay</t>
        </is>
      </c>
      <c r="N117" s="4">
        <f>IF(I117&lt;=H117,1,0)</f>
        <v/>
      </c>
      <c r="O117" s="4">
        <f>IF(J117&lt;=G117,1,0)</f>
        <v/>
      </c>
      <c r="P117" s="4">
        <f>MAX(0,I117-H117)</f>
        <v/>
      </c>
      <c r="Q117" s="4">
        <f>MAX(0,J117-G117)</f>
        <v/>
      </c>
      <c r="R117" s="4">
        <f>IF(AND(N117=1,O117=1),"On Track",IF(O117=0,"Customer Delivery Late","Ship Late"))</f>
        <v/>
      </c>
    </row>
    <row r="118">
      <c r="A118" s="2" t="inlineStr">
        <is>
          <t>ORD-00117</t>
        </is>
      </c>
      <c r="B118" s="2" t="inlineStr">
        <is>
          <t>Customer 25</t>
        </is>
      </c>
      <c r="C118" s="2" t="inlineStr">
        <is>
          <t>Switchgear</t>
        </is>
      </c>
      <c r="D118" s="2" t="inlineStr">
        <is>
          <t>Plant A</t>
        </is>
      </c>
      <c r="E118" s="2" t="inlineStr">
        <is>
          <t>Central</t>
        </is>
      </c>
      <c r="F118" s="12" t="n">
        <v>46131</v>
      </c>
      <c r="G118" s="12" t="n">
        <v>46152</v>
      </c>
      <c r="H118" s="12" t="n">
        <v>46149</v>
      </c>
      <c r="I118" s="12" t="n">
        <v>46148</v>
      </c>
      <c r="J118" s="12" t="n">
        <v>46151</v>
      </c>
      <c r="K118" s="2" t="n">
        <v>291</v>
      </c>
      <c r="L118" s="2" t="inlineStr">
        <is>
          <t>Road</t>
        </is>
      </c>
      <c r="M118" s="2" t="inlineStr">
        <is>
          <t>No Delay</t>
        </is>
      </c>
      <c r="N118" s="4">
        <f>IF(I118&lt;=H118,1,0)</f>
        <v/>
      </c>
      <c r="O118" s="4">
        <f>IF(J118&lt;=G118,1,0)</f>
        <v/>
      </c>
      <c r="P118" s="4">
        <f>MAX(0,I118-H118)</f>
        <v/>
      </c>
      <c r="Q118" s="4">
        <f>MAX(0,J118-G118)</f>
        <v/>
      </c>
      <c r="R118" s="4">
        <f>IF(AND(N118=1,O118=1),"On Track",IF(O118=0,"Customer Delivery Late","Ship Late"))</f>
        <v/>
      </c>
    </row>
    <row r="119">
      <c r="A119" s="2" t="inlineStr">
        <is>
          <t>ORD-00118</t>
        </is>
      </c>
      <c r="B119" s="2" t="inlineStr">
        <is>
          <t>Customer 20</t>
        </is>
      </c>
      <c r="C119" s="2" t="inlineStr">
        <is>
          <t>Relay</t>
        </is>
      </c>
      <c r="D119" s="2" t="inlineStr">
        <is>
          <t>Plant C</t>
        </is>
      </c>
      <c r="E119" s="2" t="inlineStr">
        <is>
          <t>Export</t>
        </is>
      </c>
      <c r="F119" s="12" t="n">
        <v>46042</v>
      </c>
      <c r="G119" s="12" t="n">
        <v>46056</v>
      </c>
      <c r="H119" s="12" t="n">
        <v>46055</v>
      </c>
      <c r="I119" s="12" t="n">
        <v>46055</v>
      </c>
      <c r="J119" s="12" t="n">
        <v>46056</v>
      </c>
      <c r="K119" s="2" t="n">
        <v>325</v>
      </c>
      <c r="L119" s="2" t="inlineStr">
        <is>
          <t>Road</t>
        </is>
      </c>
      <c r="M119" s="2" t="inlineStr">
        <is>
          <t>No Delay</t>
        </is>
      </c>
      <c r="N119" s="4">
        <f>IF(I119&lt;=H119,1,0)</f>
        <v/>
      </c>
      <c r="O119" s="4">
        <f>IF(J119&lt;=G119,1,0)</f>
        <v/>
      </c>
      <c r="P119" s="4">
        <f>MAX(0,I119-H119)</f>
        <v/>
      </c>
      <c r="Q119" s="4">
        <f>MAX(0,J119-G119)</f>
        <v/>
      </c>
      <c r="R119" s="4">
        <f>IF(AND(N119=1,O119=1),"On Track",IF(O119=0,"Customer Delivery Late","Ship Late"))</f>
        <v/>
      </c>
    </row>
    <row r="120">
      <c r="A120" s="2" t="inlineStr">
        <is>
          <t>ORD-00119</t>
        </is>
      </c>
      <c r="B120" s="2" t="inlineStr">
        <is>
          <t>Customer 08</t>
        </is>
      </c>
      <c r="C120" s="2" t="inlineStr">
        <is>
          <t>Switchgear</t>
        </is>
      </c>
      <c r="D120" s="2" t="inlineStr">
        <is>
          <t>Plant C</t>
        </is>
      </c>
      <c r="E120" s="2" t="inlineStr">
        <is>
          <t>South</t>
        </is>
      </c>
      <c r="F120" s="12" t="n">
        <v>46069</v>
      </c>
      <c r="G120" s="12" t="n">
        <v>46093</v>
      </c>
      <c r="H120" s="12" t="n">
        <v>46091</v>
      </c>
      <c r="I120" s="12" t="n">
        <v>46089</v>
      </c>
      <c r="J120" s="12" t="n">
        <v>46091</v>
      </c>
      <c r="K120" s="2" t="n">
        <v>929</v>
      </c>
      <c r="L120" s="2" t="inlineStr">
        <is>
          <t>Road</t>
        </is>
      </c>
      <c r="M120" s="2" t="inlineStr">
        <is>
          <t>No Delay</t>
        </is>
      </c>
      <c r="N120" s="4">
        <f>IF(I120&lt;=H120,1,0)</f>
        <v/>
      </c>
      <c r="O120" s="4">
        <f>IF(J120&lt;=G120,1,0)</f>
        <v/>
      </c>
      <c r="P120" s="4">
        <f>MAX(0,I120-H120)</f>
        <v/>
      </c>
      <c r="Q120" s="4">
        <f>MAX(0,J120-G120)</f>
        <v/>
      </c>
      <c r="R120" s="4">
        <f>IF(AND(N120=1,O120=1),"On Track",IF(O120=0,"Customer Delivery Late","Ship Late"))</f>
        <v/>
      </c>
    </row>
    <row r="121">
      <c r="A121" s="2" t="inlineStr">
        <is>
          <t>ORD-00120</t>
        </is>
      </c>
      <c r="B121" s="2" t="inlineStr">
        <is>
          <t>Customer 15</t>
        </is>
      </c>
      <c r="C121" s="2" t="inlineStr">
        <is>
          <t>Switchgear</t>
        </is>
      </c>
      <c r="D121" s="2" t="inlineStr">
        <is>
          <t>Plant B</t>
        </is>
      </c>
      <c r="E121" s="2" t="inlineStr">
        <is>
          <t>Export</t>
        </is>
      </c>
      <c r="F121" s="12" t="n">
        <v>46159</v>
      </c>
      <c r="G121" s="12" t="n">
        <v>46171</v>
      </c>
      <c r="H121" s="12" t="n">
        <v>46168</v>
      </c>
      <c r="I121" s="12" t="n">
        <v>46176</v>
      </c>
      <c r="J121" s="12" t="n">
        <v>46179</v>
      </c>
      <c r="K121" s="2" t="n">
        <v>1039</v>
      </c>
      <c r="L121" s="2" t="inlineStr">
        <is>
          <t>Sea</t>
        </is>
      </c>
      <c r="M121" s="2" t="inlineStr">
        <is>
          <t>Capacity Constraint</t>
        </is>
      </c>
      <c r="N121" s="4">
        <f>IF(I121&lt;=H121,1,0)</f>
        <v/>
      </c>
      <c r="O121" s="4">
        <f>IF(J121&lt;=G121,1,0)</f>
        <v/>
      </c>
      <c r="P121" s="4">
        <f>MAX(0,I121-H121)</f>
        <v/>
      </c>
      <c r="Q121" s="4">
        <f>MAX(0,J121-G121)</f>
        <v/>
      </c>
      <c r="R121" s="4">
        <f>IF(AND(N121=1,O121=1),"On Track",IF(O121=0,"Customer Delivery Late","Ship Late"))</f>
        <v/>
      </c>
    </row>
    <row r="122">
      <c r="A122" s="2" t="inlineStr">
        <is>
          <t>ORD-00121</t>
        </is>
      </c>
      <c r="B122" s="2" t="inlineStr">
        <is>
          <t>Customer 28</t>
        </is>
      </c>
      <c r="C122" s="2" t="inlineStr">
        <is>
          <t>Drive</t>
        </is>
      </c>
      <c r="D122" s="2" t="inlineStr">
        <is>
          <t>Plant C</t>
        </is>
      </c>
      <c r="E122" s="2" t="inlineStr">
        <is>
          <t>North</t>
        </is>
      </c>
      <c r="F122" s="12" t="n">
        <v>46130</v>
      </c>
      <c r="G122" s="12" t="n">
        <v>46140</v>
      </c>
      <c r="H122" s="12" t="n">
        <v>46138</v>
      </c>
      <c r="I122" s="12" t="n">
        <v>46136</v>
      </c>
      <c r="J122" s="12" t="n">
        <v>46137</v>
      </c>
      <c r="K122" s="2" t="n">
        <v>1466</v>
      </c>
      <c r="L122" s="2" t="inlineStr">
        <is>
          <t>Sea</t>
        </is>
      </c>
      <c r="M122" s="2" t="inlineStr">
        <is>
          <t>No Delay</t>
        </is>
      </c>
      <c r="N122" s="4">
        <f>IF(I122&lt;=H122,1,0)</f>
        <v/>
      </c>
      <c r="O122" s="4">
        <f>IF(J122&lt;=G122,1,0)</f>
        <v/>
      </c>
      <c r="P122" s="4">
        <f>MAX(0,I122-H122)</f>
        <v/>
      </c>
      <c r="Q122" s="4">
        <f>MAX(0,J122-G122)</f>
        <v/>
      </c>
      <c r="R122" s="4">
        <f>IF(AND(N122=1,O122=1),"On Track",IF(O122=0,"Customer Delivery Late","Ship Late"))</f>
        <v/>
      </c>
    </row>
    <row r="123">
      <c r="A123" s="2" t="inlineStr">
        <is>
          <t>ORD-00122</t>
        </is>
      </c>
      <c r="B123" s="2" t="inlineStr">
        <is>
          <t>Customer 14</t>
        </is>
      </c>
      <c r="C123" s="2" t="inlineStr">
        <is>
          <t>Contactor</t>
        </is>
      </c>
      <c r="D123" s="2" t="inlineStr">
        <is>
          <t>Plant A</t>
        </is>
      </c>
      <c r="E123" s="2" t="inlineStr">
        <is>
          <t>Export</t>
        </is>
      </c>
      <c r="F123" s="12" t="n">
        <v>46054</v>
      </c>
      <c r="G123" s="12" t="n">
        <v>46068</v>
      </c>
      <c r="H123" s="12" t="n">
        <v>46067</v>
      </c>
      <c r="I123" s="12" t="n">
        <v>46066</v>
      </c>
      <c r="J123" s="12" t="n">
        <v>46068</v>
      </c>
      <c r="K123" s="2" t="n">
        <v>725</v>
      </c>
      <c r="L123" s="2" t="inlineStr">
        <is>
          <t>Road</t>
        </is>
      </c>
      <c r="M123" s="2" t="inlineStr">
        <is>
          <t>No Delay</t>
        </is>
      </c>
      <c r="N123" s="4">
        <f>IF(I123&lt;=H123,1,0)</f>
        <v/>
      </c>
      <c r="O123" s="4">
        <f>IF(J123&lt;=G123,1,0)</f>
        <v/>
      </c>
      <c r="P123" s="4">
        <f>MAX(0,I123-H123)</f>
        <v/>
      </c>
      <c r="Q123" s="4">
        <f>MAX(0,J123-G123)</f>
        <v/>
      </c>
      <c r="R123" s="4">
        <f>IF(AND(N123=1,O123=1),"On Track",IF(O123=0,"Customer Delivery Late","Ship Late"))</f>
        <v/>
      </c>
    </row>
    <row r="124">
      <c r="A124" s="2" t="inlineStr">
        <is>
          <t>ORD-00123</t>
        </is>
      </c>
      <c r="B124" s="2" t="inlineStr">
        <is>
          <t>Customer 01</t>
        </is>
      </c>
      <c r="C124" s="2" t="inlineStr">
        <is>
          <t>Drive</t>
        </is>
      </c>
      <c r="D124" s="2" t="inlineStr">
        <is>
          <t>Plant A</t>
        </is>
      </c>
      <c r="E124" s="2" t="inlineStr">
        <is>
          <t>South</t>
        </is>
      </c>
      <c r="F124" s="12" t="n">
        <v>46129</v>
      </c>
      <c r="G124" s="12" t="n">
        <v>46135</v>
      </c>
      <c r="H124" s="12" t="n">
        <v>46131</v>
      </c>
      <c r="I124" s="12" t="n">
        <v>46129</v>
      </c>
      <c r="J124" s="12" t="n">
        <v>46132</v>
      </c>
      <c r="K124" s="2" t="n">
        <v>309</v>
      </c>
      <c r="L124" s="2" t="inlineStr">
        <is>
          <t>Road</t>
        </is>
      </c>
      <c r="M124" s="2" t="inlineStr">
        <is>
          <t>No Delay</t>
        </is>
      </c>
      <c r="N124" s="4">
        <f>IF(I124&lt;=H124,1,0)</f>
        <v/>
      </c>
      <c r="O124" s="4">
        <f>IF(J124&lt;=G124,1,0)</f>
        <v/>
      </c>
      <c r="P124" s="4">
        <f>MAX(0,I124-H124)</f>
        <v/>
      </c>
      <c r="Q124" s="4">
        <f>MAX(0,J124-G124)</f>
        <v/>
      </c>
      <c r="R124" s="4">
        <f>IF(AND(N124=1,O124=1),"On Track",IF(O124=0,"Customer Delivery Late","Ship Late"))</f>
        <v/>
      </c>
    </row>
    <row r="125">
      <c r="A125" s="2" t="inlineStr">
        <is>
          <t>ORD-00124</t>
        </is>
      </c>
      <c r="B125" s="2" t="inlineStr">
        <is>
          <t>Customer 29</t>
        </is>
      </c>
      <c r="C125" s="2" t="inlineStr">
        <is>
          <t>Contactor</t>
        </is>
      </c>
      <c r="D125" s="2" t="inlineStr">
        <is>
          <t>Plant A</t>
        </is>
      </c>
      <c r="E125" s="2" t="inlineStr">
        <is>
          <t>South</t>
        </is>
      </c>
      <c r="F125" s="12" t="n">
        <v>46032</v>
      </c>
      <c r="G125" s="12" t="n">
        <v>46046</v>
      </c>
      <c r="H125" s="12" t="n">
        <v>46042</v>
      </c>
      <c r="I125" s="12" t="n">
        <v>46040</v>
      </c>
      <c r="J125" s="12" t="n">
        <v>46044</v>
      </c>
      <c r="K125" s="2" t="n">
        <v>451</v>
      </c>
      <c r="L125" s="2" t="inlineStr">
        <is>
          <t>Road</t>
        </is>
      </c>
      <c r="M125" s="2" t="inlineStr">
        <is>
          <t>No Delay</t>
        </is>
      </c>
      <c r="N125" s="4">
        <f>IF(I125&lt;=H125,1,0)</f>
        <v/>
      </c>
      <c r="O125" s="4">
        <f>IF(J125&lt;=G125,1,0)</f>
        <v/>
      </c>
      <c r="P125" s="4">
        <f>MAX(0,I125-H125)</f>
        <v/>
      </c>
      <c r="Q125" s="4">
        <f>MAX(0,J125-G125)</f>
        <v/>
      </c>
      <c r="R125" s="4">
        <f>IF(AND(N125=1,O125=1),"On Track",IF(O125=0,"Customer Delivery Late","Ship Late"))</f>
        <v/>
      </c>
    </row>
    <row r="126">
      <c r="A126" s="2" t="inlineStr">
        <is>
          <t>ORD-00125</t>
        </is>
      </c>
      <c r="B126" s="2" t="inlineStr">
        <is>
          <t>Customer 08</t>
        </is>
      </c>
      <c r="C126" s="2" t="inlineStr">
        <is>
          <t>Power Supply</t>
        </is>
      </c>
      <c r="D126" s="2" t="inlineStr">
        <is>
          <t>Plant C</t>
        </is>
      </c>
      <c r="E126" s="2" t="inlineStr">
        <is>
          <t>Export</t>
        </is>
      </c>
      <c r="F126" s="12" t="n">
        <v>46163</v>
      </c>
      <c r="G126" s="12" t="n">
        <v>46187</v>
      </c>
      <c r="H126" s="12" t="n">
        <v>46182</v>
      </c>
      <c r="I126" s="12" t="n">
        <v>46181</v>
      </c>
      <c r="J126" s="12" t="n">
        <v>46186</v>
      </c>
      <c r="K126" s="2" t="n">
        <v>138</v>
      </c>
      <c r="L126" s="2" t="inlineStr">
        <is>
          <t>Road</t>
        </is>
      </c>
      <c r="M126" s="2" t="inlineStr">
        <is>
          <t>No Delay</t>
        </is>
      </c>
      <c r="N126" s="4">
        <f>IF(I126&lt;=H126,1,0)</f>
        <v/>
      </c>
      <c r="O126" s="4">
        <f>IF(J126&lt;=G126,1,0)</f>
        <v/>
      </c>
      <c r="P126" s="4">
        <f>MAX(0,I126-H126)</f>
        <v/>
      </c>
      <c r="Q126" s="4">
        <f>MAX(0,J126-G126)</f>
        <v/>
      </c>
      <c r="R126" s="4">
        <f>IF(AND(N126=1,O126=1),"On Track",IF(O126=0,"Customer Delivery Late","Ship Late"))</f>
        <v/>
      </c>
    </row>
    <row r="127">
      <c r="A127" s="2" t="inlineStr">
        <is>
          <t>ORD-00126</t>
        </is>
      </c>
      <c r="B127" s="2" t="inlineStr">
        <is>
          <t>Customer 01</t>
        </is>
      </c>
      <c r="C127" s="2" t="inlineStr">
        <is>
          <t>Drive</t>
        </is>
      </c>
      <c r="D127" s="2" t="inlineStr">
        <is>
          <t>Plant A</t>
        </is>
      </c>
      <c r="E127" s="2" t="inlineStr">
        <is>
          <t>Export</t>
        </is>
      </c>
      <c r="F127" s="12" t="n">
        <v>46150</v>
      </c>
      <c r="G127" s="12" t="n">
        <v>46174</v>
      </c>
      <c r="H127" s="12" t="n">
        <v>46169</v>
      </c>
      <c r="I127" s="12" t="n">
        <v>46169</v>
      </c>
      <c r="J127" s="12" t="n">
        <v>46174</v>
      </c>
      <c r="K127" s="2" t="n">
        <v>393</v>
      </c>
      <c r="L127" s="2" t="inlineStr">
        <is>
          <t>Sea</t>
        </is>
      </c>
      <c r="M127" s="2" t="inlineStr">
        <is>
          <t>No Delay</t>
        </is>
      </c>
      <c r="N127" s="4">
        <f>IF(I127&lt;=H127,1,0)</f>
        <v/>
      </c>
      <c r="O127" s="4">
        <f>IF(J127&lt;=G127,1,0)</f>
        <v/>
      </c>
      <c r="P127" s="4">
        <f>MAX(0,I127-H127)</f>
        <v/>
      </c>
      <c r="Q127" s="4">
        <f>MAX(0,J127-G127)</f>
        <v/>
      </c>
      <c r="R127" s="4">
        <f>IF(AND(N127=1,O127=1),"On Track",IF(O127=0,"Customer Delivery Late","Ship Late"))</f>
        <v/>
      </c>
    </row>
    <row r="128">
      <c r="A128" s="2" t="inlineStr">
        <is>
          <t>ORD-00127</t>
        </is>
      </c>
      <c r="B128" s="2" t="inlineStr">
        <is>
          <t>Customer 21</t>
        </is>
      </c>
      <c r="C128" s="2" t="inlineStr">
        <is>
          <t>Power Supply</t>
        </is>
      </c>
      <c r="D128" s="2" t="inlineStr">
        <is>
          <t>Plant B</t>
        </is>
      </c>
      <c r="E128" s="2" t="inlineStr">
        <is>
          <t>South</t>
        </is>
      </c>
      <c r="F128" s="12" t="n">
        <v>46194</v>
      </c>
      <c r="G128" s="12" t="n">
        <v>46201</v>
      </c>
      <c r="H128" s="12" t="n">
        <v>46196</v>
      </c>
      <c r="I128" s="12" t="n">
        <v>46198</v>
      </c>
      <c r="J128" s="12" t="n">
        <v>46203</v>
      </c>
      <c r="K128" s="2" t="n">
        <v>43</v>
      </c>
      <c r="L128" s="2" t="inlineStr">
        <is>
          <t>Air</t>
        </is>
      </c>
      <c r="M128" s="2" t="inlineStr">
        <is>
          <t>Material Shortage</t>
        </is>
      </c>
      <c r="N128" s="4">
        <f>IF(I128&lt;=H128,1,0)</f>
        <v/>
      </c>
      <c r="O128" s="4">
        <f>IF(J128&lt;=G128,1,0)</f>
        <v/>
      </c>
      <c r="P128" s="4">
        <f>MAX(0,I128-H128)</f>
        <v/>
      </c>
      <c r="Q128" s="4">
        <f>MAX(0,J128-G128)</f>
        <v/>
      </c>
      <c r="R128" s="4">
        <f>IF(AND(N128=1,O128=1),"On Track",IF(O128=0,"Customer Delivery Late","Ship Late"))</f>
        <v/>
      </c>
    </row>
    <row r="129">
      <c r="A129" s="2" t="inlineStr">
        <is>
          <t>ORD-00128</t>
        </is>
      </c>
      <c r="B129" s="2" t="inlineStr">
        <is>
          <t>Customer 05</t>
        </is>
      </c>
      <c r="C129" s="2" t="inlineStr">
        <is>
          <t>Breaker</t>
        </is>
      </c>
      <c r="D129" s="2" t="inlineStr">
        <is>
          <t>Plant B</t>
        </is>
      </c>
      <c r="E129" s="2" t="inlineStr">
        <is>
          <t>South</t>
        </is>
      </c>
      <c r="F129" s="12" t="n">
        <v>46040</v>
      </c>
      <c r="G129" s="12" t="n">
        <v>46056</v>
      </c>
      <c r="H129" s="12" t="n">
        <v>46054</v>
      </c>
      <c r="I129" s="12" t="n">
        <v>46054</v>
      </c>
      <c r="J129" s="12" t="n">
        <v>46057</v>
      </c>
      <c r="K129" s="2" t="n">
        <v>1326</v>
      </c>
      <c r="L129" s="2" t="inlineStr">
        <is>
          <t>Road</t>
        </is>
      </c>
      <c r="M129" s="2" t="inlineStr">
        <is>
          <t>Carrier Delay</t>
        </is>
      </c>
      <c r="N129" s="4">
        <f>IF(I129&lt;=H129,1,0)</f>
        <v/>
      </c>
      <c r="O129" s="4">
        <f>IF(J129&lt;=G129,1,0)</f>
        <v/>
      </c>
      <c r="P129" s="4">
        <f>MAX(0,I129-H129)</f>
        <v/>
      </c>
      <c r="Q129" s="4">
        <f>MAX(0,J129-G129)</f>
        <v/>
      </c>
      <c r="R129" s="4">
        <f>IF(AND(N129=1,O129=1),"On Track",IF(O129=0,"Customer Delivery Late","Ship Late"))</f>
        <v/>
      </c>
    </row>
    <row r="130">
      <c r="A130" s="2" t="inlineStr">
        <is>
          <t>ORD-00129</t>
        </is>
      </c>
      <c r="B130" s="2" t="inlineStr">
        <is>
          <t>Customer 07</t>
        </is>
      </c>
      <c r="C130" s="2" t="inlineStr">
        <is>
          <t>Breaker</t>
        </is>
      </c>
      <c r="D130" s="2" t="inlineStr">
        <is>
          <t>Plant A</t>
        </is>
      </c>
      <c r="E130" s="2" t="inlineStr">
        <is>
          <t>North</t>
        </is>
      </c>
      <c r="F130" s="12" t="n">
        <v>46198</v>
      </c>
      <c r="G130" s="12" t="n">
        <v>46217</v>
      </c>
      <c r="H130" s="12" t="n">
        <v>46213</v>
      </c>
      <c r="I130" s="12" t="n">
        <v>46211</v>
      </c>
      <c r="J130" s="12" t="n">
        <v>46215</v>
      </c>
      <c r="K130" s="2" t="n">
        <v>656</v>
      </c>
      <c r="L130" s="2" t="inlineStr">
        <is>
          <t>Air</t>
        </is>
      </c>
      <c r="M130" s="2" t="inlineStr">
        <is>
          <t>No Delay</t>
        </is>
      </c>
      <c r="N130" s="4">
        <f>IF(I130&lt;=H130,1,0)</f>
        <v/>
      </c>
      <c r="O130" s="4">
        <f>IF(J130&lt;=G130,1,0)</f>
        <v/>
      </c>
      <c r="P130" s="4">
        <f>MAX(0,I130-H130)</f>
        <v/>
      </c>
      <c r="Q130" s="4">
        <f>MAX(0,J130-G130)</f>
        <v/>
      </c>
      <c r="R130" s="4">
        <f>IF(AND(N130=1,O130=1),"On Track",IF(O130=0,"Customer Delivery Late","Ship Late"))</f>
        <v/>
      </c>
    </row>
    <row r="131">
      <c r="A131" s="2" t="inlineStr">
        <is>
          <t>ORD-00130</t>
        </is>
      </c>
      <c r="B131" s="2" t="inlineStr">
        <is>
          <t>Customer 25</t>
        </is>
      </c>
      <c r="C131" s="2" t="inlineStr">
        <is>
          <t>Breaker</t>
        </is>
      </c>
      <c r="D131" s="2" t="inlineStr">
        <is>
          <t>Plant C</t>
        </is>
      </c>
      <c r="E131" s="2" t="inlineStr">
        <is>
          <t>South</t>
        </is>
      </c>
      <c r="F131" s="12" t="n">
        <v>46154</v>
      </c>
      <c r="G131" s="12" t="n">
        <v>46171</v>
      </c>
      <c r="H131" s="12" t="n">
        <v>46166</v>
      </c>
      <c r="I131" s="12" t="n">
        <v>46164</v>
      </c>
      <c r="J131" s="12" t="n">
        <v>46169</v>
      </c>
      <c r="K131" s="2" t="n">
        <v>569</v>
      </c>
      <c r="L131" s="2" t="inlineStr">
        <is>
          <t>Road</t>
        </is>
      </c>
      <c r="M131" s="2" t="inlineStr">
        <is>
          <t>No Delay</t>
        </is>
      </c>
      <c r="N131" s="4">
        <f>IF(I131&lt;=H131,1,0)</f>
        <v/>
      </c>
      <c r="O131" s="4">
        <f>IF(J131&lt;=G131,1,0)</f>
        <v/>
      </c>
      <c r="P131" s="4">
        <f>MAX(0,I131-H131)</f>
        <v/>
      </c>
      <c r="Q131" s="4">
        <f>MAX(0,J131-G131)</f>
        <v/>
      </c>
      <c r="R131" s="4">
        <f>IF(AND(N131=1,O131=1),"On Track",IF(O131=0,"Customer Delivery Late","Ship Late"))</f>
        <v/>
      </c>
    </row>
    <row r="132">
      <c r="A132" s="2" t="inlineStr">
        <is>
          <t>ORD-00131</t>
        </is>
      </c>
      <c r="B132" s="2" t="inlineStr">
        <is>
          <t>Customer 16</t>
        </is>
      </c>
      <c r="C132" s="2" t="inlineStr">
        <is>
          <t>Drive</t>
        </is>
      </c>
      <c r="D132" s="2" t="inlineStr">
        <is>
          <t>Plant C</t>
        </is>
      </c>
      <c r="E132" s="2" t="inlineStr">
        <is>
          <t>South</t>
        </is>
      </c>
      <c r="F132" s="12" t="n">
        <v>46117</v>
      </c>
      <c r="G132" s="12" t="n">
        <v>46135</v>
      </c>
      <c r="H132" s="12" t="n">
        <v>46131</v>
      </c>
      <c r="I132" s="12" t="n">
        <v>46130</v>
      </c>
      <c r="J132" s="12" t="n">
        <v>46134</v>
      </c>
      <c r="K132" s="2" t="n">
        <v>179</v>
      </c>
      <c r="L132" s="2" t="inlineStr">
        <is>
          <t>Sea</t>
        </is>
      </c>
      <c r="M132" s="2" t="inlineStr">
        <is>
          <t>No Delay</t>
        </is>
      </c>
      <c r="N132" s="4">
        <f>IF(I132&lt;=H132,1,0)</f>
        <v/>
      </c>
      <c r="O132" s="4">
        <f>IF(J132&lt;=G132,1,0)</f>
        <v/>
      </c>
      <c r="P132" s="4">
        <f>MAX(0,I132-H132)</f>
        <v/>
      </c>
      <c r="Q132" s="4">
        <f>MAX(0,J132-G132)</f>
        <v/>
      </c>
      <c r="R132" s="4">
        <f>IF(AND(N132=1,O132=1),"On Track",IF(O132=0,"Customer Delivery Late","Ship Late"))</f>
        <v/>
      </c>
    </row>
    <row r="133">
      <c r="A133" s="2" t="inlineStr">
        <is>
          <t>ORD-00132</t>
        </is>
      </c>
      <c r="B133" s="2" t="inlineStr">
        <is>
          <t>Customer 11</t>
        </is>
      </c>
      <c r="C133" s="2" t="inlineStr">
        <is>
          <t>Sensor</t>
        </is>
      </c>
      <c r="D133" s="2" t="inlineStr">
        <is>
          <t>Plant B</t>
        </is>
      </c>
      <c r="E133" s="2" t="inlineStr">
        <is>
          <t>Export</t>
        </is>
      </c>
      <c r="F133" s="12" t="n">
        <v>46131</v>
      </c>
      <c r="G133" s="12" t="n">
        <v>46138</v>
      </c>
      <c r="H133" s="12" t="n">
        <v>46134</v>
      </c>
      <c r="I133" s="12" t="n">
        <v>46132</v>
      </c>
      <c r="J133" s="12" t="n">
        <v>46136</v>
      </c>
      <c r="K133" s="2" t="n">
        <v>1244</v>
      </c>
      <c r="L133" s="2" t="inlineStr">
        <is>
          <t>Sea</t>
        </is>
      </c>
      <c r="M133" s="2" t="inlineStr">
        <is>
          <t>No Delay</t>
        </is>
      </c>
      <c r="N133" s="4">
        <f>IF(I133&lt;=H133,1,0)</f>
        <v/>
      </c>
      <c r="O133" s="4">
        <f>IF(J133&lt;=G133,1,0)</f>
        <v/>
      </c>
      <c r="P133" s="4">
        <f>MAX(0,I133-H133)</f>
        <v/>
      </c>
      <c r="Q133" s="4">
        <f>MAX(0,J133-G133)</f>
        <v/>
      </c>
      <c r="R133" s="4">
        <f>IF(AND(N133=1,O133=1),"On Track",IF(O133=0,"Customer Delivery Late","Ship Late"))</f>
        <v/>
      </c>
    </row>
    <row r="134">
      <c r="A134" s="2" t="inlineStr">
        <is>
          <t>ORD-00133</t>
        </is>
      </c>
      <c r="B134" s="2" t="inlineStr">
        <is>
          <t>Customer 09</t>
        </is>
      </c>
      <c r="C134" s="2" t="inlineStr">
        <is>
          <t>Breaker</t>
        </is>
      </c>
      <c r="D134" s="2" t="inlineStr">
        <is>
          <t>Plant A</t>
        </is>
      </c>
      <c r="E134" s="2" t="inlineStr">
        <is>
          <t>Export</t>
        </is>
      </c>
      <c r="F134" s="12" t="n">
        <v>46132</v>
      </c>
      <c r="G134" s="12" t="n">
        <v>46142</v>
      </c>
      <c r="H134" s="12" t="n">
        <v>46138</v>
      </c>
      <c r="I134" s="12" t="n">
        <v>46136</v>
      </c>
      <c r="J134" s="12" t="n">
        <v>46141</v>
      </c>
      <c r="K134" s="2" t="n">
        <v>754</v>
      </c>
      <c r="L134" s="2" t="inlineStr">
        <is>
          <t>Sea</t>
        </is>
      </c>
      <c r="M134" s="2" t="inlineStr">
        <is>
          <t>No Delay</t>
        </is>
      </c>
      <c r="N134" s="4">
        <f>IF(I134&lt;=H134,1,0)</f>
        <v/>
      </c>
      <c r="O134" s="4">
        <f>IF(J134&lt;=G134,1,0)</f>
        <v/>
      </c>
      <c r="P134" s="4">
        <f>MAX(0,I134-H134)</f>
        <v/>
      </c>
      <c r="Q134" s="4">
        <f>MAX(0,J134-G134)</f>
        <v/>
      </c>
      <c r="R134" s="4">
        <f>IF(AND(N134=1,O134=1),"On Track",IF(O134=0,"Customer Delivery Late","Ship Late"))</f>
        <v/>
      </c>
    </row>
    <row r="135">
      <c r="A135" s="2" t="inlineStr">
        <is>
          <t>ORD-00134</t>
        </is>
      </c>
      <c r="B135" s="2" t="inlineStr">
        <is>
          <t>Customer 08</t>
        </is>
      </c>
      <c r="C135" s="2" t="inlineStr">
        <is>
          <t>Drive</t>
        </is>
      </c>
      <c r="D135" s="2" t="inlineStr">
        <is>
          <t>Plant B</t>
        </is>
      </c>
      <c r="E135" s="2" t="inlineStr">
        <is>
          <t>Export</t>
        </is>
      </c>
      <c r="F135" s="12" t="n">
        <v>46196</v>
      </c>
      <c r="G135" s="12" t="n">
        <v>46206</v>
      </c>
      <c r="H135" s="12" t="n">
        <v>46205</v>
      </c>
      <c r="I135" s="12" t="n">
        <v>46205</v>
      </c>
      <c r="J135" s="12" t="n">
        <v>46206</v>
      </c>
      <c r="K135" s="2" t="n">
        <v>1171</v>
      </c>
      <c r="L135" s="2" t="inlineStr">
        <is>
          <t>Road</t>
        </is>
      </c>
      <c r="M135" s="2" t="inlineStr">
        <is>
          <t>No Delay</t>
        </is>
      </c>
      <c r="N135" s="4">
        <f>IF(I135&lt;=H135,1,0)</f>
        <v/>
      </c>
      <c r="O135" s="4">
        <f>IF(J135&lt;=G135,1,0)</f>
        <v/>
      </c>
      <c r="P135" s="4">
        <f>MAX(0,I135-H135)</f>
        <v/>
      </c>
      <c r="Q135" s="4">
        <f>MAX(0,J135-G135)</f>
        <v/>
      </c>
      <c r="R135" s="4">
        <f>IF(AND(N135=1,O135=1),"On Track",IF(O135=0,"Customer Delivery Late","Ship Late"))</f>
        <v/>
      </c>
    </row>
    <row r="136">
      <c r="A136" s="2" t="inlineStr">
        <is>
          <t>ORD-00135</t>
        </is>
      </c>
      <c r="B136" s="2" t="inlineStr">
        <is>
          <t>Customer 17</t>
        </is>
      </c>
      <c r="C136" s="2" t="inlineStr">
        <is>
          <t>Drive</t>
        </is>
      </c>
      <c r="D136" s="2" t="inlineStr">
        <is>
          <t>Plant B</t>
        </is>
      </c>
      <c r="E136" s="2" t="inlineStr">
        <is>
          <t>South</t>
        </is>
      </c>
      <c r="F136" s="12" t="n">
        <v>46177</v>
      </c>
      <c r="G136" s="12" t="n">
        <v>46186</v>
      </c>
      <c r="H136" s="12" t="n">
        <v>46182</v>
      </c>
      <c r="I136" s="12" t="n">
        <v>46181</v>
      </c>
      <c r="J136" s="12" t="n">
        <v>46184</v>
      </c>
      <c r="K136" s="2" t="n">
        <v>1340</v>
      </c>
      <c r="L136" s="2" t="inlineStr">
        <is>
          <t>Air</t>
        </is>
      </c>
      <c r="M136" s="2" t="inlineStr">
        <is>
          <t>No Delay</t>
        </is>
      </c>
      <c r="N136" s="4">
        <f>IF(I136&lt;=H136,1,0)</f>
        <v/>
      </c>
      <c r="O136" s="4">
        <f>IF(J136&lt;=G136,1,0)</f>
        <v/>
      </c>
      <c r="P136" s="4">
        <f>MAX(0,I136-H136)</f>
        <v/>
      </c>
      <c r="Q136" s="4">
        <f>MAX(0,J136-G136)</f>
        <v/>
      </c>
      <c r="R136" s="4">
        <f>IF(AND(N136=1,O136=1),"On Track",IF(O136=0,"Customer Delivery Late","Ship Late"))</f>
        <v/>
      </c>
    </row>
    <row r="137">
      <c r="A137" s="2" t="inlineStr">
        <is>
          <t>ORD-00136</t>
        </is>
      </c>
      <c r="B137" s="2" t="inlineStr">
        <is>
          <t>Customer 25</t>
        </is>
      </c>
      <c r="C137" s="2" t="inlineStr">
        <is>
          <t>Sensor</t>
        </is>
      </c>
      <c r="D137" s="2" t="inlineStr">
        <is>
          <t>Plant C</t>
        </is>
      </c>
      <c r="E137" s="2" t="inlineStr">
        <is>
          <t>Export</t>
        </is>
      </c>
      <c r="F137" s="12" t="n">
        <v>46086</v>
      </c>
      <c r="G137" s="12" t="n">
        <v>46094</v>
      </c>
      <c r="H137" s="12" t="n">
        <v>46093</v>
      </c>
      <c r="I137" s="12" t="n">
        <v>46092</v>
      </c>
      <c r="J137" s="12" t="n">
        <v>46094</v>
      </c>
      <c r="K137" s="2" t="n">
        <v>449</v>
      </c>
      <c r="L137" s="2" t="inlineStr">
        <is>
          <t>Sea</t>
        </is>
      </c>
      <c r="M137" s="2" t="inlineStr">
        <is>
          <t>No Delay</t>
        </is>
      </c>
      <c r="N137" s="4">
        <f>IF(I137&lt;=H137,1,0)</f>
        <v/>
      </c>
      <c r="O137" s="4">
        <f>IF(J137&lt;=G137,1,0)</f>
        <v/>
      </c>
      <c r="P137" s="4">
        <f>MAX(0,I137-H137)</f>
        <v/>
      </c>
      <c r="Q137" s="4">
        <f>MAX(0,J137-G137)</f>
        <v/>
      </c>
      <c r="R137" s="4">
        <f>IF(AND(N137=1,O137=1),"On Track",IF(O137=0,"Customer Delivery Late","Ship Late"))</f>
        <v/>
      </c>
    </row>
    <row r="138">
      <c r="A138" s="2" t="inlineStr">
        <is>
          <t>ORD-00137</t>
        </is>
      </c>
      <c r="B138" s="2" t="inlineStr">
        <is>
          <t>Customer 15</t>
        </is>
      </c>
      <c r="C138" s="2" t="inlineStr">
        <is>
          <t>Contactor</t>
        </is>
      </c>
      <c r="D138" s="2" t="inlineStr">
        <is>
          <t>Plant C</t>
        </is>
      </c>
      <c r="E138" s="2" t="inlineStr">
        <is>
          <t>South</t>
        </is>
      </c>
      <c r="F138" s="12" t="n">
        <v>46096</v>
      </c>
      <c r="G138" s="12" t="n">
        <v>46116</v>
      </c>
      <c r="H138" s="12" t="n">
        <v>46114</v>
      </c>
      <c r="I138" s="12" t="n">
        <v>46112</v>
      </c>
      <c r="J138" s="12" t="n">
        <v>46114</v>
      </c>
      <c r="K138" s="2" t="n">
        <v>1377</v>
      </c>
      <c r="L138" s="2" t="inlineStr">
        <is>
          <t>Air</t>
        </is>
      </c>
      <c r="M138" s="2" t="inlineStr">
        <is>
          <t>No Delay</t>
        </is>
      </c>
      <c r="N138" s="4">
        <f>IF(I138&lt;=H138,1,0)</f>
        <v/>
      </c>
      <c r="O138" s="4">
        <f>IF(J138&lt;=G138,1,0)</f>
        <v/>
      </c>
      <c r="P138" s="4">
        <f>MAX(0,I138-H138)</f>
        <v/>
      </c>
      <c r="Q138" s="4">
        <f>MAX(0,J138-G138)</f>
        <v/>
      </c>
      <c r="R138" s="4">
        <f>IF(AND(N138=1,O138=1),"On Track",IF(O138=0,"Customer Delivery Late","Ship Late"))</f>
        <v/>
      </c>
    </row>
    <row r="139">
      <c r="A139" s="2" t="inlineStr">
        <is>
          <t>ORD-00138</t>
        </is>
      </c>
      <c r="B139" s="2" t="inlineStr">
        <is>
          <t>Customer 17</t>
        </is>
      </c>
      <c r="C139" s="2" t="inlineStr">
        <is>
          <t>PLC</t>
        </is>
      </c>
      <c r="D139" s="2" t="inlineStr">
        <is>
          <t>Plant A</t>
        </is>
      </c>
      <c r="E139" s="2" t="inlineStr">
        <is>
          <t>Central</t>
        </is>
      </c>
      <c r="F139" s="12" t="n">
        <v>46039</v>
      </c>
      <c r="G139" s="12" t="n">
        <v>46061</v>
      </c>
      <c r="H139" s="12" t="n">
        <v>46056</v>
      </c>
      <c r="I139" s="12" t="n">
        <v>46055</v>
      </c>
      <c r="J139" s="12" t="n">
        <v>46060</v>
      </c>
      <c r="K139" s="2" t="n">
        <v>294</v>
      </c>
      <c r="L139" s="2" t="inlineStr">
        <is>
          <t>Road</t>
        </is>
      </c>
      <c r="M139" s="2" t="inlineStr">
        <is>
          <t>No Delay</t>
        </is>
      </c>
      <c r="N139" s="4">
        <f>IF(I139&lt;=H139,1,0)</f>
        <v/>
      </c>
      <c r="O139" s="4">
        <f>IF(J139&lt;=G139,1,0)</f>
        <v/>
      </c>
      <c r="P139" s="4">
        <f>MAX(0,I139-H139)</f>
        <v/>
      </c>
      <c r="Q139" s="4">
        <f>MAX(0,J139-G139)</f>
        <v/>
      </c>
      <c r="R139" s="4">
        <f>IF(AND(N139=1,O139=1),"On Track",IF(O139=0,"Customer Delivery Late","Ship Late"))</f>
        <v/>
      </c>
    </row>
    <row r="140">
      <c r="A140" s="2" t="inlineStr">
        <is>
          <t>ORD-00139</t>
        </is>
      </c>
      <c r="B140" s="2" t="inlineStr">
        <is>
          <t>Customer 29</t>
        </is>
      </c>
      <c r="C140" s="2" t="inlineStr">
        <is>
          <t>Contactor</t>
        </is>
      </c>
      <c r="D140" s="2" t="inlineStr">
        <is>
          <t>Plant A</t>
        </is>
      </c>
      <c r="E140" s="2" t="inlineStr">
        <is>
          <t>South</t>
        </is>
      </c>
      <c r="F140" s="12" t="n">
        <v>46149</v>
      </c>
      <c r="G140" s="12" t="n">
        <v>46154</v>
      </c>
      <c r="H140" s="12" t="n">
        <v>46151</v>
      </c>
      <c r="I140" s="12" t="n">
        <v>46150</v>
      </c>
      <c r="J140" s="12" t="n">
        <v>46154</v>
      </c>
      <c r="K140" s="2" t="n">
        <v>825</v>
      </c>
      <c r="L140" s="2" t="inlineStr">
        <is>
          <t>Sea</t>
        </is>
      </c>
      <c r="M140" s="2" t="inlineStr">
        <is>
          <t>No Delay</t>
        </is>
      </c>
      <c r="N140" s="4">
        <f>IF(I140&lt;=H140,1,0)</f>
        <v/>
      </c>
      <c r="O140" s="4">
        <f>IF(J140&lt;=G140,1,0)</f>
        <v/>
      </c>
      <c r="P140" s="4">
        <f>MAX(0,I140-H140)</f>
        <v/>
      </c>
      <c r="Q140" s="4">
        <f>MAX(0,J140-G140)</f>
        <v/>
      </c>
      <c r="R140" s="4">
        <f>IF(AND(N140=1,O140=1),"On Track",IF(O140=0,"Customer Delivery Late","Ship Late"))</f>
        <v/>
      </c>
    </row>
    <row r="141">
      <c r="A141" s="2" t="inlineStr">
        <is>
          <t>ORD-00140</t>
        </is>
      </c>
      <c r="B141" s="2" t="inlineStr">
        <is>
          <t>Customer 21</t>
        </is>
      </c>
      <c r="C141" s="2" t="inlineStr">
        <is>
          <t>Contactor</t>
        </is>
      </c>
      <c r="D141" s="2" t="inlineStr">
        <is>
          <t>Plant B</t>
        </is>
      </c>
      <c r="E141" s="2" t="inlineStr">
        <is>
          <t>Export</t>
        </is>
      </c>
      <c r="F141" s="12" t="n">
        <v>46145</v>
      </c>
      <c r="G141" s="12" t="n">
        <v>46166</v>
      </c>
      <c r="H141" s="12" t="n">
        <v>46162</v>
      </c>
      <c r="I141" s="12" t="n">
        <v>46162</v>
      </c>
      <c r="J141" s="12" t="n">
        <v>46166</v>
      </c>
      <c r="K141" s="2" t="n">
        <v>1402</v>
      </c>
      <c r="L141" s="2" t="inlineStr">
        <is>
          <t>Sea</t>
        </is>
      </c>
      <c r="M141" s="2" t="inlineStr">
        <is>
          <t>No Delay</t>
        </is>
      </c>
      <c r="N141" s="4">
        <f>IF(I141&lt;=H141,1,0)</f>
        <v/>
      </c>
      <c r="O141" s="4">
        <f>IF(J141&lt;=G141,1,0)</f>
        <v/>
      </c>
      <c r="P141" s="4">
        <f>MAX(0,I141-H141)</f>
        <v/>
      </c>
      <c r="Q141" s="4">
        <f>MAX(0,J141-G141)</f>
        <v/>
      </c>
      <c r="R141" s="4">
        <f>IF(AND(N141=1,O141=1),"On Track",IF(O141=0,"Customer Delivery Late","Ship Late"))</f>
        <v/>
      </c>
    </row>
    <row r="142">
      <c r="A142" s="2" t="inlineStr">
        <is>
          <t>ORD-00141</t>
        </is>
      </c>
      <c r="B142" s="2" t="inlineStr">
        <is>
          <t>Customer 28</t>
        </is>
      </c>
      <c r="C142" s="2" t="inlineStr">
        <is>
          <t>Breaker</t>
        </is>
      </c>
      <c r="D142" s="2" t="inlineStr">
        <is>
          <t>Plant A</t>
        </is>
      </c>
      <c r="E142" s="2" t="inlineStr">
        <is>
          <t>Central</t>
        </is>
      </c>
      <c r="F142" s="12" t="n">
        <v>46111</v>
      </c>
      <c r="G142" s="12" t="n">
        <v>46120</v>
      </c>
      <c r="H142" s="12" t="n">
        <v>46115</v>
      </c>
      <c r="I142" s="12" t="n">
        <v>46113</v>
      </c>
      <c r="J142" s="12" t="n">
        <v>46118</v>
      </c>
      <c r="K142" s="2" t="n">
        <v>632</v>
      </c>
      <c r="L142" s="2" t="inlineStr">
        <is>
          <t>Road</t>
        </is>
      </c>
      <c r="M142" s="2" t="inlineStr">
        <is>
          <t>No Delay</t>
        </is>
      </c>
      <c r="N142" s="4">
        <f>IF(I142&lt;=H142,1,0)</f>
        <v/>
      </c>
      <c r="O142" s="4">
        <f>IF(J142&lt;=G142,1,0)</f>
        <v/>
      </c>
      <c r="P142" s="4">
        <f>MAX(0,I142-H142)</f>
        <v/>
      </c>
      <c r="Q142" s="4">
        <f>MAX(0,J142-G142)</f>
        <v/>
      </c>
      <c r="R142" s="4">
        <f>IF(AND(N142=1,O142=1),"On Track",IF(O142=0,"Customer Delivery Late","Ship Late"))</f>
        <v/>
      </c>
    </row>
    <row r="143">
      <c r="A143" s="2" t="inlineStr">
        <is>
          <t>ORD-00142</t>
        </is>
      </c>
      <c r="B143" s="2" t="inlineStr">
        <is>
          <t>Customer 21</t>
        </is>
      </c>
      <c r="C143" s="2" t="inlineStr">
        <is>
          <t>Sensor</t>
        </is>
      </c>
      <c r="D143" s="2" t="inlineStr">
        <is>
          <t>Plant A</t>
        </is>
      </c>
      <c r="E143" s="2" t="inlineStr">
        <is>
          <t>South</t>
        </is>
      </c>
      <c r="F143" s="12" t="n">
        <v>46064</v>
      </c>
      <c r="G143" s="12" t="n">
        <v>46079</v>
      </c>
      <c r="H143" s="12" t="n">
        <v>46077</v>
      </c>
      <c r="I143" s="12" t="n">
        <v>46077</v>
      </c>
      <c r="J143" s="12" t="n">
        <v>46078</v>
      </c>
      <c r="K143" s="2" t="n">
        <v>1268</v>
      </c>
      <c r="L143" s="2" t="inlineStr">
        <is>
          <t>Sea</t>
        </is>
      </c>
      <c r="M143" s="2" t="inlineStr">
        <is>
          <t>No Delay</t>
        </is>
      </c>
      <c r="N143" s="4">
        <f>IF(I143&lt;=H143,1,0)</f>
        <v/>
      </c>
      <c r="O143" s="4">
        <f>IF(J143&lt;=G143,1,0)</f>
        <v/>
      </c>
      <c r="P143" s="4">
        <f>MAX(0,I143-H143)</f>
        <v/>
      </c>
      <c r="Q143" s="4">
        <f>MAX(0,J143-G143)</f>
        <v/>
      </c>
      <c r="R143" s="4">
        <f>IF(AND(N143=1,O143=1),"On Track",IF(O143=0,"Customer Delivery Late","Ship Late"))</f>
        <v/>
      </c>
    </row>
    <row r="144">
      <c r="A144" s="2" t="inlineStr">
        <is>
          <t>ORD-00143</t>
        </is>
      </c>
      <c r="B144" s="2" t="inlineStr">
        <is>
          <t>Customer 24</t>
        </is>
      </c>
      <c r="C144" s="2" t="inlineStr">
        <is>
          <t>Drive</t>
        </is>
      </c>
      <c r="D144" s="2" t="inlineStr">
        <is>
          <t>Plant C</t>
        </is>
      </c>
      <c r="E144" s="2" t="inlineStr">
        <is>
          <t>North</t>
        </is>
      </c>
      <c r="F144" s="12" t="n">
        <v>46046</v>
      </c>
      <c r="G144" s="12" t="n">
        <v>46067</v>
      </c>
      <c r="H144" s="12" t="n">
        <v>46065</v>
      </c>
      <c r="I144" s="12" t="n">
        <v>46065</v>
      </c>
      <c r="J144" s="12" t="n">
        <v>46067</v>
      </c>
      <c r="K144" s="2" t="n">
        <v>68</v>
      </c>
      <c r="L144" s="2" t="inlineStr">
        <is>
          <t>Road</t>
        </is>
      </c>
      <c r="M144" s="2" t="inlineStr">
        <is>
          <t>No Delay</t>
        </is>
      </c>
      <c r="N144" s="4">
        <f>IF(I144&lt;=H144,1,0)</f>
        <v/>
      </c>
      <c r="O144" s="4">
        <f>IF(J144&lt;=G144,1,0)</f>
        <v/>
      </c>
      <c r="P144" s="4">
        <f>MAX(0,I144-H144)</f>
        <v/>
      </c>
      <c r="Q144" s="4">
        <f>MAX(0,J144-G144)</f>
        <v/>
      </c>
      <c r="R144" s="4">
        <f>IF(AND(N144=1,O144=1),"On Track",IF(O144=0,"Customer Delivery Late","Ship Late"))</f>
        <v/>
      </c>
    </row>
    <row r="145">
      <c r="A145" s="2" t="inlineStr">
        <is>
          <t>ORD-00144</t>
        </is>
      </c>
      <c r="B145" s="2" t="inlineStr">
        <is>
          <t>Customer 16</t>
        </is>
      </c>
      <c r="C145" s="2" t="inlineStr">
        <is>
          <t>Sensor</t>
        </is>
      </c>
      <c r="D145" s="2" t="inlineStr">
        <is>
          <t>Plant C</t>
        </is>
      </c>
      <c r="E145" s="2" t="inlineStr">
        <is>
          <t>South</t>
        </is>
      </c>
      <c r="F145" s="12" t="n">
        <v>46034</v>
      </c>
      <c r="G145" s="12" t="n">
        <v>46059</v>
      </c>
      <c r="H145" s="12" t="n">
        <v>46054</v>
      </c>
      <c r="I145" s="12" t="n">
        <v>46052</v>
      </c>
      <c r="J145" s="12" t="n">
        <v>46058</v>
      </c>
      <c r="K145" s="2" t="n">
        <v>999</v>
      </c>
      <c r="L145" s="2" t="inlineStr">
        <is>
          <t>Road</t>
        </is>
      </c>
      <c r="M145" s="2" t="inlineStr">
        <is>
          <t>No Delay</t>
        </is>
      </c>
      <c r="N145" s="4">
        <f>IF(I145&lt;=H145,1,0)</f>
        <v/>
      </c>
      <c r="O145" s="4">
        <f>IF(J145&lt;=G145,1,0)</f>
        <v/>
      </c>
      <c r="P145" s="4">
        <f>MAX(0,I145-H145)</f>
        <v/>
      </c>
      <c r="Q145" s="4">
        <f>MAX(0,J145-G145)</f>
        <v/>
      </c>
      <c r="R145" s="4">
        <f>IF(AND(N145=1,O145=1),"On Track",IF(O145=0,"Customer Delivery Late","Ship Late"))</f>
        <v/>
      </c>
    </row>
    <row r="146">
      <c r="A146" s="2" t="inlineStr">
        <is>
          <t>ORD-00145</t>
        </is>
      </c>
      <c r="B146" s="2" t="inlineStr">
        <is>
          <t>Customer 16</t>
        </is>
      </c>
      <c r="C146" s="2" t="inlineStr">
        <is>
          <t>Switchgear</t>
        </is>
      </c>
      <c r="D146" s="2" t="inlineStr">
        <is>
          <t>Plant A</t>
        </is>
      </c>
      <c r="E146" s="2" t="inlineStr">
        <is>
          <t>South</t>
        </is>
      </c>
      <c r="F146" s="12" t="n">
        <v>46198</v>
      </c>
      <c r="G146" s="12" t="n">
        <v>46215</v>
      </c>
      <c r="H146" s="12" t="n">
        <v>46212</v>
      </c>
      <c r="I146" s="12" t="n">
        <v>46212</v>
      </c>
      <c r="J146" s="12" t="n">
        <v>46215</v>
      </c>
      <c r="K146" s="2" t="n">
        <v>1252</v>
      </c>
      <c r="L146" s="2" t="inlineStr">
        <is>
          <t>Road</t>
        </is>
      </c>
      <c r="M146" s="2" t="inlineStr">
        <is>
          <t>No Delay</t>
        </is>
      </c>
      <c r="N146" s="4">
        <f>IF(I146&lt;=H146,1,0)</f>
        <v/>
      </c>
      <c r="O146" s="4">
        <f>IF(J146&lt;=G146,1,0)</f>
        <v/>
      </c>
      <c r="P146" s="4">
        <f>MAX(0,I146-H146)</f>
        <v/>
      </c>
      <c r="Q146" s="4">
        <f>MAX(0,J146-G146)</f>
        <v/>
      </c>
      <c r="R146" s="4">
        <f>IF(AND(N146=1,O146=1),"On Track",IF(O146=0,"Customer Delivery Late","Ship Late"))</f>
        <v/>
      </c>
    </row>
    <row r="147">
      <c r="A147" s="2" t="inlineStr">
        <is>
          <t>ORD-00146</t>
        </is>
      </c>
      <c r="B147" s="2" t="inlineStr">
        <is>
          <t>Customer 08</t>
        </is>
      </c>
      <c r="C147" s="2" t="inlineStr">
        <is>
          <t>Switchgear</t>
        </is>
      </c>
      <c r="D147" s="2" t="inlineStr">
        <is>
          <t>Plant A</t>
        </is>
      </c>
      <c r="E147" s="2" t="inlineStr">
        <is>
          <t>South</t>
        </is>
      </c>
      <c r="F147" s="12" t="n">
        <v>46103</v>
      </c>
      <c r="G147" s="12" t="n">
        <v>46118</v>
      </c>
      <c r="H147" s="12" t="n">
        <v>46115</v>
      </c>
      <c r="I147" s="12" t="n">
        <v>46118</v>
      </c>
      <c r="J147" s="12" t="n">
        <v>46122</v>
      </c>
      <c r="K147" s="2" t="n">
        <v>930</v>
      </c>
      <c r="L147" s="2" t="inlineStr">
        <is>
          <t>Road</t>
        </is>
      </c>
      <c r="M147" s="2" t="inlineStr">
        <is>
          <t>Carrier Delay</t>
        </is>
      </c>
      <c r="N147" s="4">
        <f>IF(I147&lt;=H147,1,0)</f>
        <v/>
      </c>
      <c r="O147" s="4">
        <f>IF(J147&lt;=G147,1,0)</f>
        <v/>
      </c>
      <c r="P147" s="4">
        <f>MAX(0,I147-H147)</f>
        <v/>
      </c>
      <c r="Q147" s="4">
        <f>MAX(0,J147-G147)</f>
        <v/>
      </c>
      <c r="R147" s="4">
        <f>IF(AND(N147=1,O147=1),"On Track",IF(O147=0,"Customer Delivery Late","Ship Late"))</f>
        <v/>
      </c>
    </row>
    <row r="148">
      <c r="A148" s="2" t="inlineStr">
        <is>
          <t>ORD-00147</t>
        </is>
      </c>
      <c r="B148" s="2" t="inlineStr">
        <is>
          <t>Customer 29</t>
        </is>
      </c>
      <c r="C148" s="2" t="inlineStr">
        <is>
          <t>Relay</t>
        </is>
      </c>
      <c r="D148" s="2" t="inlineStr">
        <is>
          <t>Plant B</t>
        </is>
      </c>
      <c r="E148" s="2" t="inlineStr">
        <is>
          <t>South</t>
        </is>
      </c>
      <c r="F148" s="12" t="n">
        <v>46059</v>
      </c>
      <c r="G148" s="12" t="n">
        <v>46067</v>
      </c>
      <c r="H148" s="12" t="n">
        <v>46066</v>
      </c>
      <c r="I148" s="12" t="n">
        <v>46065</v>
      </c>
      <c r="J148" s="12" t="n">
        <v>46066</v>
      </c>
      <c r="K148" s="2" t="n">
        <v>398</v>
      </c>
      <c r="L148" s="2" t="inlineStr">
        <is>
          <t>Road</t>
        </is>
      </c>
      <c r="M148" s="2" t="inlineStr">
        <is>
          <t>No Delay</t>
        </is>
      </c>
      <c r="N148" s="4">
        <f>IF(I148&lt;=H148,1,0)</f>
        <v/>
      </c>
      <c r="O148" s="4">
        <f>IF(J148&lt;=G148,1,0)</f>
        <v/>
      </c>
      <c r="P148" s="4">
        <f>MAX(0,I148-H148)</f>
        <v/>
      </c>
      <c r="Q148" s="4">
        <f>MAX(0,J148-G148)</f>
        <v/>
      </c>
      <c r="R148" s="4">
        <f>IF(AND(N148=1,O148=1),"On Track",IF(O148=0,"Customer Delivery Late","Ship Late"))</f>
        <v/>
      </c>
    </row>
    <row r="149">
      <c r="A149" s="2" t="inlineStr">
        <is>
          <t>ORD-00148</t>
        </is>
      </c>
      <c r="B149" s="2" t="inlineStr">
        <is>
          <t>Customer 13</t>
        </is>
      </c>
      <c r="C149" s="2" t="inlineStr">
        <is>
          <t>Switchgear</t>
        </is>
      </c>
      <c r="D149" s="2" t="inlineStr">
        <is>
          <t>Plant A</t>
        </is>
      </c>
      <c r="E149" s="2" t="inlineStr">
        <is>
          <t>Central</t>
        </is>
      </c>
      <c r="F149" s="12" t="n">
        <v>46150</v>
      </c>
      <c r="G149" s="12" t="n">
        <v>46171</v>
      </c>
      <c r="H149" s="12" t="n">
        <v>46167</v>
      </c>
      <c r="I149" s="12" t="n">
        <v>46166</v>
      </c>
      <c r="J149" s="12" t="n">
        <v>46169</v>
      </c>
      <c r="K149" s="2" t="n">
        <v>1204</v>
      </c>
      <c r="L149" s="2" t="inlineStr">
        <is>
          <t>Air</t>
        </is>
      </c>
      <c r="M149" s="2" t="inlineStr">
        <is>
          <t>No Delay</t>
        </is>
      </c>
      <c r="N149" s="4">
        <f>IF(I149&lt;=H149,1,0)</f>
        <v/>
      </c>
      <c r="O149" s="4">
        <f>IF(J149&lt;=G149,1,0)</f>
        <v/>
      </c>
      <c r="P149" s="4">
        <f>MAX(0,I149-H149)</f>
        <v/>
      </c>
      <c r="Q149" s="4">
        <f>MAX(0,J149-G149)</f>
        <v/>
      </c>
      <c r="R149" s="4">
        <f>IF(AND(N149=1,O149=1),"On Track",IF(O149=0,"Customer Delivery Late","Ship Late"))</f>
        <v/>
      </c>
    </row>
    <row r="150">
      <c r="A150" s="2" t="inlineStr">
        <is>
          <t>ORD-00149</t>
        </is>
      </c>
      <c r="B150" s="2" t="inlineStr">
        <is>
          <t>Customer 28</t>
        </is>
      </c>
      <c r="C150" s="2" t="inlineStr">
        <is>
          <t>Contactor</t>
        </is>
      </c>
      <c r="D150" s="2" t="inlineStr">
        <is>
          <t>Plant B</t>
        </is>
      </c>
      <c r="E150" s="2" t="inlineStr">
        <is>
          <t>Central</t>
        </is>
      </c>
      <c r="F150" s="12" t="n">
        <v>46035</v>
      </c>
      <c r="G150" s="12" t="n">
        <v>46041</v>
      </c>
      <c r="H150" s="12" t="n">
        <v>46038</v>
      </c>
      <c r="I150" s="12" t="n">
        <v>46038</v>
      </c>
      <c r="J150" s="12" t="n">
        <v>46041</v>
      </c>
      <c r="K150" s="2" t="n">
        <v>551</v>
      </c>
      <c r="L150" s="2" t="inlineStr">
        <is>
          <t>Sea</t>
        </is>
      </c>
      <c r="M150" s="2" t="inlineStr">
        <is>
          <t>No Delay</t>
        </is>
      </c>
      <c r="N150" s="4">
        <f>IF(I150&lt;=H150,1,0)</f>
        <v/>
      </c>
      <c r="O150" s="4">
        <f>IF(J150&lt;=G150,1,0)</f>
        <v/>
      </c>
      <c r="P150" s="4">
        <f>MAX(0,I150-H150)</f>
        <v/>
      </c>
      <c r="Q150" s="4">
        <f>MAX(0,J150-G150)</f>
        <v/>
      </c>
      <c r="R150" s="4">
        <f>IF(AND(N150=1,O150=1),"On Track",IF(O150=0,"Customer Delivery Late","Ship Late"))</f>
        <v/>
      </c>
    </row>
    <row r="151">
      <c r="A151" s="2" t="inlineStr">
        <is>
          <t>ORD-00150</t>
        </is>
      </c>
      <c r="B151" s="2" t="inlineStr">
        <is>
          <t>Customer 03</t>
        </is>
      </c>
      <c r="C151" s="2" t="inlineStr">
        <is>
          <t>Power Supply</t>
        </is>
      </c>
      <c r="D151" s="2" t="inlineStr">
        <is>
          <t>Plant C</t>
        </is>
      </c>
      <c r="E151" s="2" t="inlineStr">
        <is>
          <t>Export</t>
        </is>
      </c>
      <c r="F151" s="12" t="n">
        <v>46116</v>
      </c>
      <c r="G151" s="12" t="n">
        <v>46133</v>
      </c>
      <c r="H151" s="12" t="n">
        <v>46130</v>
      </c>
      <c r="I151" s="12" t="n">
        <v>46128</v>
      </c>
      <c r="J151" s="12" t="n">
        <v>46131</v>
      </c>
      <c r="K151" s="2" t="n">
        <v>1136</v>
      </c>
      <c r="L151" s="2" t="inlineStr">
        <is>
          <t>Air</t>
        </is>
      </c>
      <c r="M151" s="2" t="inlineStr">
        <is>
          <t>No Delay</t>
        </is>
      </c>
      <c r="N151" s="4">
        <f>IF(I151&lt;=H151,1,0)</f>
        <v/>
      </c>
      <c r="O151" s="4">
        <f>IF(J151&lt;=G151,1,0)</f>
        <v/>
      </c>
      <c r="P151" s="4">
        <f>MAX(0,I151-H151)</f>
        <v/>
      </c>
      <c r="Q151" s="4">
        <f>MAX(0,J151-G151)</f>
        <v/>
      </c>
      <c r="R151" s="4">
        <f>IF(AND(N151=1,O151=1),"On Track",IF(O151=0,"Customer Delivery Late","Ship Late"))</f>
        <v/>
      </c>
    </row>
    <row r="152">
      <c r="A152" s="2" t="inlineStr">
        <is>
          <t>ORD-00151</t>
        </is>
      </c>
      <c r="B152" s="2" t="inlineStr">
        <is>
          <t>Customer 11</t>
        </is>
      </c>
      <c r="C152" s="2" t="inlineStr">
        <is>
          <t>Drive</t>
        </is>
      </c>
      <c r="D152" s="2" t="inlineStr">
        <is>
          <t>Plant A</t>
        </is>
      </c>
      <c r="E152" s="2" t="inlineStr">
        <is>
          <t>Central</t>
        </is>
      </c>
      <c r="F152" s="12" t="n">
        <v>46182</v>
      </c>
      <c r="G152" s="12" t="n">
        <v>46206</v>
      </c>
      <c r="H152" s="12" t="n">
        <v>46205</v>
      </c>
      <c r="I152" s="12" t="n">
        <v>46203</v>
      </c>
      <c r="J152" s="12" t="n">
        <v>46204</v>
      </c>
      <c r="K152" s="2" t="n">
        <v>1243</v>
      </c>
      <c r="L152" s="2" t="inlineStr">
        <is>
          <t>Sea</t>
        </is>
      </c>
      <c r="M152" s="2" t="inlineStr">
        <is>
          <t>No Delay</t>
        </is>
      </c>
      <c r="N152" s="4">
        <f>IF(I152&lt;=H152,1,0)</f>
        <v/>
      </c>
      <c r="O152" s="4">
        <f>IF(J152&lt;=G152,1,0)</f>
        <v/>
      </c>
      <c r="P152" s="4">
        <f>MAX(0,I152-H152)</f>
        <v/>
      </c>
      <c r="Q152" s="4">
        <f>MAX(0,J152-G152)</f>
        <v/>
      </c>
      <c r="R152" s="4">
        <f>IF(AND(N152=1,O152=1),"On Track",IF(O152=0,"Customer Delivery Late","Ship Late"))</f>
        <v/>
      </c>
    </row>
    <row r="153">
      <c r="A153" s="2" t="inlineStr">
        <is>
          <t>ORD-00152</t>
        </is>
      </c>
      <c r="B153" s="2" t="inlineStr">
        <is>
          <t>Customer 05</t>
        </is>
      </c>
      <c r="C153" s="2" t="inlineStr">
        <is>
          <t>Relay</t>
        </is>
      </c>
      <c r="D153" s="2" t="inlineStr">
        <is>
          <t>Plant B</t>
        </is>
      </c>
      <c r="E153" s="2" t="inlineStr">
        <is>
          <t>South</t>
        </is>
      </c>
      <c r="F153" s="12" t="n">
        <v>46125</v>
      </c>
      <c r="G153" s="12" t="n">
        <v>46146</v>
      </c>
      <c r="H153" s="12" t="n">
        <v>46145</v>
      </c>
      <c r="I153" s="12" t="n">
        <v>46143</v>
      </c>
      <c r="J153" s="12" t="n">
        <v>46144</v>
      </c>
      <c r="K153" s="2" t="n">
        <v>342</v>
      </c>
      <c r="L153" s="2" t="inlineStr">
        <is>
          <t>Air</t>
        </is>
      </c>
      <c r="M153" s="2" t="inlineStr">
        <is>
          <t>No Delay</t>
        </is>
      </c>
      <c r="N153" s="4">
        <f>IF(I153&lt;=H153,1,0)</f>
        <v/>
      </c>
      <c r="O153" s="4">
        <f>IF(J153&lt;=G153,1,0)</f>
        <v/>
      </c>
      <c r="P153" s="4">
        <f>MAX(0,I153-H153)</f>
        <v/>
      </c>
      <c r="Q153" s="4">
        <f>MAX(0,J153-G153)</f>
        <v/>
      </c>
      <c r="R153" s="4">
        <f>IF(AND(N153=1,O153=1),"On Track",IF(O153=0,"Customer Delivery Late","Ship Late"))</f>
        <v/>
      </c>
    </row>
    <row r="154">
      <c r="A154" s="2" t="inlineStr">
        <is>
          <t>ORD-00153</t>
        </is>
      </c>
      <c r="B154" s="2" t="inlineStr">
        <is>
          <t>Customer 12</t>
        </is>
      </c>
      <c r="C154" s="2" t="inlineStr">
        <is>
          <t>Drive</t>
        </is>
      </c>
      <c r="D154" s="2" t="inlineStr">
        <is>
          <t>Plant C</t>
        </is>
      </c>
      <c r="E154" s="2" t="inlineStr">
        <is>
          <t>North</t>
        </is>
      </c>
      <c r="F154" s="12" t="n">
        <v>46180</v>
      </c>
      <c r="G154" s="12" t="n">
        <v>46194</v>
      </c>
      <c r="H154" s="12" t="n">
        <v>46189</v>
      </c>
      <c r="I154" s="12" t="n">
        <v>46189</v>
      </c>
      <c r="J154" s="12" t="n">
        <v>46195</v>
      </c>
      <c r="K154" s="2" t="n">
        <v>863</v>
      </c>
      <c r="L154" s="2" t="inlineStr">
        <is>
          <t>Sea</t>
        </is>
      </c>
      <c r="M154" s="2" t="inlineStr">
        <is>
          <t>Material Shortage</t>
        </is>
      </c>
      <c r="N154" s="4">
        <f>IF(I154&lt;=H154,1,0)</f>
        <v/>
      </c>
      <c r="O154" s="4">
        <f>IF(J154&lt;=G154,1,0)</f>
        <v/>
      </c>
      <c r="P154" s="4">
        <f>MAX(0,I154-H154)</f>
        <v/>
      </c>
      <c r="Q154" s="4">
        <f>MAX(0,J154-G154)</f>
        <v/>
      </c>
      <c r="R154" s="4">
        <f>IF(AND(N154=1,O154=1),"On Track",IF(O154=0,"Customer Delivery Late","Ship Late"))</f>
        <v/>
      </c>
    </row>
    <row r="155">
      <c r="A155" s="2" t="inlineStr">
        <is>
          <t>ORD-00154</t>
        </is>
      </c>
      <c r="B155" s="2" t="inlineStr">
        <is>
          <t>Customer 06</t>
        </is>
      </c>
      <c r="C155" s="2" t="inlineStr">
        <is>
          <t>Power Supply</t>
        </is>
      </c>
      <c r="D155" s="2" t="inlineStr">
        <is>
          <t>Plant A</t>
        </is>
      </c>
      <c r="E155" s="2" t="inlineStr">
        <is>
          <t>Central</t>
        </is>
      </c>
      <c r="F155" s="12" t="n">
        <v>46101</v>
      </c>
      <c r="G155" s="12" t="n">
        <v>46126</v>
      </c>
      <c r="H155" s="12" t="n">
        <v>46125</v>
      </c>
      <c r="I155" s="12" t="n">
        <v>46124</v>
      </c>
      <c r="J155" s="12" t="n">
        <v>46125</v>
      </c>
      <c r="K155" s="2" t="n">
        <v>74</v>
      </c>
      <c r="L155" s="2" t="inlineStr">
        <is>
          <t>Sea</t>
        </is>
      </c>
      <c r="M155" s="2" t="inlineStr">
        <is>
          <t>No Delay</t>
        </is>
      </c>
      <c r="N155" s="4">
        <f>IF(I155&lt;=H155,1,0)</f>
        <v/>
      </c>
      <c r="O155" s="4">
        <f>IF(J155&lt;=G155,1,0)</f>
        <v/>
      </c>
      <c r="P155" s="4">
        <f>MAX(0,I155-H155)</f>
        <v/>
      </c>
      <c r="Q155" s="4">
        <f>MAX(0,J155-G155)</f>
        <v/>
      </c>
      <c r="R155" s="4">
        <f>IF(AND(N155=1,O155=1),"On Track",IF(O155=0,"Customer Delivery Late","Ship Late"))</f>
        <v/>
      </c>
    </row>
    <row r="156">
      <c r="A156" s="2" t="inlineStr">
        <is>
          <t>ORD-00155</t>
        </is>
      </c>
      <c r="B156" s="2" t="inlineStr">
        <is>
          <t>Customer 07</t>
        </is>
      </c>
      <c r="C156" s="2" t="inlineStr">
        <is>
          <t>Power Supply</t>
        </is>
      </c>
      <c r="D156" s="2" t="inlineStr">
        <is>
          <t>Plant C</t>
        </is>
      </c>
      <c r="E156" s="2" t="inlineStr">
        <is>
          <t>Export</t>
        </is>
      </c>
      <c r="F156" s="12" t="n">
        <v>46202</v>
      </c>
      <c r="G156" s="12" t="n">
        <v>46210</v>
      </c>
      <c r="H156" s="12" t="n">
        <v>46208</v>
      </c>
      <c r="I156" s="12" t="n">
        <v>46207</v>
      </c>
      <c r="J156" s="12" t="n">
        <v>46209</v>
      </c>
      <c r="K156" s="2" t="n">
        <v>1499</v>
      </c>
      <c r="L156" s="2" t="inlineStr">
        <is>
          <t>Road</t>
        </is>
      </c>
      <c r="M156" s="2" t="inlineStr">
        <is>
          <t>No Delay</t>
        </is>
      </c>
      <c r="N156" s="4">
        <f>IF(I156&lt;=H156,1,0)</f>
        <v/>
      </c>
      <c r="O156" s="4">
        <f>IF(J156&lt;=G156,1,0)</f>
        <v/>
      </c>
      <c r="P156" s="4">
        <f>MAX(0,I156-H156)</f>
        <v/>
      </c>
      <c r="Q156" s="4">
        <f>MAX(0,J156-G156)</f>
        <v/>
      </c>
      <c r="R156" s="4">
        <f>IF(AND(N156=1,O156=1),"On Track",IF(O156=0,"Customer Delivery Late","Ship Late"))</f>
        <v/>
      </c>
    </row>
    <row r="157">
      <c r="A157" s="2" t="inlineStr">
        <is>
          <t>ORD-00156</t>
        </is>
      </c>
      <c r="B157" s="2" t="inlineStr">
        <is>
          <t>Customer 06</t>
        </is>
      </c>
      <c r="C157" s="2" t="inlineStr">
        <is>
          <t>Switchgear</t>
        </is>
      </c>
      <c r="D157" s="2" t="inlineStr">
        <is>
          <t>Plant C</t>
        </is>
      </c>
      <c r="E157" s="2" t="inlineStr">
        <is>
          <t>South</t>
        </is>
      </c>
      <c r="F157" s="12" t="n">
        <v>46203</v>
      </c>
      <c r="G157" s="12" t="n">
        <v>46212</v>
      </c>
      <c r="H157" s="12" t="n">
        <v>46207</v>
      </c>
      <c r="I157" s="12" t="n">
        <v>46206</v>
      </c>
      <c r="J157" s="12" t="n">
        <v>46212</v>
      </c>
      <c r="K157" s="2" t="n">
        <v>1128</v>
      </c>
      <c r="L157" s="2" t="inlineStr">
        <is>
          <t>Air</t>
        </is>
      </c>
      <c r="M157" s="2" t="inlineStr">
        <is>
          <t>No Delay</t>
        </is>
      </c>
      <c r="N157" s="4">
        <f>IF(I157&lt;=H157,1,0)</f>
        <v/>
      </c>
      <c r="O157" s="4">
        <f>IF(J157&lt;=G157,1,0)</f>
        <v/>
      </c>
      <c r="P157" s="4">
        <f>MAX(0,I157-H157)</f>
        <v/>
      </c>
      <c r="Q157" s="4">
        <f>MAX(0,J157-G157)</f>
        <v/>
      </c>
      <c r="R157" s="4">
        <f>IF(AND(N157=1,O157=1),"On Track",IF(O157=0,"Customer Delivery Late","Ship Late"))</f>
        <v/>
      </c>
    </row>
    <row r="158">
      <c r="A158" s="2" t="inlineStr">
        <is>
          <t>ORD-00157</t>
        </is>
      </c>
      <c r="B158" s="2" t="inlineStr">
        <is>
          <t>Customer 08</t>
        </is>
      </c>
      <c r="C158" s="2" t="inlineStr">
        <is>
          <t>Sensor</t>
        </is>
      </c>
      <c r="D158" s="2" t="inlineStr">
        <is>
          <t>Plant B</t>
        </is>
      </c>
      <c r="E158" s="2" t="inlineStr">
        <is>
          <t>Central</t>
        </is>
      </c>
      <c r="F158" s="12" t="n">
        <v>46196</v>
      </c>
      <c r="G158" s="12" t="n">
        <v>46221</v>
      </c>
      <c r="H158" s="12" t="n">
        <v>46218</v>
      </c>
      <c r="I158" s="12" t="n">
        <v>46216</v>
      </c>
      <c r="J158" s="12" t="n">
        <v>46219</v>
      </c>
      <c r="K158" s="2" t="n">
        <v>1423</v>
      </c>
      <c r="L158" s="2" t="inlineStr">
        <is>
          <t>Sea</t>
        </is>
      </c>
      <c r="M158" s="2" t="inlineStr">
        <is>
          <t>No Delay</t>
        </is>
      </c>
      <c r="N158" s="4">
        <f>IF(I158&lt;=H158,1,0)</f>
        <v/>
      </c>
      <c r="O158" s="4">
        <f>IF(J158&lt;=G158,1,0)</f>
        <v/>
      </c>
      <c r="P158" s="4">
        <f>MAX(0,I158-H158)</f>
        <v/>
      </c>
      <c r="Q158" s="4">
        <f>MAX(0,J158-G158)</f>
        <v/>
      </c>
      <c r="R158" s="4">
        <f>IF(AND(N158=1,O158=1),"On Track",IF(O158=0,"Customer Delivery Late","Ship Late"))</f>
        <v/>
      </c>
    </row>
    <row r="159">
      <c r="A159" s="2" t="inlineStr">
        <is>
          <t>ORD-00158</t>
        </is>
      </c>
      <c r="B159" s="2" t="inlineStr">
        <is>
          <t>Customer 22</t>
        </is>
      </c>
      <c r="C159" s="2" t="inlineStr">
        <is>
          <t>Power Supply</t>
        </is>
      </c>
      <c r="D159" s="2" t="inlineStr">
        <is>
          <t>Plant B</t>
        </is>
      </c>
      <c r="E159" s="2" t="inlineStr">
        <is>
          <t>South</t>
        </is>
      </c>
      <c r="F159" s="12" t="n">
        <v>46148</v>
      </c>
      <c r="G159" s="12" t="n">
        <v>46163</v>
      </c>
      <c r="H159" s="12" t="n">
        <v>46159</v>
      </c>
      <c r="I159" s="12" t="n">
        <v>46159</v>
      </c>
      <c r="J159" s="12" t="n">
        <v>46163</v>
      </c>
      <c r="K159" s="2" t="n">
        <v>309</v>
      </c>
      <c r="L159" s="2" t="inlineStr">
        <is>
          <t>Air</t>
        </is>
      </c>
      <c r="M159" s="2" t="inlineStr">
        <is>
          <t>No Delay</t>
        </is>
      </c>
      <c r="N159" s="4">
        <f>IF(I159&lt;=H159,1,0)</f>
        <v/>
      </c>
      <c r="O159" s="4">
        <f>IF(J159&lt;=G159,1,0)</f>
        <v/>
      </c>
      <c r="P159" s="4">
        <f>MAX(0,I159-H159)</f>
        <v/>
      </c>
      <c r="Q159" s="4">
        <f>MAX(0,J159-G159)</f>
        <v/>
      </c>
      <c r="R159" s="4">
        <f>IF(AND(N159=1,O159=1),"On Track",IF(O159=0,"Customer Delivery Late","Ship Late"))</f>
        <v/>
      </c>
    </row>
    <row r="160">
      <c r="A160" s="2" t="inlineStr">
        <is>
          <t>ORD-00159</t>
        </is>
      </c>
      <c r="B160" s="2" t="inlineStr">
        <is>
          <t>Customer 27</t>
        </is>
      </c>
      <c r="C160" s="2" t="inlineStr">
        <is>
          <t>Sensor</t>
        </is>
      </c>
      <c r="D160" s="2" t="inlineStr">
        <is>
          <t>Plant C</t>
        </is>
      </c>
      <c r="E160" s="2" t="inlineStr">
        <is>
          <t>South</t>
        </is>
      </c>
      <c r="F160" s="12" t="n">
        <v>46033</v>
      </c>
      <c r="G160" s="12" t="n">
        <v>46047</v>
      </c>
      <c r="H160" s="12" t="n">
        <v>46046</v>
      </c>
      <c r="I160" s="12" t="n">
        <v>46045</v>
      </c>
      <c r="J160" s="12" t="n">
        <v>46046</v>
      </c>
      <c r="K160" s="2" t="n">
        <v>291</v>
      </c>
      <c r="L160" s="2" t="inlineStr">
        <is>
          <t>Road</t>
        </is>
      </c>
      <c r="M160" s="2" t="inlineStr">
        <is>
          <t>No Delay</t>
        </is>
      </c>
      <c r="N160" s="4">
        <f>IF(I160&lt;=H160,1,0)</f>
        <v/>
      </c>
      <c r="O160" s="4">
        <f>IF(J160&lt;=G160,1,0)</f>
        <v/>
      </c>
      <c r="P160" s="4">
        <f>MAX(0,I160-H160)</f>
        <v/>
      </c>
      <c r="Q160" s="4">
        <f>MAX(0,J160-G160)</f>
        <v/>
      </c>
      <c r="R160" s="4">
        <f>IF(AND(N160=1,O160=1),"On Track",IF(O160=0,"Customer Delivery Late","Ship Late"))</f>
        <v/>
      </c>
    </row>
    <row r="161">
      <c r="A161" s="2" t="inlineStr">
        <is>
          <t>ORD-00160</t>
        </is>
      </c>
      <c r="B161" s="2" t="inlineStr">
        <is>
          <t>Customer 14</t>
        </is>
      </c>
      <c r="C161" s="2" t="inlineStr">
        <is>
          <t>Drive</t>
        </is>
      </c>
      <c r="D161" s="2" t="inlineStr">
        <is>
          <t>Plant C</t>
        </is>
      </c>
      <c r="E161" s="2" t="inlineStr">
        <is>
          <t>Export</t>
        </is>
      </c>
      <c r="F161" s="12" t="n">
        <v>46180</v>
      </c>
      <c r="G161" s="12" t="n">
        <v>46203</v>
      </c>
      <c r="H161" s="12" t="n">
        <v>46201</v>
      </c>
      <c r="I161" s="12" t="n">
        <v>46201</v>
      </c>
      <c r="J161" s="12" t="n">
        <v>46203</v>
      </c>
      <c r="K161" s="2" t="n">
        <v>215</v>
      </c>
      <c r="L161" s="2" t="inlineStr">
        <is>
          <t>Sea</t>
        </is>
      </c>
      <c r="M161" s="2" t="inlineStr">
        <is>
          <t>No Delay</t>
        </is>
      </c>
      <c r="N161" s="4">
        <f>IF(I161&lt;=H161,1,0)</f>
        <v/>
      </c>
      <c r="O161" s="4">
        <f>IF(J161&lt;=G161,1,0)</f>
        <v/>
      </c>
      <c r="P161" s="4">
        <f>MAX(0,I161-H161)</f>
        <v/>
      </c>
      <c r="Q161" s="4">
        <f>MAX(0,J161-G161)</f>
        <v/>
      </c>
      <c r="R161" s="4">
        <f>IF(AND(N161=1,O161=1),"On Track",IF(O161=0,"Customer Delivery Late","Ship Late"))</f>
        <v/>
      </c>
    </row>
    <row r="162">
      <c r="A162" s="2" t="inlineStr">
        <is>
          <t>ORD-00161</t>
        </is>
      </c>
      <c r="B162" s="2" t="inlineStr">
        <is>
          <t>Customer 25</t>
        </is>
      </c>
      <c r="C162" s="2" t="inlineStr">
        <is>
          <t>Sensor</t>
        </is>
      </c>
      <c r="D162" s="2" t="inlineStr">
        <is>
          <t>Plant B</t>
        </is>
      </c>
      <c r="E162" s="2" t="inlineStr">
        <is>
          <t>South</t>
        </is>
      </c>
      <c r="F162" s="12" t="n">
        <v>46058</v>
      </c>
      <c r="G162" s="12" t="n">
        <v>46063</v>
      </c>
      <c r="H162" s="12" t="n">
        <v>46058</v>
      </c>
      <c r="I162" s="12" t="n">
        <v>46061</v>
      </c>
      <c r="J162" s="12" t="n">
        <v>46066</v>
      </c>
      <c r="K162" s="2" t="n">
        <v>1332</v>
      </c>
      <c r="L162" s="2" t="inlineStr">
        <is>
          <t>Road</t>
        </is>
      </c>
      <c r="M162" s="2" t="inlineStr">
        <is>
          <t>Production Delay</t>
        </is>
      </c>
      <c r="N162" s="4">
        <f>IF(I162&lt;=H162,1,0)</f>
        <v/>
      </c>
      <c r="O162" s="4">
        <f>IF(J162&lt;=G162,1,0)</f>
        <v/>
      </c>
      <c r="P162" s="4">
        <f>MAX(0,I162-H162)</f>
        <v/>
      </c>
      <c r="Q162" s="4">
        <f>MAX(0,J162-G162)</f>
        <v/>
      </c>
      <c r="R162" s="4">
        <f>IF(AND(N162=1,O162=1),"On Track",IF(O162=0,"Customer Delivery Late","Ship Late"))</f>
        <v/>
      </c>
    </row>
    <row r="163">
      <c r="A163" s="2" t="inlineStr">
        <is>
          <t>ORD-00162</t>
        </is>
      </c>
      <c r="B163" s="2" t="inlineStr">
        <is>
          <t>Customer 27</t>
        </is>
      </c>
      <c r="C163" s="2" t="inlineStr">
        <is>
          <t>Relay</t>
        </is>
      </c>
      <c r="D163" s="2" t="inlineStr">
        <is>
          <t>Plant A</t>
        </is>
      </c>
      <c r="E163" s="2" t="inlineStr">
        <is>
          <t>Export</t>
        </is>
      </c>
      <c r="F163" s="12" t="n">
        <v>46045</v>
      </c>
      <c r="G163" s="12" t="n">
        <v>46070</v>
      </c>
      <c r="H163" s="12" t="n">
        <v>46065</v>
      </c>
      <c r="I163" s="12" t="n">
        <v>46065</v>
      </c>
      <c r="J163" s="12" t="n">
        <v>46070</v>
      </c>
      <c r="K163" s="2" t="n">
        <v>1024</v>
      </c>
      <c r="L163" s="2" t="inlineStr">
        <is>
          <t>Road</t>
        </is>
      </c>
      <c r="M163" s="2" t="inlineStr">
        <is>
          <t>No Delay</t>
        </is>
      </c>
      <c r="N163" s="4">
        <f>IF(I163&lt;=H163,1,0)</f>
        <v/>
      </c>
      <c r="O163" s="4">
        <f>IF(J163&lt;=G163,1,0)</f>
        <v/>
      </c>
      <c r="P163" s="4">
        <f>MAX(0,I163-H163)</f>
        <v/>
      </c>
      <c r="Q163" s="4">
        <f>MAX(0,J163-G163)</f>
        <v/>
      </c>
      <c r="R163" s="4">
        <f>IF(AND(N163=1,O163=1),"On Track",IF(O163=0,"Customer Delivery Late","Ship Late"))</f>
        <v/>
      </c>
    </row>
    <row r="164">
      <c r="A164" s="2" t="inlineStr">
        <is>
          <t>ORD-00163</t>
        </is>
      </c>
      <c r="B164" s="2" t="inlineStr">
        <is>
          <t>Customer 21</t>
        </is>
      </c>
      <c r="C164" s="2" t="inlineStr">
        <is>
          <t>Switchgear</t>
        </is>
      </c>
      <c r="D164" s="2" t="inlineStr">
        <is>
          <t>Plant A</t>
        </is>
      </c>
      <c r="E164" s="2" t="inlineStr">
        <is>
          <t>Export</t>
        </is>
      </c>
      <c r="F164" s="12" t="n">
        <v>46097</v>
      </c>
      <c r="G164" s="12" t="n">
        <v>46103</v>
      </c>
      <c r="H164" s="12" t="n">
        <v>46102</v>
      </c>
      <c r="I164" s="12" t="n">
        <v>46102</v>
      </c>
      <c r="J164" s="12" t="n">
        <v>46103</v>
      </c>
      <c r="K164" s="2" t="n">
        <v>568</v>
      </c>
      <c r="L164" s="2" t="inlineStr">
        <is>
          <t>Road</t>
        </is>
      </c>
      <c r="M164" s="2" t="inlineStr">
        <is>
          <t>No Delay</t>
        </is>
      </c>
      <c r="N164" s="4">
        <f>IF(I164&lt;=H164,1,0)</f>
        <v/>
      </c>
      <c r="O164" s="4">
        <f>IF(J164&lt;=G164,1,0)</f>
        <v/>
      </c>
      <c r="P164" s="4">
        <f>MAX(0,I164-H164)</f>
        <v/>
      </c>
      <c r="Q164" s="4">
        <f>MAX(0,J164-G164)</f>
        <v/>
      </c>
      <c r="R164" s="4">
        <f>IF(AND(N164=1,O164=1),"On Track",IF(O164=0,"Customer Delivery Late","Ship Late"))</f>
        <v/>
      </c>
    </row>
    <row r="165">
      <c r="A165" s="2" t="inlineStr">
        <is>
          <t>ORD-00164</t>
        </is>
      </c>
      <c r="B165" s="2" t="inlineStr">
        <is>
          <t>Customer 19</t>
        </is>
      </c>
      <c r="C165" s="2" t="inlineStr">
        <is>
          <t>PLC</t>
        </is>
      </c>
      <c r="D165" s="2" t="inlineStr">
        <is>
          <t>Plant A</t>
        </is>
      </c>
      <c r="E165" s="2" t="inlineStr">
        <is>
          <t>Export</t>
        </is>
      </c>
      <c r="F165" s="12" t="n">
        <v>46051</v>
      </c>
      <c r="G165" s="12" t="n">
        <v>46066</v>
      </c>
      <c r="H165" s="12" t="n">
        <v>46064</v>
      </c>
      <c r="I165" s="12" t="n">
        <v>46064</v>
      </c>
      <c r="J165" s="12" t="n">
        <v>46069</v>
      </c>
      <c r="K165" s="2" t="n">
        <v>885</v>
      </c>
      <c r="L165" s="2" t="inlineStr">
        <is>
          <t>Sea</t>
        </is>
      </c>
      <c r="M165" s="2" t="inlineStr">
        <is>
          <t>Carrier Delay</t>
        </is>
      </c>
      <c r="N165" s="4">
        <f>IF(I165&lt;=H165,1,0)</f>
        <v/>
      </c>
      <c r="O165" s="4">
        <f>IF(J165&lt;=G165,1,0)</f>
        <v/>
      </c>
      <c r="P165" s="4">
        <f>MAX(0,I165-H165)</f>
        <v/>
      </c>
      <c r="Q165" s="4">
        <f>MAX(0,J165-G165)</f>
        <v/>
      </c>
      <c r="R165" s="4">
        <f>IF(AND(N165=1,O165=1),"On Track",IF(O165=0,"Customer Delivery Late","Ship Late"))</f>
        <v/>
      </c>
    </row>
    <row r="166">
      <c r="A166" s="2" t="inlineStr">
        <is>
          <t>ORD-00165</t>
        </is>
      </c>
      <c r="B166" s="2" t="inlineStr">
        <is>
          <t>Customer 08</t>
        </is>
      </c>
      <c r="C166" s="2" t="inlineStr">
        <is>
          <t>Breaker</t>
        </is>
      </c>
      <c r="D166" s="2" t="inlineStr">
        <is>
          <t>Plant B</t>
        </is>
      </c>
      <c r="E166" s="2" t="inlineStr">
        <is>
          <t>Export</t>
        </is>
      </c>
      <c r="F166" s="12" t="n">
        <v>46106</v>
      </c>
      <c r="G166" s="12" t="n">
        <v>46113</v>
      </c>
      <c r="H166" s="12" t="n">
        <v>46109</v>
      </c>
      <c r="I166" s="12" t="n">
        <v>46107</v>
      </c>
      <c r="J166" s="12" t="n">
        <v>46111</v>
      </c>
      <c r="K166" s="2" t="n">
        <v>492</v>
      </c>
      <c r="L166" s="2" t="inlineStr">
        <is>
          <t>Air</t>
        </is>
      </c>
      <c r="M166" s="2" t="inlineStr">
        <is>
          <t>No Delay</t>
        </is>
      </c>
      <c r="N166" s="4">
        <f>IF(I166&lt;=H166,1,0)</f>
        <v/>
      </c>
      <c r="O166" s="4">
        <f>IF(J166&lt;=G166,1,0)</f>
        <v/>
      </c>
      <c r="P166" s="4">
        <f>MAX(0,I166-H166)</f>
        <v/>
      </c>
      <c r="Q166" s="4">
        <f>MAX(0,J166-G166)</f>
        <v/>
      </c>
      <c r="R166" s="4">
        <f>IF(AND(N166=1,O166=1),"On Track",IF(O166=0,"Customer Delivery Late","Ship Late"))</f>
        <v/>
      </c>
    </row>
    <row r="167">
      <c r="A167" s="2" t="inlineStr">
        <is>
          <t>ORD-00166</t>
        </is>
      </c>
      <c r="B167" s="2" t="inlineStr">
        <is>
          <t>Customer 23</t>
        </is>
      </c>
      <c r="C167" s="2" t="inlineStr">
        <is>
          <t>PLC</t>
        </is>
      </c>
      <c r="D167" s="2" t="inlineStr">
        <is>
          <t>Plant A</t>
        </is>
      </c>
      <c r="E167" s="2" t="inlineStr">
        <is>
          <t>North</t>
        </is>
      </c>
      <c r="F167" s="12" t="n">
        <v>46091</v>
      </c>
      <c r="G167" s="12" t="n">
        <v>46106</v>
      </c>
      <c r="H167" s="12" t="n">
        <v>46103</v>
      </c>
      <c r="I167" s="12" t="n">
        <v>46103</v>
      </c>
      <c r="J167" s="12" t="n">
        <v>46106</v>
      </c>
      <c r="K167" s="2" t="n">
        <v>963</v>
      </c>
      <c r="L167" s="2" t="inlineStr">
        <is>
          <t>Air</t>
        </is>
      </c>
      <c r="M167" s="2" t="inlineStr">
        <is>
          <t>No Delay</t>
        </is>
      </c>
      <c r="N167" s="4">
        <f>IF(I167&lt;=H167,1,0)</f>
        <v/>
      </c>
      <c r="O167" s="4">
        <f>IF(J167&lt;=G167,1,0)</f>
        <v/>
      </c>
      <c r="P167" s="4">
        <f>MAX(0,I167-H167)</f>
        <v/>
      </c>
      <c r="Q167" s="4">
        <f>MAX(0,J167-G167)</f>
        <v/>
      </c>
      <c r="R167" s="4">
        <f>IF(AND(N167=1,O167=1),"On Track",IF(O167=0,"Customer Delivery Late","Ship Late"))</f>
        <v/>
      </c>
    </row>
    <row r="168">
      <c r="A168" s="2" t="inlineStr">
        <is>
          <t>ORD-00167</t>
        </is>
      </c>
      <c r="B168" s="2" t="inlineStr">
        <is>
          <t>Customer 10</t>
        </is>
      </c>
      <c r="C168" s="2" t="inlineStr">
        <is>
          <t>Drive</t>
        </is>
      </c>
      <c r="D168" s="2" t="inlineStr">
        <is>
          <t>Plant C</t>
        </is>
      </c>
      <c r="E168" s="2" t="inlineStr">
        <is>
          <t>Central</t>
        </is>
      </c>
      <c r="F168" s="12" t="n">
        <v>46063</v>
      </c>
      <c r="G168" s="12" t="n">
        <v>46080</v>
      </c>
      <c r="H168" s="12" t="n">
        <v>46075</v>
      </c>
      <c r="I168" s="12" t="n">
        <v>46075</v>
      </c>
      <c r="J168" s="12" t="n">
        <v>46079</v>
      </c>
      <c r="K168" s="2" t="n">
        <v>458</v>
      </c>
      <c r="L168" s="2" t="inlineStr">
        <is>
          <t>Road</t>
        </is>
      </c>
      <c r="M168" s="2" t="inlineStr">
        <is>
          <t>No Delay</t>
        </is>
      </c>
      <c r="N168" s="4">
        <f>IF(I168&lt;=H168,1,0)</f>
        <v/>
      </c>
      <c r="O168" s="4">
        <f>IF(J168&lt;=G168,1,0)</f>
        <v/>
      </c>
      <c r="P168" s="4">
        <f>MAX(0,I168-H168)</f>
        <v/>
      </c>
      <c r="Q168" s="4">
        <f>MAX(0,J168-G168)</f>
        <v/>
      </c>
      <c r="R168" s="4">
        <f>IF(AND(N168=1,O168=1),"On Track",IF(O168=0,"Customer Delivery Late","Ship Late"))</f>
        <v/>
      </c>
    </row>
    <row r="169">
      <c r="A169" s="2" t="inlineStr">
        <is>
          <t>ORD-00168</t>
        </is>
      </c>
      <c r="B169" s="2" t="inlineStr">
        <is>
          <t>Customer 30</t>
        </is>
      </c>
      <c r="C169" s="2" t="inlineStr">
        <is>
          <t>Switchgear</t>
        </is>
      </c>
      <c r="D169" s="2" t="inlineStr">
        <is>
          <t>Plant C</t>
        </is>
      </c>
      <c r="E169" s="2" t="inlineStr">
        <is>
          <t>Central</t>
        </is>
      </c>
      <c r="F169" s="12" t="n">
        <v>46145</v>
      </c>
      <c r="G169" s="12" t="n">
        <v>46154</v>
      </c>
      <c r="H169" s="12" t="n">
        <v>46150</v>
      </c>
      <c r="I169" s="12" t="n">
        <v>46150</v>
      </c>
      <c r="J169" s="12" t="n">
        <v>46154</v>
      </c>
      <c r="K169" s="2" t="n">
        <v>516</v>
      </c>
      <c r="L169" s="2" t="inlineStr">
        <is>
          <t>Sea</t>
        </is>
      </c>
      <c r="M169" s="2" t="inlineStr">
        <is>
          <t>No Delay</t>
        </is>
      </c>
      <c r="N169" s="4">
        <f>IF(I169&lt;=H169,1,0)</f>
        <v/>
      </c>
      <c r="O169" s="4">
        <f>IF(J169&lt;=G169,1,0)</f>
        <v/>
      </c>
      <c r="P169" s="4">
        <f>MAX(0,I169-H169)</f>
        <v/>
      </c>
      <c r="Q169" s="4">
        <f>MAX(0,J169-G169)</f>
        <v/>
      </c>
      <c r="R169" s="4">
        <f>IF(AND(N169=1,O169=1),"On Track",IF(O169=0,"Customer Delivery Late","Ship Late"))</f>
        <v/>
      </c>
    </row>
    <row r="170">
      <c r="A170" s="2" t="inlineStr">
        <is>
          <t>ORD-00169</t>
        </is>
      </c>
      <c r="B170" s="2" t="inlineStr">
        <is>
          <t>Customer 04</t>
        </is>
      </c>
      <c r="C170" s="2" t="inlineStr">
        <is>
          <t>Breaker</t>
        </is>
      </c>
      <c r="D170" s="2" t="inlineStr">
        <is>
          <t>Plant C</t>
        </is>
      </c>
      <c r="E170" s="2" t="inlineStr">
        <is>
          <t>Central</t>
        </is>
      </c>
      <c r="F170" s="12" t="n">
        <v>46175</v>
      </c>
      <c r="G170" s="12" t="n">
        <v>46182</v>
      </c>
      <c r="H170" s="12" t="n">
        <v>46177</v>
      </c>
      <c r="I170" s="12" t="n">
        <v>46177</v>
      </c>
      <c r="J170" s="12" t="n">
        <v>46181</v>
      </c>
      <c r="K170" s="2" t="n">
        <v>1182</v>
      </c>
      <c r="L170" s="2" t="inlineStr">
        <is>
          <t>Sea</t>
        </is>
      </c>
      <c r="M170" s="2" t="inlineStr">
        <is>
          <t>No Delay</t>
        </is>
      </c>
      <c r="N170" s="4">
        <f>IF(I170&lt;=H170,1,0)</f>
        <v/>
      </c>
      <c r="O170" s="4">
        <f>IF(J170&lt;=G170,1,0)</f>
        <v/>
      </c>
      <c r="P170" s="4">
        <f>MAX(0,I170-H170)</f>
        <v/>
      </c>
      <c r="Q170" s="4">
        <f>MAX(0,J170-G170)</f>
        <v/>
      </c>
      <c r="R170" s="4">
        <f>IF(AND(N170=1,O170=1),"On Track",IF(O170=0,"Customer Delivery Late","Ship Late"))</f>
        <v/>
      </c>
    </row>
    <row r="171">
      <c r="A171" s="2" t="inlineStr">
        <is>
          <t>ORD-00170</t>
        </is>
      </c>
      <c r="B171" s="2" t="inlineStr">
        <is>
          <t>Customer 16</t>
        </is>
      </c>
      <c r="C171" s="2" t="inlineStr">
        <is>
          <t>Contactor</t>
        </is>
      </c>
      <c r="D171" s="2" t="inlineStr">
        <is>
          <t>Plant C</t>
        </is>
      </c>
      <c r="E171" s="2" t="inlineStr">
        <is>
          <t>Export</t>
        </is>
      </c>
      <c r="F171" s="12" t="n">
        <v>46061</v>
      </c>
      <c r="G171" s="12" t="n">
        <v>46071</v>
      </c>
      <c r="H171" s="12" t="n">
        <v>46068</v>
      </c>
      <c r="I171" s="12" t="n">
        <v>46067</v>
      </c>
      <c r="J171" s="12" t="n">
        <v>46070</v>
      </c>
      <c r="K171" s="2" t="n">
        <v>123</v>
      </c>
      <c r="L171" s="2" t="inlineStr">
        <is>
          <t>Air</t>
        </is>
      </c>
      <c r="M171" s="2" t="inlineStr">
        <is>
          <t>No Delay</t>
        </is>
      </c>
      <c r="N171" s="4">
        <f>IF(I171&lt;=H171,1,0)</f>
        <v/>
      </c>
      <c r="O171" s="4">
        <f>IF(J171&lt;=G171,1,0)</f>
        <v/>
      </c>
      <c r="P171" s="4">
        <f>MAX(0,I171-H171)</f>
        <v/>
      </c>
      <c r="Q171" s="4">
        <f>MAX(0,J171-G171)</f>
        <v/>
      </c>
      <c r="R171" s="4">
        <f>IF(AND(N171=1,O171=1),"On Track",IF(O171=0,"Customer Delivery Late","Ship Late"))</f>
        <v/>
      </c>
    </row>
    <row r="172">
      <c r="A172" s="2" t="inlineStr">
        <is>
          <t>ORD-00171</t>
        </is>
      </c>
      <c r="B172" s="2" t="inlineStr">
        <is>
          <t>Customer 13</t>
        </is>
      </c>
      <c r="C172" s="2" t="inlineStr">
        <is>
          <t>Sensor</t>
        </is>
      </c>
      <c r="D172" s="2" t="inlineStr">
        <is>
          <t>Plant A</t>
        </is>
      </c>
      <c r="E172" s="2" t="inlineStr">
        <is>
          <t>Central</t>
        </is>
      </c>
      <c r="F172" s="12" t="n">
        <v>46056</v>
      </c>
      <c r="G172" s="12" t="n">
        <v>46077</v>
      </c>
      <c r="H172" s="12" t="n">
        <v>46073</v>
      </c>
      <c r="I172" s="12" t="n">
        <v>46071</v>
      </c>
      <c r="J172" s="12" t="n">
        <v>46075</v>
      </c>
      <c r="K172" s="2" t="n">
        <v>1194</v>
      </c>
      <c r="L172" s="2" t="inlineStr">
        <is>
          <t>Road</t>
        </is>
      </c>
      <c r="M172" s="2" t="inlineStr">
        <is>
          <t>No Delay</t>
        </is>
      </c>
      <c r="N172" s="4">
        <f>IF(I172&lt;=H172,1,0)</f>
        <v/>
      </c>
      <c r="O172" s="4">
        <f>IF(J172&lt;=G172,1,0)</f>
        <v/>
      </c>
      <c r="P172" s="4">
        <f>MAX(0,I172-H172)</f>
        <v/>
      </c>
      <c r="Q172" s="4">
        <f>MAX(0,J172-G172)</f>
        <v/>
      </c>
      <c r="R172" s="4">
        <f>IF(AND(N172=1,O172=1),"On Track",IF(O172=0,"Customer Delivery Late","Ship Late"))</f>
        <v/>
      </c>
    </row>
    <row r="173">
      <c r="A173" s="2" t="inlineStr">
        <is>
          <t>ORD-00172</t>
        </is>
      </c>
      <c r="B173" s="2" t="inlineStr">
        <is>
          <t>Customer 16</t>
        </is>
      </c>
      <c r="C173" s="2" t="inlineStr">
        <is>
          <t>Breaker</t>
        </is>
      </c>
      <c r="D173" s="2" t="inlineStr">
        <is>
          <t>Plant B</t>
        </is>
      </c>
      <c r="E173" s="2" t="inlineStr">
        <is>
          <t>Export</t>
        </is>
      </c>
      <c r="F173" s="12" t="n">
        <v>46034</v>
      </c>
      <c r="G173" s="12" t="n">
        <v>46052</v>
      </c>
      <c r="H173" s="12" t="n">
        <v>46049</v>
      </c>
      <c r="I173" s="12" t="n">
        <v>46049</v>
      </c>
      <c r="J173" s="12" t="n">
        <v>46051</v>
      </c>
      <c r="K173" s="2" t="n">
        <v>378</v>
      </c>
      <c r="L173" s="2" t="inlineStr">
        <is>
          <t>Road</t>
        </is>
      </c>
      <c r="M173" s="2" t="inlineStr">
        <is>
          <t>No Delay</t>
        </is>
      </c>
      <c r="N173" s="4">
        <f>IF(I173&lt;=H173,1,0)</f>
        <v/>
      </c>
      <c r="O173" s="4">
        <f>IF(J173&lt;=G173,1,0)</f>
        <v/>
      </c>
      <c r="P173" s="4">
        <f>MAX(0,I173-H173)</f>
        <v/>
      </c>
      <c r="Q173" s="4">
        <f>MAX(0,J173-G173)</f>
        <v/>
      </c>
      <c r="R173" s="4">
        <f>IF(AND(N173=1,O173=1),"On Track",IF(O173=0,"Customer Delivery Late","Ship Late"))</f>
        <v/>
      </c>
    </row>
    <row r="174">
      <c r="A174" s="2" t="inlineStr">
        <is>
          <t>ORD-00173</t>
        </is>
      </c>
      <c r="B174" s="2" t="inlineStr">
        <is>
          <t>Customer 22</t>
        </is>
      </c>
      <c r="C174" s="2" t="inlineStr">
        <is>
          <t>Relay</t>
        </is>
      </c>
      <c r="D174" s="2" t="inlineStr">
        <is>
          <t>Plant C</t>
        </is>
      </c>
      <c r="E174" s="2" t="inlineStr">
        <is>
          <t>South</t>
        </is>
      </c>
      <c r="F174" s="12" t="n">
        <v>46187</v>
      </c>
      <c r="G174" s="12" t="n">
        <v>46212</v>
      </c>
      <c r="H174" s="12" t="n">
        <v>46208</v>
      </c>
      <c r="I174" s="12" t="n">
        <v>46207</v>
      </c>
      <c r="J174" s="12" t="n">
        <v>46211</v>
      </c>
      <c r="K174" s="2" t="n">
        <v>252</v>
      </c>
      <c r="L174" s="2" t="inlineStr">
        <is>
          <t>Road</t>
        </is>
      </c>
      <c r="M174" s="2" t="inlineStr">
        <is>
          <t>No Delay</t>
        </is>
      </c>
      <c r="N174" s="4">
        <f>IF(I174&lt;=H174,1,0)</f>
        <v/>
      </c>
      <c r="O174" s="4">
        <f>IF(J174&lt;=G174,1,0)</f>
        <v/>
      </c>
      <c r="P174" s="4">
        <f>MAX(0,I174-H174)</f>
        <v/>
      </c>
      <c r="Q174" s="4">
        <f>MAX(0,J174-G174)</f>
        <v/>
      </c>
      <c r="R174" s="4">
        <f>IF(AND(N174=1,O174=1),"On Track",IF(O174=0,"Customer Delivery Late","Ship Late"))</f>
        <v/>
      </c>
    </row>
    <row r="175">
      <c r="A175" s="2" t="inlineStr">
        <is>
          <t>ORD-00174</t>
        </is>
      </c>
      <c r="B175" s="2" t="inlineStr">
        <is>
          <t>Customer 15</t>
        </is>
      </c>
      <c r="C175" s="2" t="inlineStr">
        <is>
          <t>Power Supply</t>
        </is>
      </c>
      <c r="D175" s="2" t="inlineStr">
        <is>
          <t>Plant C</t>
        </is>
      </c>
      <c r="E175" s="2" t="inlineStr">
        <is>
          <t>Export</t>
        </is>
      </c>
      <c r="F175" s="12" t="n">
        <v>46160</v>
      </c>
      <c r="G175" s="12" t="n">
        <v>46177</v>
      </c>
      <c r="H175" s="12" t="n">
        <v>46172</v>
      </c>
      <c r="I175" s="12" t="n">
        <v>46170</v>
      </c>
      <c r="J175" s="12" t="n">
        <v>46174</v>
      </c>
      <c r="K175" s="2" t="n">
        <v>480</v>
      </c>
      <c r="L175" s="2" t="inlineStr">
        <is>
          <t>Road</t>
        </is>
      </c>
      <c r="M175" s="2" t="inlineStr">
        <is>
          <t>No Delay</t>
        </is>
      </c>
      <c r="N175" s="4">
        <f>IF(I175&lt;=H175,1,0)</f>
        <v/>
      </c>
      <c r="O175" s="4">
        <f>IF(J175&lt;=G175,1,0)</f>
        <v/>
      </c>
      <c r="P175" s="4">
        <f>MAX(0,I175-H175)</f>
        <v/>
      </c>
      <c r="Q175" s="4">
        <f>MAX(0,J175-G175)</f>
        <v/>
      </c>
      <c r="R175" s="4">
        <f>IF(AND(N175=1,O175=1),"On Track",IF(O175=0,"Customer Delivery Late","Ship Late"))</f>
        <v/>
      </c>
    </row>
    <row r="176">
      <c r="A176" s="2" t="inlineStr">
        <is>
          <t>ORD-00175</t>
        </is>
      </c>
      <c r="B176" s="2" t="inlineStr">
        <is>
          <t>Customer 14</t>
        </is>
      </c>
      <c r="C176" s="2" t="inlineStr">
        <is>
          <t>Breaker</t>
        </is>
      </c>
      <c r="D176" s="2" t="inlineStr">
        <is>
          <t>Plant A</t>
        </is>
      </c>
      <c r="E176" s="2" t="inlineStr">
        <is>
          <t>Central</t>
        </is>
      </c>
      <c r="F176" s="12" t="n">
        <v>46140</v>
      </c>
      <c r="G176" s="12" t="n">
        <v>46156</v>
      </c>
      <c r="H176" s="12" t="n">
        <v>46154</v>
      </c>
      <c r="I176" s="12" t="n">
        <v>46154</v>
      </c>
      <c r="J176" s="12" t="n">
        <v>46155</v>
      </c>
      <c r="K176" s="2" t="n">
        <v>147</v>
      </c>
      <c r="L176" s="2" t="inlineStr">
        <is>
          <t>Road</t>
        </is>
      </c>
      <c r="M176" s="2" t="inlineStr">
        <is>
          <t>No Delay</t>
        </is>
      </c>
      <c r="N176" s="4">
        <f>IF(I176&lt;=H176,1,0)</f>
        <v/>
      </c>
      <c r="O176" s="4">
        <f>IF(J176&lt;=G176,1,0)</f>
        <v/>
      </c>
      <c r="P176" s="4">
        <f>MAX(0,I176-H176)</f>
        <v/>
      </c>
      <c r="Q176" s="4">
        <f>MAX(0,J176-G176)</f>
        <v/>
      </c>
      <c r="R176" s="4">
        <f>IF(AND(N176=1,O176=1),"On Track",IF(O176=0,"Customer Delivery Late","Ship Late"))</f>
        <v/>
      </c>
    </row>
    <row r="177">
      <c r="A177" s="2" t="inlineStr">
        <is>
          <t>ORD-00176</t>
        </is>
      </c>
      <c r="B177" s="2" t="inlineStr">
        <is>
          <t>Customer 13</t>
        </is>
      </c>
      <c r="C177" s="2" t="inlineStr">
        <is>
          <t>Switchgear</t>
        </is>
      </c>
      <c r="D177" s="2" t="inlineStr">
        <is>
          <t>Plant A</t>
        </is>
      </c>
      <c r="E177" s="2" t="inlineStr">
        <is>
          <t>Central</t>
        </is>
      </c>
      <c r="F177" s="12" t="n">
        <v>46175</v>
      </c>
      <c r="G177" s="12" t="n">
        <v>46181</v>
      </c>
      <c r="H177" s="12" t="n">
        <v>46177</v>
      </c>
      <c r="I177" s="12" t="n">
        <v>46177</v>
      </c>
      <c r="J177" s="12" t="n">
        <v>46181</v>
      </c>
      <c r="K177" s="2" t="n">
        <v>125</v>
      </c>
      <c r="L177" s="2" t="inlineStr">
        <is>
          <t>Road</t>
        </is>
      </c>
      <c r="M177" s="2" t="inlineStr">
        <is>
          <t>No Delay</t>
        </is>
      </c>
      <c r="N177" s="4">
        <f>IF(I177&lt;=H177,1,0)</f>
        <v/>
      </c>
      <c r="O177" s="4">
        <f>IF(J177&lt;=G177,1,0)</f>
        <v/>
      </c>
      <c r="P177" s="4">
        <f>MAX(0,I177-H177)</f>
        <v/>
      </c>
      <c r="Q177" s="4">
        <f>MAX(0,J177-G177)</f>
        <v/>
      </c>
      <c r="R177" s="4">
        <f>IF(AND(N177=1,O177=1),"On Track",IF(O177=0,"Customer Delivery Late","Ship Late"))</f>
        <v/>
      </c>
    </row>
    <row r="178">
      <c r="A178" s="2" t="inlineStr">
        <is>
          <t>ORD-00177</t>
        </is>
      </c>
      <c r="B178" s="2" t="inlineStr">
        <is>
          <t>Customer 27</t>
        </is>
      </c>
      <c r="C178" s="2" t="inlineStr">
        <is>
          <t>Drive</t>
        </is>
      </c>
      <c r="D178" s="2" t="inlineStr">
        <is>
          <t>Plant A</t>
        </is>
      </c>
      <c r="E178" s="2" t="inlineStr">
        <is>
          <t>South</t>
        </is>
      </c>
      <c r="F178" s="12" t="n">
        <v>46151</v>
      </c>
      <c r="G178" s="12" t="n">
        <v>46165</v>
      </c>
      <c r="H178" s="12" t="n">
        <v>46163</v>
      </c>
      <c r="I178" s="12" t="n">
        <v>46163</v>
      </c>
      <c r="J178" s="12" t="n">
        <v>46166</v>
      </c>
      <c r="K178" s="2" t="n">
        <v>303</v>
      </c>
      <c r="L178" s="2" t="inlineStr">
        <is>
          <t>Sea</t>
        </is>
      </c>
      <c r="M178" s="2" t="inlineStr">
        <is>
          <t>Customer Change</t>
        </is>
      </c>
      <c r="N178" s="4">
        <f>IF(I178&lt;=H178,1,0)</f>
        <v/>
      </c>
      <c r="O178" s="4">
        <f>IF(J178&lt;=G178,1,0)</f>
        <v/>
      </c>
      <c r="P178" s="4">
        <f>MAX(0,I178-H178)</f>
        <v/>
      </c>
      <c r="Q178" s="4">
        <f>MAX(0,J178-G178)</f>
        <v/>
      </c>
      <c r="R178" s="4">
        <f>IF(AND(N178=1,O178=1),"On Track",IF(O178=0,"Customer Delivery Late","Ship Late"))</f>
        <v/>
      </c>
    </row>
    <row r="179">
      <c r="A179" s="2" t="inlineStr">
        <is>
          <t>ORD-00178</t>
        </is>
      </c>
      <c r="B179" s="2" t="inlineStr">
        <is>
          <t>Customer 02</t>
        </is>
      </c>
      <c r="C179" s="2" t="inlineStr">
        <is>
          <t>Drive</t>
        </is>
      </c>
      <c r="D179" s="2" t="inlineStr">
        <is>
          <t>Plant C</t>
        </is>
      </c>
      <c r="E179" s="2" t="inlineStr">
        <is>
          <t>Export</t>
        </is>
      </c>
      <c r="F179" s="12" t="n">
        <v>46156</v>
      </c>
      <c r="G179" s="12" t="n">
        <v>46168</v>
      </c>
      <c r="H179" s="12" t="n">
        <v>46164</v>
      </c>
      <c r="I179" s="12" t="n">
        <v>46162</v>
      </c>
      <c r="J179" s="12" t="n">
        <v>46166</v>
      </c>
      <c r="K179" s="2" t="n">
        <v>1084</v>
      </c>
      <c r="L179" s="2" t="inlineStr">
        <is>
          <t>Air</t>
        </is>
      </c>
      <c r="M179" s="2" t="inlineStr">
        <is>
          <t>No Delay</t>
        </is>
      </c>
      <c r="N179" s="4">
        <f>IF(I179&lt;=H179,1,0)</f>
        <v/>
      </c>
      <c r="O179" s="4">
        <f>IF(J179&lt;=G179,1,0)</f>
        <v/>
      </c>
      <c r="P179" s="4">
        <f>MAX(0,I179-H179)</f>
        <v/>
      </c>
      <c r="Q179" s="4">
        <f>MAX(0,J179-G179)</f>
        <v/>
      </c>
      <c r="R179" s="4">
        <f>IF(AND(N179=1,O179=1),"On Track",IF(O179=0,"Customer Delivery Late","Ship Late"))</f>
        <v/>
      </c>
    </row>
    <row r="180">
      <c r="A180" s="2" t="inlineStr">
        <is>
          <t>ORD-00179</t>
        </is>
      </c>
      <c r="B180" s="2" t="inlineStr">
        <is>
          <t>Customer 28</t>
        </is>
      </c>
      <c r="C180" s="2" t="inlineStr">
        <is>
          <t>PLC</t>
        </is>
      </c>
      <c r="D180" s="2" t="inlineStr">
        <is>
          <t>Plant B</t>
        </is>
      </c>
      <c r="E180" s="2" t="inlineStr">
        <is>
          <t>Central</t>
        </is>
      </c>
      <c r="F180" s="12" t="n">
        <v>46201</v>
      </c>
      <c r="G180" s="12" t="n">
        <v>46219</v>
      </c>
      <c r="H180" s="12" t="n">
        <v>46215</v>
      </c>
      <c r="I180" s="12" t="n">
        <v>46214</v>
      </c>
      <c r="J180" s="12" t="n">
        <v>46219</v>
      </c>
      <c r="K180" s="2" t="n">
        <v>958</v>
      </c>
      <c r="L180" s="2" t="inlineStr">
        <is>
          <t>Road</t>
        </is>
      </c>
      <c r="M180" s="2" t="inlineStr">
        <is>
          <t>No Delay</t>
        </is>
      </c>
      <c r="N180" s="4">
        <f>IF(I180&lt;=H180,1,0)</f>
        <v/>
      </c>
      <c r="O180" s="4">
        <f>IF(J180&lt;=G180,1,0)</f>
        <v/>
      </c>
      <c r="P180" s="4">
        <f>MAX(0,I180-H180)</f>
        <v/>
      </c>
      <c r="Q180" s="4">
        <f>MAX(0,J180-G180)</f>
        <v/>
      </c>
      <c r="R180" s="4">
        <f>IF(AND(N180=1,O180=1),"On Track",IF(O180=0,"Customer Delivery Late","Ship Late"))</f>
        <v/>
      </c>
    </row>
    <row r="181">
      <c r="A181" s="2" t="inlineStr">
        <is>
          <t>ORD-00180</t>
        </is>
      </c>
      <c r="B181" s="2" t="inlineStr">
        <is>
          <t>Customer 11</t>
        </is>
      </c>
      <c r="C181" s="2" t="inlineStr">
        <is>
          <t>Contactor</t>
        </is>
      </c>
      <c r="D181" s="2" t="inlineStr">
        <is>
          <t>Plant B</t>
        </is>
      </c>
      <c r="E181" s="2" t="inlineStr">
        <is>
          <t>South</t>
        </is>
      </c>
      <c r="F181" s="12" t="n">
        <v>46166</v>
      </c>
      <c r="G181" s="12" t="n">
        <v>46184</v>
      </c>
      <c r="H181" s="12" t="n">
        <v>46180</v>
      </c>
      <c r="I181" s="12" t="n">
        <v>46178</v>
      </c>
      <c r="J181" s="12" t="n">
        <v>46182</v>
      </c>
      <c r="K181" s="2" t="n">
        <v>199</v>
      </c>
      <c r="L181" s="2" t="inlineStr">
        <is>
          <t>Sea</t>
        </is>
      </c>
      <c r="M181" s="2" t="inlineStr">
        <is>
          <t>No Delay</t>
        </is>
      </c>
      <c r="N181" s="4">
        <f>IF(I181&lt;=H181,1,0)</f>
        <v/>
      </c>
      <c r="O181" s="4">
        <f>IF(J181&lt;=G181,1,0)</f>
        <v/>
      </c>
      <c r="P181" s="4">
        <f>MAX(0,I181-H181)</f>
        <v/>
      </c>
      <c r="Q181" s="4">
        <f>MAX(0,J181-G181)</f>
        <v/>
      </c>
      <c r="R181" s="4">
        <f>IF(AND(N181=1,O181=1),"On Track",IF(O181=0,"Customer Delivery Late","Ship Late"))</f>
        <v/>
      </c>
    </row>
    <row r="182">
      <c r="A182" s="2" t="inlineStr">
        <is>
          <t>ORD-00181</t>
        </is>
      </c>
      <c r="B182" s="2" t="inlineStr">
        <is>
          <t>Customer 25</t>
        </is>
      </c>
      <c r="C182" s="2" t="inlineStr">
        <is>
          <t>PLC</t>
        </is>
      </c>
      <c r="D182" s="2" t="inlineStr">
        <is>
          <t>Plant B</t>
        </is>
      </c>
      <c r="E182" s="2" t="inlineStr">
        <is>
          <t>Central</t>
        </is>
      </c>
      <c r="F182" s="12" t="n">
        <v>46071</v>
      </c>
      <c r="G182" s="12" t="n">
        <v>46077</v>
      </c>
      <c r="H182" s="12" t="n">
        <v>46074</v>
      </c>
      <c r="I182" s="12" t="n">
        <v>46074</v>
      </c>
      <c r="J182" s="12" t="n">
        <v>46076</v>
      </c>
      <c r="K182" s="2" t="n">
        <v>691</v>
      </c>
      <c r="L182" s="2" t="inlineStr">
        <is>
          <t>Air</t>
        </is>
      </c>
      <c r="M182" s="2" t="inlineStr">
        <is>
          <t>No Delay</t>
        </is>
      </c>
      <c r="N182" s="4">
        <f>IF(I182&lt;=H182,1,0)</f>
        <v/>
      </c>
      <c r="O182" s="4">
        <f>IF(J182&lt;=G182,1,0)</f>
        <v/>
      </c>
      <c r="P182" s="4">
        <f>MAX(0,I182-H182)</f>
        <v/>
      </c>
      <c r="Q182" s="4">
        <f>MAX(0,J182-G182)</f>
        <v/>
      </c>
      <c r="R182" s="4">
        <f>IF(AND(N182=1,O182=1),"On Track",IF(O182=0,"Customer Delivery Late","Ship Late"))</f>
        <v/>
      </c>
    </row>
    <row r="183">
      <c r="A183" s="2" t="inlineStr">
        <is>
          <t>ORD-00182</t>
        </is>
      </c>
      <c r="B183" s="2" t="inlineStr">
        <is>
          <t>Customer 23</t>
        </is>
      </c>
      <c r="C183" s="2" t="inlineStr">
        <is>
          <t>PLC</t>
        </is>
      </c>
      <c r="D183" s="2" t="inlineStr">
        <is>
          <t>Plant B</t>
        </is>
      </c>
      <c r="E183" s="2" t="inlineStr">
        <is>
          <t>Central</t>
        </is>
      </c>
      <c r="F183" s="12" t="n">
        <v>46026</v>
      </c>
      <c r="G183" s="12" t="n">
        <v>46037</v>
      </c>
      <c r="H183" s="12" t="n">
        <v>46035</v>
      </c>
      <c r="I183" s="12" t="n">
        <v>46033</v>
      </c>
      <c r="J183" s="12" t="n">
        <v>46035</v>
      </c>
      <c r="K183" s="2" t="n">
        <v>1140</v>
      </c>
      <c r="L183" s="2" t="inlineStr">
        <is>
          <t>Air</t>
        </is>
      </c>
      <c r="M183" s="2" t="inlineStr">
        <is>
          <t>No Delay</t>
        </is>
      </c>
      <c r="N183" s="4">
        <f>IF(I183&lt;=H183,1,0)</f>
        <v/>
      </c>
      <c r="O183" s="4">
        <f>IF(J183&lt;=G183,1,0)</f>
        <v/>
      </c>
      <c r="P183" s="4">
        <f>MAX(0,I183-H183)</f>
        <v/>
      </c>
      <c r="Q183" s="4">
        <f>MAX(0,J183-G183)</f>
        <v/>
      </c>
      <c r="R183" s="4">
        <f>IF(AND(N183=1,O183=1),"On Track",IF(O183=0,"Customer Delivery Late","Ship Late"))</f>
        <v/>
      </c>
    </row>
    <row r="184">
      <c r="A184" s="2" t="inlineStr">
        <is>
          <t>ORD-00183</t>
        </is>
      </c>
      <c r="B184" s="2" t="inlineStr">
        <is>
          <t>Customer 29</t>
        </is>
      </c>
      <c r="C184" s="2" t="inlineStr">
        <is>
          <t>Switchgear</t>
        </is>
      </c>
      <c r="D184" s="2" t="inlineStr">
        <is>
          <t>Plant B</t>
        </is>
      </c>
      <c r="E184" s="2" t="inlineStr">
        <is>
          <t>North</t>
        </is>
      </c>
      <c r="F184" s="12" t="n">
        <v>46095</v>
      </c>
      <c r="G184" s="12" t="n">
        <v>46112</v>
      </c>
      <c r="H184" s="12" t="n">
        <v>46108</v>
      </c>
      <c r="I184" s="12" t="n">
        <v>46107</v>
      </c>
      <c r="J184" s="12" t="n">
        <v>46111</v>
      </c>
      <c r="K184" s="2" t="n">
        <v>1489</v>
      </c>
      <c r="L184" s="2" t="inlineStr">
        <is>
          <t>Air</t>
        </is>
      </c>
      <c r="M184" s="2" t="inlineStr">
        <is>
          <t>No Delay</t>
        </is>
      </c>
      <c r="N184" s="4">
        <f>IF(I184&lt;=H184,1,0)</f>
        <v/>
      </c>
      <c r="O184" s="4">
        <f>IF(J184&lt;=G184,1,0)</f>
        <v/>
      </c>
      <c r="P184" s="4">
        <f>MAX(0,I184-H184)</f>
        <v/>
      </c>
      <c r="Q184" s="4">
        <f>MAX(0,J184-G184)</f>
        <v/>
      </c>
      <c r="R184" s="4">
        <f>IF(AND(N184=1,O184=1),"On Track",IF(O184=0,"Customer Delivery Late","Ship Late"))</f>
        <v/>
      </c>
    </row>
    <row r="185">
      <c r="A185" s="2" t="inlineStr">
        <is>
          <t>ORD-00184</t>
        </is>
      </c>
      <c r="B185" s="2" t="inlineStr">
        <is>
          <t>Customer 19</t>
        </is>
      </c>
      <c r="C185" s="2" t="inlineStr">
        <is>
          <t>Power Supply</t>
        </is>
      </c>
      <c r="D185" s="2" t="inlineStr">
        <is>
          <t>Plant B</t>
        </is>
      </c>
      <c r="E185" s="2" t="inlineStr">
        <is>
          <t>Central</t>
        </is>
      </c>
      <c r="F185" s="12" t="n">
        <v>46104</v>
      </c>
      <c r="G185" s="12" t="n">
        <v>46115</v>
      </c>
      <c r="H185" s="12" t="n">
        <v>46112</v>
      </c>
      <c r="I185" s="12" t="n">
        <v>46110</v>
      </c>
      <c r="J185" s="12" t="n">
        <v>46120</v>
      </c>
      <c r="K185" s="2" t="n">
        <v>411</v>
      </c>
      <c r="L185" s="2" t="inlineStr">
        <is>
          <t>Air</t>
        </is>
      </c>
      <c r="M185" s="2" t="inlineStr">
        <is>
          <t>Capacity Constraint</t>
        </is>
      </c>
      <c r="N185" s="4">
        <f>IF(I185&lt;=H185,1,0)</f>
        <v/>
      </c>
      <c r="O185" s="4">
        <f>IF(J185&lt;=G185,1,0)</f>
        <v/>
      </c>
      <c r="P185" s="4">
        <f>MAX(0,I185-H185)</f>
        <v/>
      </c>
      <c r="Q185" s="4">
        <f>MAX(0,J185-G185)</f>
        <v/>
      </c>
      <c r="R185" s="4">
        <f>IF(AND(N185=1,O185=1),"On Track",IF(O185=0,"Customer Delivery Late","Ship Late"))</f>
        <v/>
      </c>
    </row>
    <row r="186">
      <c r="A186" s="2" t="inlineStr">
        <is>
          <t>ORD-00185</t>
        </is>
      </c>
      <c r="B186" s="2" t="inlineStr">
        <is>
          <t>Customer 16</t>
        </is>
      </c>
      <c r="C186" s="2" t="inlineStr">
        <is>
          <t>Switchgear</t>
        </is>
      </c>
      <c r="D186" s="2" t="inlineStr">
        <is>
          <t>Plant B</t>
        </is>
      </c>
      <c r="E186" s="2" t="inlineStr">
        <is>
          <t>Central</t>
        </is>
      </c>
      <c r="F186" s="12" t="n">
        <v>46081</v>
      </c>
      <c r="G186" s="12" t="n">
        <v>46098</v>
      </c>
      <c r="H186" s="12" t="n">
        <v>46093</v>
      </c>
      <c r="I186" s="12" t="n">
        <v>46092</v>
      </c>
      <c r="J186" s="12" t="n">
        <v>46097</v>
      </c>
      <c r="K186" s="2" t="n">
        <v>731</v>
      </c>
      <c r="L186" s="2" t="inlineStr">
        <is>
          <t>Road</t>
        </is>
      </c>
      <c r="M186" s="2" t="inlineStr">
        <is>
          <t>No Delay</t>
        </is>
      </c>
      <c r="N186" s="4">
        <f>IF(I186&lt;=H186,1,0)</f>
        <v/>
      </c>
      <c r="O186" s="4">
        <f>IF(J186&lt;=G186,1,0)</f>
        <v/>
      </c>
      <c r="P186" s="4">
        <f>MAX(0,I186-H186)</f>
        <v/>
      </c>
      <c r="Q186" s="4">
        <f>MAX(0,J186-G186)</f>
        <v/>
      </c>
      <c r="R186" s="4">
        <f>IF(AND(N186=1,O186=1),"On Track",IF(O186=0,"Customer Delivery Late","Ship Late"))</f>
        <v/>
      </c>
    </row>
    <row r="187">
      <c r="A187" s="2" t="inlineStr">
        <is>
          <t>ORD-00186</t>
        </is>
      </c>
      <c r="B187" s="2" t="inlineStr">
        <is>
          <t>Customer 27</t>
        </is>
      </c>
      <c r="C187" s="2" t="inlineStr">
        <is>
          <t>Breaker</t>
        </is>
      </c>
      <c r="D187" s="2" t="inlineStr">
        <is>
          <t>Plant A</t>
        </is>
      </c>
      <c r="E187" s="2" t="inlineStr">
        <is>
          <t>Export</t>
        </is>
      </c>
      <c r="F187" s="12" t="n">
        <v>46058</v>
      </c>
      <c r="G187" s="12" t="n">
        <v>46080</v>
      </c>
      <c r="H187" s="12" t="n">
        <v>46076</v>
      </c>
      <c r="I187" s="12" t="n">
        <v>46076</v>
      </c>
      <c r="J187" s="12" t="n">
        <v>46081</v>
      </c>
      <c r="K187" s="2" t="n">
        <v>291</v>
      </c>
      <c r="L187" s="2" t="inlineStr">
        <is>
          <t>Sea</t>
        </is>
      </c>
      <c r="M187" s="2" t="inlineStr">
        <is>
          <t>Material Shortage</t>
        </is>
      </c>
      <c r="N187" s="4">
        <f>IF(I187&lt;=H187,1,0)</f>
        <v/>
      </c>
      <c r="O187" s="4">
        <f>IF(J187&lt;=G187,1,0)</f>
        <v/>
      </c>
      <c r="P187" s="4">
        <f>MAX(0,I187-H187)</f>
        <v/>
      </c>
      <c r="Q187" s="4">
        <f>MAX(0,J187-G187)</f>
        <v/>
      </c>
      <c r="R187" s="4">
        <f>IF(AND(N187=1,O187=1),"On Track",IF(O187=0,"Customer Delivery Late","Ship Late"))</f>
        <v/>
      </c>
    </row>
    <row r="188">
      <c r="A188" s="2" t="inlineStr">
        <is>
          <t>ORD-00187</t>
        </is>
      </c>
      <c r="B188" s="2" t="inlineStr">
        <is>
          <t>Customer 21</t>
        </is>
      </c>
      <c r="C188" s="2" t="inlineStr">
        <is>
          <t>Switchgear</t>
        </is>
      </c>
      <c r="D188" s="2" t="inlineStr">
        <is>
          <t>Plant C</t>
        </is>
      </c>
      <c r="E188" s="2" t="inlineStr">
        <is>
          <t>Export</t>
        </is>
      </c>
      <c r="F188" s="12" t="n">
        <v>46082</v>
      </c>
      <c r="G188" s="12" t="n">
        <v>46089</v>
      </c>
      <c r="H188" s="12" t="n">
        <v>46087</v>
      </c>
      <c r="I188" s="12" t="n">
        <v>46087</v>
      </c>
      <c r="J188" s="12" t="n">
        <v>46089</v>
      </c>
      <c r="K188" s="2" t="n">
        <v>42</v>
      </c>
      <c r="L188" s="2" t="inlineStr">
        <is>
          <t>Road</t>
        </is>
      </c>
      <c r="M188" s="2" t="inlineStr">
        <is>
          <t>No Delay</t>
        </is>
      </c>
      <c r="N188" s="4">
        <f>IF(I188&lt;=H188,1,0)</f>
        <v/>
      </c>
      <c r="O188" s="4">
        <f>IF(J188&lt;=G188,1,0)</f>
        <v/>
      </c>
      <c r="P188" s="4">
        <f>MAX(0,I188-H188)</f>
        <v/>
      </c>
      <c r="Q188" s="4">
        <f>MAX(0,J188-G188)</f>
        <v/>
      </c>
      <c r="R188" s="4">
        <f>IF(AND(N188=1,O188=1),"On Track",IF(O188=0,"Customer Delivery Late","Ship Late"))</f>
        <v/>
      </c>
    </row>
    <row r="189">
      <c r="A189" s="2" t="inlineStr">
        <is>
          <t>ORD-00188</t>
        </is>
      </c>
      <c r="B189" s="2" t="inlineStr">
        <is>
          <t>Customer 17</t>
        </is>
      </c>
      <c r="C189" s="2" t="inlineStr">
        <is>
          <t>Power Supply</t>
        </is>
      </c>
      <c r="D189" s="2" t="inlineStr">
        <is>
          <t>Plant A</t>
        </is>
      </c>
      <c r="E189" s="2" t="inlineStr">
        <is>
          <t>North</t>
        </is>
      </c>
      <c r="F189" s="12" t="n">
        <v>46159</v>
      </c>
      <c r="G189" s="12" t="n">
        <v>46181</v>
      </c>
      <c r="H189" s="12" t="n">
        <v>46177</v>
      </c>
      <c r="I189" s="12" t="n">
        <v>46177</v>
      </c>
      <c r="J189" s="12" t="n">
        <v>46182</v>
      </c>
      <c r="K189" s="2" t="n">
        <v>207</v>
      </c>
      <c r="L189" s="2" t="inlineStr">
        <is>
          <t>Sea</t>
        </is>
      </c>
      <c r="M189" s="2" t="inlineStr">
        <is>
          <t>Material Shortage</t>
        </is>
      </c>
      <c r="N189" s="4">
        <f>IF(I189&lt;=H189,1,0)</f>
        <v/>
      </c>
      <c r="O189" s="4">
        <f>IF(J189&lt;=G189,1,0)</f>
        <v/>
      </c>
      <c r="P189" s="4">
        <f>MAX(0,I189-H189)</f>
        <v/>
      </c>
      <c r="Q189" s="4">
        <f>MAX(0,J189-G189)</f>
        <v/>
      </c>
      <c r="R189" s="4">
        <f>IF(AND(N189=1,O189=1),"On Track",IF(O189=0,"Customer Delivery Late","Ship Late"))</f>
        <v/>
      </c>
    </row>
    <row r="190">
      <c r="A190" s="2" t="inlineStr">
        <is>
          <t>ORD-00189</t>
        </is>
      </c>
      <c r="B190" s="2" t="inlineStr">
        <is>
          <t>Customer 03</t>
        </is>
      </c>
      <c r="C190" s="2" t="inlineStr">
        <is>
          <t>Drive</t>
        </is>
      </c>
      <c r="D190" s="2" t="inlineStr">
        <is>
          <t>Plant B</t>
        </is>
      </c>
      <c r="E190" s="2" t="inlineStr">
        <is>
          <t>Export</t>
        </is>
      </c>
      <c r="F190" s="12" t="n">
        <v>46061</v>
      </c>
      <c r="G190" s="12" t="n">
        <v>46073</v>
      </c>
      <c r="H190" s="12" t="n">
        <v>46071</v>
      </c>
      <c r="I190" s="12" t="n">
        <v>46070</v>
      </c>
      <c r="J190" s="12" t="n">
        <v>46072</v>
      </c>
      <c r="K190" s="2" t="n">
        <v>1167</v>
      </c>
      <c r="L190" s="2" t="inlineStr">
        <is>
          <t>Road</t>
        </is>
      </c>
      <c r="M190" s="2" t="inlineStr">
        <is>
          <t>No Delay</t>
        </is>
      </c>
      <c r="N190" s="4">
        <f>IF(I190&lt;=H190,1,0)</f>
        <v/>
      </c>
      <c r="O190" s="4">
        <f>IF(J190&lt;=G190,1,0)</f>
        <v/>
      </c>
      <c r="P190" s="4">
        <f>MAX(0,I190-H190)</f>
        <v/>
      </c>
      <c r="Q190" s="4">
        <f>MAX(0,J190-G190)</f>
        <v/>
      </c>
      <c r="R190" s="4">
        <f>IF(AND(N190=1,O190=1),"On Track",IF(O190=0,"Customer Delivery Late","Ship Late"))</f>
        <v/>
      </c>
    </row>
    <row r="191">
      <c r="A191" s="2" t="inlineStr">
        <is>
          <t>ORD-00190</t>
        </is>
      </c>
      <c r="B191" s="2" t="inlineStr">
        <is>
          <t>Customer 13</t>
        </is>
      </c>
      <c r="C191" s="2" t="inlineStr">
        <is>
          <t>Switchgear</t>
        </is>
      </c>
      <c r="D191" s="2" t="inlineStr">
        <is>
          <t>Plant A</t>
        </is>
      </c>
      <c r="E191" s="2" t="inlineStr">
        <is>
          <t>North</t>
        </is>
      </c>
      <c r="F191" s="12" t="n">
        <v>46201</v>
      </c>
      <c r="G191" s="12" t="n">
        <v>46213</v>
      </c>
      <c r="H191" s="12" t="n">
        <v>46210</v>
      </c>
      <c r="I191" s="12" t="n">
        <v>46208</v>
      </c>
      <c r="J191" s="12" t="n">
        <v>46210</v>
      </c>
      <c r="K191" s="2" t="n">
        <v>1449</v>
      </c>
      <c r="L191" s="2" t="inlineStr">
        <is>
          <t>Road</t>
        </is>
      </c>
      <c r="M191" s="2" t="inlineStr">
        <is>
          <t>No Delay</t>
        </is>
      </c>
      <c r="N191" s="4">
        <f>IF(I191&lt;=H191,1,0)</f>
        <v/>
      </c>
      <c r="O191" s="4">
        <f>IF(J191&lt;=G191,1,0)</f>
        <v/>
      </c>
      <c r="P191" s="4">
        <f>MAX(0,I191-H191)</f>
        <v/>
      </c>
      <c r="Q191" s="4">
        <f>MAX(0,J191-G191)</f>
        <v/>
      </c>
      <c r="R191" s="4">
        <f>IF(AND(N191=1,O191=1),"On Track",IF(O191=0,"Customer Delivery Late","Ship Late"))</f>
        <v/>
      </c>
    </row>
    <row r="192">
      <c r="A192" s="2" t="inlineStr">
        <is>
          <t>ORD-00191</t>
        </is>
      </c>
      <c r="B192" s="2" t="inlineStr">
        <is>
          <t>Customer 08</t>
        </is>
      </c>
      <c r="C192" s="2" t="inlineStr">
        <is>
          <t>PLC</t>
        </is>
      </c>
      <c r="D192" s="2" t="inlineStr">
        <is>
          <t>Plant C</t>
        </is>
      </c>
      <c r="E192" s="2" t="inlineStr">
        <is>
          <t>Export</t>
        </is>
      </c>
      <c r="F192" s="12" t="n">
        <v>46044</v>
      </c>
      <c r="G192" s="12" t="n">
        <v>46064</v>
      </c>
      <c r="H192" s="12" t="n">
        <v>46060</v>
      </c>
      <c r="I192" s="12" t="n">
        <v>46059</v>
      </c>
      <c r="J192" s="12" t="n">
        <v>46064</v>
      </c>
      <c r="K192" s="2" t="n">
        <v>565</v>
      </c>
      <c r="L192" s="2" t="inlineStr">
        <is>
          <t>Road</t>
        </is>
      </c>
      <c r="M192" s="2" t="inlineStr">
        <is>
          <t>No Delay</t>
        </is>
      </c>
      <c r="N192" s="4">
        <f>IF(I192&lt;=H192,1,0)</f>
        <v/>
      </c>
      <c r="O192" s="4">
        <f>IF(J192&lt;=G192,1,0)</f>
        <v/>
      </c>
      <c r="P192" s="4">
        <f>MAX(0,I192-H192)</f>
        <v/>
      </c>
      <c r="Q192" s="4">
        <f>MAX(0,J192-G192)</f>
        <v/>
      </c>
      <c r="R192" s="4">
        <f>IF(AND(N192=1,O192=1),"On Track",IF(O192=0,"Customer Delivery Late","Ship Late"))</f>
        <v/>
      </c>
    </row>
    <row r="193">
      <c r="A193" s="2" t="inlineStr">
        <is>
          <t>ORD-00192</t>
        </is>
      </c>
      <c r="B193" s="2" t="inlineStr">
        <is>
          <t>Customer 05</t>
        </is>
      </c>
      <c r="C193" s="2" t="inlineStr">
        <is>
          <t>Power Supply</t>
        </is>
      </c>
      <c r="D193" s="2" t="inlineStr">
        <is>
          <t>Plant A</t>
        </is>
      </c>
      <c r="E193" s="2" t="inlineStr">
        <is>
          <t>South</t>
        </is>
      </c>
      <c r="F193" s="12" t="n">
        <v>46042</v>
      </c>
      <c r="G193" s="12" t="n">
        <v>46055</v>
      </c>
      <c r="H193" s="12" t="n">
        <v>46050</v>
      </c>
      <c r="I193" s="12" t="n">
        <v>46048</v>
      </c>
      <c r="J193" s="12" t="n">
        <v>46057</v>
      </c>
      <c r="K193" s="2" t="n">
        <v>342</v>
      </c>
      <c r="L193" s="2" t="inlineStr">
        <is>
          <t>Sea</t>
        </is>
      </c>
      <c r="M193" s="2" t="inlineStr">
        <is>
          <t>Capacity Constraint</t>
        </is>
      </c>
      <c r="N193" s="4">
        <f>IF(I193&lt;=H193,1,0)</f>
        <v/>
      </c>
      <c r="O193" s="4">
        <f>IF(J193&lt;=G193,1,0)</f>
        <v/>
      </c>
      <c r="P193" s="4">
        <f>MAX(0,I193-H193)</f>
        <v/>
      </c>
      <c r="Q193" s="4">
        <f>MAX(0,J193-G193)</f>
        <v/>
      </c>
      <c r="R193" s="4">
        <f>IF(AND(N193=1,O193=1),"On Track",IF(O193=0,"Customer Delivery Late","Ship Late"))</f>
        <v/>
      </c>
    </row>
    <row r="194">
      <c r="A194" s="2" t="inlineStr">
        <is>
          <t>ORD-00193</t>
        </is>
      </c>
      <c r="B194" s="2" t="inlineStr">
        <is>
          <t>Customer 05</t>
        </is>
      </c>
      <c r="C194" s="2" t="inlineStr">
        <is>
          <t>Contactor</t>
        </is>
      </c>
      <c r="D194" s="2" t="inlineStr">
        <is>
          <t>Plant C</t>
        </is>
      </c>
      <c r="E194" s="2" t="inlineStr">
        <is>
          <t>South</t>
        </is>
      </c>
      <c r="F194" s="12" t="n">
        <v>46084</v>
      </c>
      <c r="G194" s="12" t="n">
        <v>46107</v>
      </c>
      <c r="H194" s="12" t="n">
        <v>46103</v>
      </c>
      <c r="I194" s="12" t="n">
        <v>46103</v>
      </c>
      <c r="J194" s="12" t="n">
        <v>46107</v>
      </c>
      <c r="K194" s="2" t="n">
        <v>119</v>
      </c>
      <c r="L194" s="2" t="inlineStr">
        <is>
          <t>Road</t>
        </is>
      </c>
      <c r="M194" s="2" t="inlineStr">
        <is>
          <t>No Delay</t>
        </is>
      </c>
      <c r="N194" s="4">
        <f>IF(I194&lt;=H194,1,0)</f>
        <v/>
      </c>
      <c r="O194" s="4">
        <f>IF(J194&lt;=G194,1,0)</f>
        <v/>
      </c>
      <c r="P194" s="4">
        <f>MAX(0,I194-H194)</f>
        <v/>
      </c>
      <c r="Q194" s="4">
        <f>MAX(0,J194-G194)</f>
        <v/>
      </c>
      <c r="R194" s="4">
        <f>IF(AND(N194=1,O194=1),"On Track",IF(O194=0,"Customer Delivery Late","Ship Late"))</f>
        <v/>
      </c>
    </row>
    <row r="195">
      <c r="A195" s="2" t="inlineStr">
        <is>
          <t>ORD-00194</t>
        </is>
      </c>
      <c r="B195" s="2" t="inlineStr">
        <is>
          <t>Customer 09</t>
        </is>
      </c>
      <c r="C195" s="2" t="inlineStr">
        <is>
          <t>Switchgear</t>
        </is>
      </c>
      <c r="D195" s="2" t="inlineStr">
        <is>
          <t>Plant B</t>
        </is>
      </c>
      <c r="E195" s="2" t="inlineStr">
        <is>
          <t>Central</t>
        </is>
      </c>
      <c r="F195" s="12" t="n">
        <v>46134</v>
      </c>
      <c r="G195" s="12" t="n">
        <v>46146</v>
      </c>
      <c r="H195" s="12" t="n">
        <v>46145</v>
      </c>
      <c r="I195" s="12" t="n">
        <v>46145</v>
      </c>
      <c r="J195" s="12" t="n">
        <v>46146</v>
      </c>
      <c r="K195" s="2" t="n">
        <v>738</v>
      </c>
      <c r="L195" s="2" t="inlineStr">
        <is>
          <t>Sea</t>
        </is>
      </c>
      <c r="M195" s="2" t="inlineStr">
        <is>
          <t>No Delay</t>
        </is>
      </c>
      <c r="N195" s="4">
        <f>IF(I195&lt;=H195,1,0)</f>
        <v/>
      </c>
      <c r="O195" s="4">
        <f>IF(J195&lt;=G195,1,0)</f>
        <v/>
      </c>
      <c r="P195" s="4">
        <f>MAX(0,I195-H195)</f>
        <v/>
      </c>
      <c r="Q195" s="4">
        <f>MAX(0,J195-G195)</f>
        <v/>
      </c>
      <c r="R195" s="4">
        <f>IF(AND(N195=1,O195=1),"On Track",IF(O195=0,"Customer Delivery Late","Ship Late"))</f>
        <v/>
      </c>
    </row>
    <row r="196">
      <c r="A196" s="2" t="inlineStr">
        <is>
          <t>ORD-00195</t>
        </is>
      </c>
      <c r="B196" s="2" t="inlineStr">
        <is>
          <t>Customer 10</t>
        </is>
      </c>
      <c r="C196" s="2" t="inlineStr">
        <is>
          <t>PLC</t>
        </is>
      </c>
      <c r="D196" s="2" t="inlineStr">
        <is>
          <t>Plant C</t>
        </is>
      </c>
      <c r="E196" s="2" t="inlineStr">
        <is>
          <t>North</t>
        </is>
      </c>
      <c r="F196" s="12" t="n">
        <v>46119</v>
      </c>
      <c r="G196" s="12" t="n">
        <v>46137</v>
      </c>
      <c r="H196" s="12" t="n">
        <v>46135</v>
      </c>
      <c r="I196" s="12" t="n">
        <v>46135</v>
      </c>
      <c r="J196" s="12" t="n">
        <v>46136</v>
      </c>
      <c r="K196" s="2" t="n">
        <v>178</v>
      </c>
      <c r="L196" s="2" t="inlineStr">
        <is>
          <t>Air</t>
        </is>
      </c>
      <c r="M196" s="2" t="inlineStr">
        <is>
          <t>No Delay</t>
        </is>
      </c>
      <c r="N196" s="4">
        <f>IF(I196&lt;=H196,1,0)</f>
        <v/>
      </c>
      <c r="O196" s="4">
        <f>IF(J196&lt;=G196,1,0)</f>
        <v/>
      </c>
      <c r="P196" s="4">
        <f>MAX(0,I196-H196)</f>
        <v/>
      </c>
      <c r="Q196" s="4">
        <f>MAX(0,J196-G196)</f>
        <v/>
      </c>
      <c r="R196" s="4">
        <f>IF(AND(N196=1,O196=1),"On Track",IF(O196=0,"Customer Delivery Late","Ship Late"))</f>
        <v/>
      </c>
    </row>
    <row r="197">
      <c r="A197" s="2" t="inlineStr">
        <is>
          <t>ORD-00196</t>
        </is>
      </c>
      <c r="B197" s="2" t="inlineStr">
        <is>
          <t>Customer 10</t>
        </is>
      </c>
      <c r="C197" s="2" t="inlineStr">
        <is>
          <t>Switchgear</t>
        </is>
      </c>
      <c r="D197" s="2" t="inlineStr">
        <is>
          <t>Plant B</t>
        </is>
      </c>
      <c r="E197" s="2" t="inlineStr">
        <is>
          <t>South</t>
        </is>
      </c>
      <c r="F197" s="12" t="n">
        <v>46062</v>
      </c>
      <c r="G197" s="12" t="n">
        <v>46079</v>
      </c>
      <c r="H197" s="12" t="n">
        <v>46077</v>
      </c>
      <c r="I197" s="12" t="n">
        <v>46076</v>
      </c>
      <c r="J197" s="12" t="n">
        <v>46077</v>
      </c>
      <c r="K197" s="2" t="n">
        <v>219</v>
      </c>
      <c r="L197" s="2" t="inlineStr">
        <is>
          <t>Road</t>
        </is>
      </c>
      <c r="M197" s="2" t="inlineStr">
        <is>
          <t>No Delay</t>
        </is>
      </c>
      <c r="N197" s="4">
        <f>IF(I197&lt;=H197,1,0)</f>
        <v/>
      </c>
      <c r="O197" s="4">
        <f>IF(J197&lt;=G197,1,0)</f>
        <v/>
      </c>
      <c r="P197" s="4">
        <f>MAX(0,I197-H197)</f>
        <v/>
      </c>
      <c r="Q197" s="4">
        <f>MAX(0,J197-G197)</f>
        <v/>
      </c>
      <c r="R197" s="4">
        <f>IF(AND(N197=1,O197=1),"On Track",IF(O197=0,"Customer Delivery Late","Ship Late"))</f>
        <v/>
      </c>
    </row>
    <row r="198">
      <c r="A198" s="2" t="inlineStr">
        <is>
          <t>ORD-00197</t>
        </is>
      </c>
      <c r="B198" s="2" t="inlineStr">
        <is>
          <t>Customer 12</t>
        </is>
      </c>
      <c r="C198" s="2" t="inlineStr">
        <is>
          <t>Contactor</t>
        </is>
      </c>
      <c r="D198" s="2" t="inlineStr">
        <is>
          <t>Plant C</t>
        </is>
      </c>
      <c r="E198" s="2" t="inlineStr">
        <is>
          <t>South</t>
        </is>
      </c>
      <c r="F198" s="12" t="n">
        <v>46045</v>
      </c>
      <c r="G198" s="12" t="n">
        <v>46055</v>
      </c>
      <c r="H198" s="12" t="n">
        <v>46051</v>
      </c>
      <c r="I198" s="12" t="n">
        <v>46051</v>
      </c>
      <c r="J198" s="12" t="n">
        <v>46054</v>
      </c>
      <c r="K198" s="2" t="n">
        <v>798</v>
      </c>
      <c r="L198" s="2" t="inlineStr">
        <is>
          <t>Road</t>
        </is>
      </c>
      <c r="M198" s="2" t="inlineStr">
        <is>
          <t>No Delay</t>
        </is>
      </c>
      <c r="N198" s="4">
        <f>IF(I198&lt;=H198,1,0)</f>
        <v/>
      </c>
      <c r="O198" s="4">
        <f>IF(J198&lt;=G198,1,0)</f>
        <v/>
      </c>
      <c r="P198" s="4">
        <f>MAX(0,I198-H198)</f>
        <v/>
      </c>
      <c r="Q198" s="4">
        <f>MAX(0,J198-G198)</f>
        <v/>
      </c>
      <c r="R198" s="4">
        <f>IF(AND(N198=1,O198=1),"On Track",IF(O198=0,"Customer Delivery Late","Ship Late"))</f>
        <v/>
      </c>
    </row>
    <row r="199">
      <c r="A199" s="2" t="inlineStr">
        <is>
          <t>ORD-00198</t>
        </is>
      </c>
      <c r="B199" s="2" t="inlineStr">
        <is>
          <t>Customer 13</t>
        </is>
      </c>
      <c r="C199" s="2" t="inlineStr">
        <is>
          <t>Relay</t>
        </is>
      </c>
      <c r="D199" s="2" t="inlineStr">
        <is>
          <t>Plant A</t>
        </is>
      </c>
      <c r="E199" s="2" t="inlineStr">
        <is>
          <t>South</t>
        </is>
      </c>
      <c r="F199" s="12" t="n">
        <v>46097</v>
      </c>
      <c r="G199" s="12" t="n">
        <v>46115</v>
      </c>
      <c r="H199" s="12" t="n">
        <v>46111</v>
      </c>
      <c r="I199" s="12" t="n">
        <v>46111</v>
      </c>
      <c r="J199" s="12" t="n">
        <v>46116</v>
      </c>
      <c r="K199" s="2" t="n">
        <v>626</v>
      </c>
      <c r="L199" s="2" t="inlineStr">
        <is>
          <t>Air</t>
        </is>
      </c>
      <c r="M199" s="2" t="inlineStr">
        <is>
          <t>Customer Change</t>
        </is>
      </c>
      <c r="N199" s="4">
        <f>IF(I199&lt;=H199,1,0)</f>
        <v/>
      </c>
      <c r="O199" s="4">
        <f>IF(J199&lt;=G199,1,0)</f>
        <v/>
      </c>
      <c r="P199" s="4">
        <f>MAX(0,I199-H199)</f>
        <v/>
      </c>
      <c r="Q199" s="4">
        <f>MAX(0,J199-G199)</f>
        <v/>
      </c>
      <c r="R199" s="4">
        <f>IF(AND(N199=1,O199=1),"On Track",IF(O199=0,"Customer Delivery Late","Ship Late"))</f>
        <v/>
      </c>
    </row>
    <row r="200">
      <c r="A200" s="2" t="inlineStr">
        <is>
          <t>ORD-00199</t>
        </is>
      </c>
      <c r="B200" s="2" t="inlineStr">
        <is>
          <t>Customer 03</t>
        </is>
      </c>
      <c r="C200" s="2" t="inlineStr">
        <is>
          <t>Drive</t>
        </is>
      </c>
      <c r="D200" s="2" t="inlineStr">
        <is>
          <t>Plant B</t>
        </is>
      </c>
      <c r="E200" s="2" t="inlineStr">
        <is>
          <t>Central</t>
        </is>
      </c>
      <c r="F200" s="12" t="n">
        <v>46149</v>
      </c>
      <c r="G200" s="12" t="n">
        <v>46158</v>
      </c>
      <c r="H200" s="12" t="n">
        <v>46157</v>
      </c>
      <c r="I200" s="12" t="n">
        <v>46156</v>
      </c>
      <c r="J200" s="12" t="n">
        <v>46157</v>
      </c>
      <c r="K200" s="2" t="n">
        <v>1486</v>
      </c>
      <c r="L200" s="2" t="inlineStr">
        <is>
          <t>Sea</t>
        </is>
      </c>
      <c r="M200" s="2" t="inlineStr">
        <is>
          <t>No Delay</t>
        </is>
      </c>
      <c r="N200" s="4">
        <f>IF(I200&lt;=H200,1,0)</f>
        <v/>
      </c>
      <c r="O200" s="4">
        <f>IF(J200&lt;=G200,1,0)</f>
        <v/>
      </c>
      <c r="P200" s="4">
        <f>MAX(0,I200-H200)</f>
        <v/>
      </c>
      <c r="Q200" s="4">
        <f>MAX(0,J200-G200)</f>
        <v/>
      </c>
      <c r="R200" s="4">
        <f>IF(AND(N200=1,O200=1),"On Track",IF(O200=0,"Customer Delivery Late","Ship Late"))</f>
        <v/>
      </c>
    </row>
    <row r="201">
      <c r="A201" s="2" t="inlineStr">
        <is>
          <t>ORD-00200</t>
        </is>
      </c>
      <c r="B201" s="2" t="inlineStr">
        <is>
          <t>Customer 27</t>
        </is>
      </c>
      <c r="C201" s="2" t="inlineStr">
        <is>
          <t>Power Supply</t>
        </is>
      </c>
      <c r="D201" s="2" t="inlineStr">
        <is>
          <t>Plant B</t>
        </is>
      </c>
      <c r="E201" s="2" t="inlineStr">
        <is>
          <t>Export</t>
        </is>
      </c>
      <c r="F201" s="12" t="n">
        <v>46149</v>
      </c>
      <c r="G201" s="12" t="n">
        <v>46173</v>
      </c>
      <c r="H201" s="12" t="n">
        <v>46168</v>
      </c>
      <c r="I201" s="12" t="n">
        <v>46166</v>
      </c>
      <c r="J201" s="12" t="n">
        <v>46177</v>
      </c>
      <c r="K201" s="2" t="n">
        <v>695</v>
      </c>
      <c r="L201" s="2" t="inlineStr">
        <is>
          <t>Air</t>
        </is>
      </c>
      <c r="M201" s="2" t="inlineStr">
        <is>
          <t>Carrier Delay</t>
        </is>
      </c>
      <c r="N201" s="4">
        <f>IF(I201&lt;=H201,1,0)</f>
        <v/>
      </c>
      <c r="O201" s="4">
        <f>IF(J201&lt;=G201,1,0)</f>
        <v/>
      </c>
      <c r="P201" s="4">
        <f>MAX(0,I201-H201)</f>
        <v/>
      </c>
      <c r="Q201" s="4">
        <f>MAX(0,J201-G201)</f>
        <v/>
      </c>
      <c r="R201" s="4">
        <f>IF(AND(N201=1,O201=1),"On Track",IF(O201=0,"Customer Delivery Late","Ship Late"))</f>
        <v/>
      </c>
    </row>
    <row r="202">
      <c r="A202" s="2" t="inlineStr">
        <is>
          <t>ORD-00201</t>
        </is>
      </c>
      <c r="B202" s="2" t="inlineStr">
        <is>
          <t>Customer 13</t>
        </is>
      </c>
      <c r="C202" s="2" t="inlineStr">
        <is>
          <t>Drive</t>
        </is>
      </c>
      <c r="D202" s="2" t="inlineStr">
        <is>
          <t>Plant B</t>
        </is>
      </c>
      <c r="E202" s="2" t="inlineStr">
        <is>
          <t>Export</t>
        </is>
      </c>
      <c r="F202" s="12" t="n">
        <v>46189</v>
      </c>
      <c r="G202" s="12" t="n">
        <v>46213</v>
      </c>
      <c r="H202" s="12" t="n">
        <v>46211</v>
      </c>
      <c r="I202" s="12" t="n">
        <v>46211</v>
      </c>
      <c r="J202" s="12" t="n">
        <v>46213</v>
      </c>
      <c r="K202" s="2" t="n">
        <v>1189</v>
      </c>
      <c r="L202" s="2" t="inlineStr">
        <is>
          <t>Road</t>
        </is>
      </c>
      <c r="M202" s="2" t="inlineStr">
        <is>
          <t>No Delay</t>
        </is>
      </c>
      <c r="N202" s="4">
        <f>IF(I202&lt;=H202,1,0)</f>
        <v/>
      </c>
      <c r="O202" s="4">
        <f>IF(J202&lt;=G202,1,0)</f>
        <v/>
      </c>
      <c r="P202" s="4">
        <f>MAX(0,I202-H202)</f>
        <v/>
      </c>
      <c r="Q202" s="4">
        <f>MAX(0,J202-G202)</f>
        <v/>
      </c>
      <c r="R202" s="4">
        <f>IF(AND(N202=1,O202=1),"On Track",IF(O202=0,"Customer Delivery Late","Ship Late"))</f>
        <v/>
      </c>
    </row>
    <row r="203">
      <c r="A203" s="2" t="inlineStr">
        <is>
          <t>ORD-00202</t>
        </is>
      </c>
      <c r="B203" s="2" t="inlineStr">
        <is>
          <t>Customer 07</t>
        </is>
      </c>
      <c r="C203" s="2" t="inlineStr">
        <is>
          <t>Relay</t>
        </is>
      </c>
      <c r="D203" s="2" t="inlineStr">
        <is>
          <t>Plant C</t>
        </is>
      </c>
      <c r="E203" s="2" t="inlineStr">
        <is>
          <t>North</t>
        </is>
      </c>
      <c r="F203" s="12" t="n">
        <v>46106</v>
      </c>
      <c r="G203" s="12" t="n">
        <v>46123</v>
      </c>
      <c r="H203" s="12" t="n">
        <v>46120</v>
      </c>
      <c r="I203" s="12" t="n">
        <v>46119</v>
      </c>
      <c r="J203" s="12" t="n">
        <v>46121</v>
      </c>
      <c r="K203" s="2" t="n">
        <v>1499</v>
      </c>
      <c r="L203" s="2" t="inlineStr">
        <is>
          <t>Air</t>
        </is>
      </c>
      <c r="M203" s="2" t="inlineStr">
        <is>
          <t>No Delay</t>
        </is>
      </c>
      <c r="N203" s="4">
        <f>IF(I203&lt;=H203,1,0)</f>
        <v/>
      </c>
      <c r="O203" s="4">
        <f>IF(J203&lt;=G203,1,0)</f>
        <v/>
      </c>
      <c r="P203" s="4">
        <f>MAX(0,I203-H203)</f>
        <v/>
      </c>
      <c r="Q203" s="4">
        <f>MAX(0,J203-G203)</f>
        <v/>
      </c>
      <c r="R203" s="4">
        <f>IF(AND(N203=1,O203=1),"On Track",IF(O203=0,"Customer Delivery Late","Ship Late"))</f>
        <v/>
      </c>
    </row>
    <row r="204">
      <c r="A204" s="2" t="inlineStr">
        <is>
          <t>ORD-00203</t>
        </is>
      </c>
      <c r="B204" s="2" t="inlineStr">
        <is>
          <t>Customer 10</t>
        </is>
      </c>
      <c r="C204" s="2" t="inlineStr">
        <is>
          <t>PLC</t>
        </is>
      </c>
      <c r="D204" s="2" t="inlineStr">
        <is>
          <t>Plant B</t>
        </is>
      </c>
      <c r="E204" s="2" t="inlineStr">
        <is>
          <t>Central</t>
        </is>
      </c>
      <c r="F204" s="12" t="n">
        <v>46076</v>
      </c>
      <c r="G204" s="12" t="n">
        <v>46095</v>
      </c>
      <c r="H204" s="12" t="n">
        <v>46092</v>
      </c>
      <c r="I204" s="12" t="n">
        <v>46090</v>
      </c>
      <c r="J204" s="12" t="n">
        <v>46093</v>
      </c>
      <c r="K204" s="2" t="n">
        <v>1474</v>
      </c>
      <c r="L204" s="2" t="inlineStr">
        <is>
          <t>Air</t>
        </is>
      </c>
      <c r="M204" s="2" t="inlineStr">
        <is>
          <t>No Delay</t>
        </is>
      </c>
      <c r="N204" s="4">
        <f>IF(I204&lt;=H204,1,0)</f>
        <v/>
      </c>
      <c r="O204" s="4">
        <f>IF(J204&lt;=G204,1,0)</f>
        <v/>
      </c>
      <c r="P204" s="4">
        <f>MAX(0,I204-H204)</f>
        <v/>
      </c>
      <c r="Q204" s="4">
        <f>MAX(0,J204-G204)</f>
        <v/>
      </c>
      <c r="R204" s="4">
        <f>IF(AND(N204=1,O204=1),"On Track",IF(O204=0,"Customer Delivery Late","Ship Late"))</f>
        <v/>
      </c>
    </row>
    <row r="205">
      <c r="A205" s="2" t="inlineStr">
        <is>
          <t>ORD-00204</t>
        </is>
      </c>
      <c r="B205" s="2" t="inlineStr">
        <is>
          <t>Customer 14</t>
        </is>
      </c>
      <c r="C205" s="2" t="inlineStr">
        <is>
          <t>Breaker</t>
        </is>
      </c>
      <c r="D205" s="2" t="inlineStr">
        <is>
          <t>Plant B</t>
        </is>
      </c>
      <c r="E205" s="2" t="inlineStr">
        <is>
          <t>North</t>
        </is>
      </c>
      <c r="F205" s="12" t="n">
        <v>46119</v>
      </c>
      <c r="G205" s="12" t="n">
        <v>46126</v>
      </c>
      <c r="H205" s="12" t="n">
        <v>46122</v>
      </c>
      <c r="I205" s="12" t="n">
        <v>46130</v>
      </c>
      <c r="J205" s="12" t="n">
        <v>46135</v>
      </c>
      <c r="K205" s="2" t="n">
        <v>233</v>
      </c>
      <c r="L205" s="2" t="inlineStr">
        <is>
          <t>Road</t>
        </is>
      </c>
      <c r="M205" s="2" t="inlineStr">
        <is>
          <t>Customer Change</t>
        </is>
      </c>
      <c r="N205" s="4">
        <f>IF(I205&lt;=H205,1,0)</f>
        <v/>
      </c>
      <c r="O205" s="4">
        <f>IF(J205&lt;=G205,1,0)</f>
        <v/>
      </c>
      <c r="P205" s="4">
        <f>MAX(0,I205-H205)</f>
        <v/>
      </c>
      <c r="Q205" s="4">
        <f>MAX(0,J205-G205)</f>
        <v/>
      </c>
      <c r="R205" s="4">
        <f>IF(AND(N205=1,O205=1),"On Track",IF(O205=0,"Customer Delivery Late","Ship Late"))</f>
        <v/>
      </c>
    </row>
    <row r="206">
      <c r="A206" s="2" t="inlineStr">
        <is>
          <t>ORD-00205</t>
        </is>
      </c>
      <c r="B206" s="2" t="inlineStr">
        <is>
          <t>Customer 14</t>
        </is>
      </c>
      <c r="C206" s="2" t="inlineStr">
        <is>
          <t>Contactor</t>
        </is>
      </c>
      <c r="D206" s="2" t="inlineStr">
        <is>
          <t>Plant A</t>
        </is>
      </c>
      <c r="E206" s="2" t="inlineStr">
        <is>
          <t>North</t>
        </is>
      </c>
      <c r="F206" s="12" t="n">
        <v>46191</v>
      </c>
      <c r="G206" s="12" t="n">
        <v>46207</v>
      </c>
      <c r="H206" s="12" t="n">
        <v>46205</v>
      </c>
      <c r="I206" s="12" t="n">
        <v>46203</v>
      </c>
      <c r="J206" s="12" t="n">
        <v>46205</v>
      </c>
      <c r="K206" s="2" t="n">
        <v>539</v>
      </c>
      <c r="L206" s="2" t="inlineStr">
        <is>
          <t>Road</t>
        </is>
      </c>
      <c r="M206" s="2" t="inlineStr">
        <is>
          <t>No Delay</t>
        </is>
      </c>
      <c r="N206" s="4">
        <f>IF(I206&lt;=H206,1,0)</f>
        <v/>
      </c>
      <c r="O206" s="4">
        <f>IF(J206&lt;=G206,1,0)</f>
        <v/>
      </c>
      <c r="P206" s="4">
        <f>MAX(0,I206-H206)</f>
        <v/>
      </c>
      <c r="Q206" s="4">
        <f>MAX(0,J206-G206)</f>
        <v/>
      </c>
      <c r="R206" s="4">
        <f>IF(AND(N206=1,O206=1),"On Track",IF(O206=0,"Customer Delivery Late","Ship Late"))</f>
        <v/>
      </c>
    </row>
    <row r="207">
      <c r="A207" s="2" t="inlineStr">
        <is>
          <t>ORD-00206</t>
        </is>
      </c>
      <c r="B207" s="2" t="inlineStr">
        <is>
          <t>Customer 15</t>
        </is>
      </c>
      <c r="C207" s="2" t="inlineStr">
        <is>
          <t>Relay</t>
        </is>
      </c>
      <c r="D207" s="2" t="inlineStr">
        <is>
          <t>Plant B</t>
        </is>
      </c>
      <c r="E207" s="2" t="inlineStr">
        <is>
          <t>North</t>
        </is>
      </c>
      <c r="F207" s="12" t="n">
        <v>46153</v>
      </c>
      <c r="G207" s="12" t="n">
        <v>46174</v>
      </c>
      <c r="H207" s="12" t="n">
        <v>46169</v>
      </c>
      <c r="I207" s="12" t="n">
        <v>46169</v>
      </c>
      <c r="J207" s="12" t="n">
        <v>46174</v>
      </c>
      <c r="K207" s="2" t="n">
        <v>998</v>
      </c>
      <c r="L207" s="2" t="inlineStr">
        <is>
          <t>Road</t>
        </is>
      </c>
      <c r="M207" s="2" t="inlineStr">
        <is>
          <t>No Delay</t>
        </is>
      </c>
      <c r="N207" s="4">
        <f>IF(I207&lt;=H207,1,0)</f>
        <v/>
      </c>
      <c r="O207" s="4">
        <f>IF(J207&lt;=G207,1,0)</f>
        <v/>
      </c>
      <c r="P207" s="4">
        <f>MAX(0,I207-H207)</f>
        <v/>
      </c>
      <c r="Q207" s="4">
        <f>MAX(0,J207-G207)</f>
        <v/>
      </c>
      <c r="R207" s="4">
        <f>IF(AND(N207=1,O207=1),"On Track",IF(O207=0,"Customer Delivery Late","Ship Late"))</f>
        <v/>
      </c>
    </row>
    <row r="208">
      <c r="A208" s="2" t="inlineStr">
        <is>
          <t>ORD-00207</t>
        </is>
      </c>
      <c r="B208" s="2" t="inlineStr">
        <is>
          <t>Customer 15</t>
        </is>
      </c>
      <c r="C208" s="2" t="inlineStr">
        <is>
          <t>PLC</t>
        </is>
      </c>
      <c r="D208" s="2" t="inlineStr">
        <is>
          <t>Plant C</t>
        </is>
      </c>
      <c r="E208" s="2" t="inlineStr">
        <is>
          <t>Export</t>
        </is>
      </c>
      <c r="F208" s="12" t="n">
        <v>46098</v>
      </c>
      <c r="G208" s="12" t="n">
        <v>46116</v>
      </c>
      <c r="H208" s="12" t="n">
        <v>46115</v>
      </c>
      <c r="I208" s="12" t="n">
        <v>46115</v>
      </c>
      <c r="J208" s="12" t="n">
        <v>46116</v>
      </c>
      <c r="K208" s="2" t="n">
        <v>723</v>
      </c>
      <c r="L208" s="2" t="inlineStr">
        <is>
          <t>Air</t>
        </is>
      </c>
      <c r="M208" s="2" t="inlineStr">
        <is>
          <t>No Delay</t>
        </is>
      </c>
      <c r="N208" s="4">
        <f>IF(I208&lt;=H208,1,0)</f>
        <v/>
      </c>
      <c r="O208" s="4">
        <f>IF(J208&lt;=G208,1,0)</f>
        <v/>
      </c>
      <c r="P208" s="4">
        <f>MAX(0,I208-H208)</f>
        <v/>
      </c>
      <c r="Q208" s="4">
        <f>MAX(0,J208-G208)</f>
        <v/>
      </c>
      <c r="R208" s="4">
        <f>IF(AND(N208=1,O208=1),"On Track",IF(O208=0,"Customer Delivery Late","Ship Late"))</f>
        <v/>
      </c>
    </row>
    <row r="209">
      <c r="A209" s="2" t="inlineStr">
        <is>
          <t>ORD-00208</t>
        </is>
      </c>
      <c r="B209" s="2" t="inlineStr">
        <is>
          <t>Customer 11</t>
        </is>
      </c>
      <c r="C209" s="2" t="inlineStr">
        <is>
          <t>Contactor</t>
        </is>
      </c>
      <c r="D209" s="2" t="inlineStr">
        <is>
          <t>Plant C</t>
        </is>
      </c>
      <c r="E209" s="2" t="inlineStr">
        <is>
          <t>Central</t>
        </is>
      </c>
      <c r="F209" s="12" t="n">
        <v>46047</v>
      </c>
      <c r="G209" s="12" t="n">
        <v>46066</v>
      </c>
      <c r="H209" s="12" t="n">
        <v>46062</v>
      </c>
      <c r="I209" s="12" t="n">
        <v>46061</v>
      </c>
      <c r="J209" s="12" t="n">
        <v>46064</v>
      </c>
      <c r="K209" s="2" t="n">
        <v>509</v>
      </c>
      <c r="L209" s="2" t="inlineStr">
        <is>
          <t>Sea</t>
        </is>
      </c>
      <c r="M209" s="2" t="inlineStr">
        <is>
          <t>No Delay</t>
        </is>
      </c>
      <c r="N209" s="4">
        <f>IF(I209&lt;=H209,1,0)</f>
        <v/>
      </c>
      <c r="O209" s="4">
        <f>IF(J209&lt;=G209,1,0)</f>
        <v/>
      </c>
      <c r="P209" s="4">
        <f>MAX(0,I209-H209)</f>
        <v/>
      </c>
      <c r="Q209" s="4">
        <f>MAX(0,J209-G209)</f>
        <v/>
      </c>
      <c r="R209" s="4">
        <f>IF(AND(N209=1,O209=1),"On Track",IF(O209=0,"Customer Delivery Late","Ship Late"))</f>
        <v/>
      </c>
    </row>
    <row r="210">
      <c r="A210" s="2" t="inlineStr">
        <is>
          <t>ORD-00209</t>
        </is>
      </c>
      <c r="B210" s="2" t="inlineStr">
        <is>
          <t>Customer 21</t>
        </is>
      </c>
      <c r="C210" s="2" t="inlineStr">
        <is>
          <t>Relay</t>
        </is>
      </c>
      <c r="D210" s="2" t="inlineStr">
        <is>
          <t>Plant A</t>
        </is>
      </c>
      <c r="E210" s="2" t="inlineStr">
        <is>
          <t>Export</t>
        </is>
      </c>
      <c r="F210" s="12" t="n">
        <v>46067</v>
      </c>
      <c r="G210" s="12" t="n">
        <v>46089</v>
      </c>
      <c r="H210" s="12" t="n">
        <v>46087</v>
      </c>
      <c r="I210" s="12" t="n">
        <v>46086</v>
      </c>
      <c r="J210" s="12" t="n">
        <v>46088</v>
      </c>
      <c r="K210" s="2" t="n">
        <v>820</v>
      </c>
      <c r="L210" s="2" t="inlineStr">
        <is>
          <t>Road</t>
        </is>
      </c>
      <c r="M210" s="2" t="inlineStr">
        <is>
          <t>No Delay</t>
        </is>
      </c>
      <c r="N210" s="4">
        <f>IF(I210&lt;=H210,1,0)</f>
        <v/>
      </c>
      <c r="O210" s="4">
        <f>IF(J210&lt;=G210,1,0)</f>
        <v/>
      </c>
      <c r="P210" s="4">
        <f>MAX(0,I210-H210)</f>
        <v/>
      </c>
      <c r="Q210" s="4">
        <f>MAX(0,J210-G210)</f>
        <v/>
      </c>
      <c r="R210" s="4">
        <f>IF(AND(N210=1,O210=1),"On Track",IF(O210=0,"Customer Delivery Late","Ship Late"))</f>
        <v/>
      </c>
    </row>
    <row r="211">
      <c r="A211" s="2" t="inlineStr">
        <is>
          <t>ORD-00210</t>
        </is>
      </c>
      <c r="B211" s="2" t="inlineStr">
        <is>
          <t>Customer 25</t>
        </is>
      </c>
      <c r="C211" s="2" t="inlineStr">
        <is>
          <t>Contactor</t>
        </is>
      </c>
      <c r="D211" s="2" t="inlineStr">
        <is>
          <t>Plant C</t>
        </is>
      </c>
      <c r="E211" s="2" t="inlineStr">
        <is>
          <t>North</t>
        </is>
      </c>
      <c r="F211" s="12" t="n">
        <v>46180</v>
      </c>
      <c r="G211" s="12" t="n">
        <v>46191</v>
      </c>
      <c r="H211" s="12" t="n">
        <v>46187</v>
      </c>
      <c r="I211" s="12" t="n">
        <v>46186</v>
      </c>
      <c r="J211" s="12" t="n">
        <v>46190</v>
      </c>
      <c r="K211" s="2" t="n">
        <v>1109</v>
      </c>
      <c r="L211" s="2" t="inlineStr">
        <is>
          <t>Road</t>
        </is>
      </c>
      <c r="M211" s="2" t="inlineStr">
        <is>
          <t>No Delay</t>
        </is>
      </c>
      <c r="N211" s="4">
        <f>IF(I211&lt;=H211,1,0)</f>
        <v/>
      </c>
      <c r="O211" s="4">
        <f>IF(J211&lt;=G211,1,0)</f>
        <v/>
      </c>
      <c r="P211" s="4">
        <f>MAX(0,I211-H211)</f>
        <v/>
      </c>
      <c r="Q211" s="4">
        <f>MAX(0,J211-G211)</f>
        <v/>
      </c>
      <c r="R211" s="4">
        <f>IF(AND(N211=1,O211=1),"On Track",IF(O211=0,"Customer Delivery Late","Ship Late"))</f>
        <v/>
      </c>
    </row>
    <row r="212">
      <c r="A212" s="2" t="inlineStr">
        <is>
          <t>ORD-00211</t>
        </is>
      </c>
      <c r="B212" s="2" t="inlineStr">
        <is>
          <t>Customer 11</t>
        </is>
      </c>
      <c r="C212" s="2" t="inlineStr">
        <is>
          <t>Power Supply</t>
        </is>
      </c>
      <c r="D212" s="2" t="inlineStr">
        <is>
          <t>Plant C</t>
        </is>
      </c>
      <c r="E212" s="2" t="inlineStr">
        <is>
          <t>Export</t>
        </is>
      </c>
      <c r="F212" s="12" t="n">
        <v>46116</v>
      </c>
      <c r="G212" s="12" t="n">
        <v>46131</v>
      </c>
      <c r="H212" s="12" t="n">
        <v>46129</v>
      </c>
      <c r="I212" s="12" t="n">
        <v>46128</v>
      </c>
      <c r="J212" s="12" t="n">
        <v>46131</v>
      </c>
      <c r="K212" s="2" t="n">
        <v>1212</v>
      </c>
      <c r="L212" s="2" t="inlineStr">
        <is>
          <t>Road</t>
        </is>
      </c>
      <c r="M212" s="2" t="inlineStr">
        <is>
          <t>No Delay</t>
        </is>
      </c>
      <c r="N212" s="4">
        <f>IF(I212&lt;=H212,1,0)</f>
        <v/>
      </c>
      <c r="O212" s="4">
        <f>IF(J212&lt;=G212,1,0)</f>
        <v/>
      </c>
      <c r="P212" s="4">
        <f>MAX(0,I212-H212)</f>
        <v/>
      </c>
      <c r="Q212" s="4">
        <f>MAX(0,J212-G212)</f>
        <v/>
      </c>
      <c r="R212" s="4">
        <f>IF(AND(N212=1,O212=1),"On Track",IF(O212=0,"Customer Delivery Late","Ship Late"))</f>
        <v/>
      </c>
    </row>
    <row r="213">
      <c r="A213" s="2" t="inlineStr">
        <is>
          <t>ORD-00212</t>
        </is>
      </c>
      <c r="B213" s="2" t="inlineStr">
        <is>
          <t>Customer 05</t>
        </is>
      </c>
      <c r="C213" s="2" t="inlineStr">
        <is>
          <t>Drive</t>
        </is>
      </c>
      <c r="D213" s="2" t="inlineStr">
        <is>
          <t>Plant A</t>
        </is>
      </c>
      <c r="E213" s="2" t="inlineStr">
        <is>
          <t>Central</t>
        </is>
      </c>
      <c r="F213" s="12" t="n">
        <v>46112</v>
      </c>
      <c r="G213" s="12" t="n">
        <v>46128</v>
      </c>
      <c r="H213" s="12" t="n">
        <v>46124</v>
      </c>
      <c r="I213" s="12" t="n">
        <v>46124</v>
      </c>
      <c r="J213" s="12" t="n">
        <v>46129</v>
      </c>
      <c r="K213" s="2" t="n">
        <v>635</v>
      </c>
      <c r="L213" s="2" t="inlineStr">
        <is>
          <t>Road</t>
        </is>
      </c>
      <c r="M213" s="2" t="inlineStr">
        <is>
          <t>Customer Change</t>
        </is>
      </c>
      <c r="N213" s="4">
        <f>IF(I213&lt;=H213,1,0)</f>
        <v/>
      </c>
      <c r="O213" s="4">
        <f>IF(J213&lt;=G213,1,0)</f>
        <v/>
      </c>
      <c r="P213" s="4">
        <f>MAX(0,I213-H213)</f>
        <v/>
      </c>
      <c r="Q213" s="4">
        <f>MAX(0,J213-G213)</f>
        <v/>
      </c>
      <c r="R213" s="4">
        <f>IF(AND(N213=1,O213=1),"On Track",IF(O213=0,"Customer Delivery Late","Ship Late"))</f>
        <v/>
      </c>
    </row>
    <row r="214">
      <c r="A214" s="2" t="inlineStr">
        <is>
          <t>ORD-00213</t>
        </is>
      </c>
      <c r="B214" s="2" t="inlineStr">
        <is>
          <t>Customer 06</t>
        </is>
      </c>
      <c r="C214" s="2" t="inlineStr">
        <is>
          <t>Switchgear</t>
        </is>
      </c>
      <c r="D214" s="2" t="inlineStr">
        <is>
          <t>Plant C</t>
        </is>
      </c>
      <c r="E214" s="2" t="inlineStr">
        <is>
          <t>Central</t>
        </is>
      </c>
      <c r="F214" s="12" t="n">
        <v>46069</v>
      </c>
      <c r="G214" s="12" t="n">
        <v>46085</v>
      </c>
      <c r="H214" s="12" t="n">
        <v>46083</v>
      </c>
      <c r="I214" s="12" t="n">
        <v>46082</v>
      </c>
      <c r="J214" s="12" t="n">
        <v>46085</v>
      </c>
      <c r="K214" s="2" t="n">
        <v>1146</v>
      </c>
      <c r="L214" s="2" t="inlineStr">
        <is>
          <t>Road</t>
        </is>
      </c>
      <c r="M214" s="2" t="inlineStr">
        <is>
          <t>No Delay</t>
        </is>
      </c>
      <c r="N214" s="4">
        <f>IF(I214&lt;=H214,1,0)</f>
        <v/>
      </c>
      <c r="O214" s="4">
        <f>IF(J214&lt;=G214,1,0)</f>
        <v/>
      </c>
      <c r="P214" s="4">
        <f>MAX(0,I214-H214)</f>
        <v/>
      </c>
      <c r="Q214" s="4">
        <f>MAX(0,J214-G214)</f>
        <v/>
      </c>
      <c r="R214" s="4">
        <f>IF(AND(N214=1,O214=1),"On Track",IF(O214=0,"Customer Delivery Late","Ship Late"))</f>
        <v/>
      </c>
    </row>
    <row r="215">
      <c r="A215" s="2" t="inlineStr">
        <is>
          <t>ORD-00214</t>
        </is>
      </c>
      <c r="B215" s="2" t="inlineStr">
        <is>
          <t>Customer 16</t>
        </is>
      </c>
      <c r="C215" s="2" t="inlineStr">
        <is>
          <t>Relay</t>
        </is>
      </c>
      <c r="D215" s="2" t="inlineStr">
        <is>
          <t>Plant A</t>
        </is>
      </c>
      <c r="E215" s="2" t="inlineStr">
        <is>
          <t>Export</t>
        </is>
      </c>
      <c r="F215" s="12" t="n">
        <v>46148</v>
      </c>
      <c r="G215" s="12" t="n">
        <v>46162</v>
      </c>
      <c r="H215" s="12" t="n">
        <v>46160</v>
      </c>
      <c r="I215" s="12" t="n">
        <v>46159</v>
      </c>
      <c r="J215" s="12" t="n">
        <v>46161</v>
      </c>
      <c r="K215" s="2" t="n">
        <v>1160</v>
      </c>
      <c r="L215" s="2" t="inlineStr">
        <is>
          <t>Sea</t>
        </is>
      </c>
      <c r="M215" s="2" t="inlineStr">
        <is>
          <t>No Delay</t>
        </is>
      </c>
      <c r="N215" s="4">
        <f>IF(I215&lt;=H215,1,0)</f>
        <v/>
      </c>
      <c r="O215" s="4">
        <f>IF(J215&lt;=G215,1,0)</f>
        <v/>
      </c>
      <c r="P215" s="4">
        <f>MAX(0,I215-H215)</f>
        <v/>
      </c>
      <c r="Q215" s="4">
        <f>MAX(0,J215-G215)</f>
        <v/>
      </c>
      <c r="R215" s="4">
        <f>IF(AND(N215=1,O215=1),"On Track",IF(O215=0,"Customer Delivery Late","Ship Late"))</f>
        <v/>
      </c>
    </row>
    <row r="216">
      <c r="A216" s="2" t="inlineStr">
        <is>
          <t>ORD-00215</t>
        </is>
      </c>
      <c r="B216" s="2" t="inlineStr">
        <is>
          <t>Customer 19</t>
        </is>
      </c>
      <c r="C216" s="2" t="inlineStr">
        <is>
          <t>Breaker</t>
        </is>
      </c>
      <c r="D216" s="2" t="inlineStr">
        <is>
          <t>Plant A</t>
        </is>
      </c>
      <c r="E216" s="2" t="inlineStr">
        <is>
          <t>South</t>
        </is>
      </c>
      <c r="F216" s="12" t="n">
        <v>46190</v>
      </c>
      <c r="G216" s="12" t="n">
        <v>46210</v>
      </c>
      <c r="H216" s="12" t="n">
        <v>46206</v>
      </c>
      <c r="I216" s="12" t="n">
        <v>46205</v>
      </c>
      <c r="J216" s="12" t="n">
        <v>46209</v>
      </c>
      <c r="K216" s="2" t="n">
        <v>76</v>
      </c>
      <c r="L216" s="2" t="inlineStr">
        <is>
          <t>Air</t>
        </is>
      </c>
      <c r="M216" s="2" t="inlineStr">
        <is>
          <t>No Delay</t>
        </is>
      </c>
      <c r="N216" s="4">
        <f>IF(I216&lt;=H216,1,0)</f>
        <v/>
      </c>
      <c r="O216" s="4">
        <f>IF(J216&lt;=G216,1,0)</f>
        <v/>
      </c>
      <c r="P216" s="4">
        <f>MAX(0,I216-H216)</f>
        <v/>
      </c>
      <c r="Q216" s="4">
        <f>MAX(0,J216-G216)</f>
        <v/>
      </c>
      <c r="R216" s="4">
        <f>IF(AND(N216=1,O216=1),"On Track",IF(O216=0,"Customer Delivery Late","Ship Late"))</f>
        <v/>
      </c>
    </row>
    <row r="217">
      <c r="A217" s="2" t="inlineStr">
        <is>
          <t>ORD-00216</t>
        </is>
      </c>
      <c r="B217" s="2" t="inlineStr">
        <is>
          <t>Customer 19</t>
        </is>
      </c>
      <c r="C217" s="2" t="inlineStr">
        <is>
          <t>Contactor</t>
        </is>
      </c>
      <c r="D217" s="2" t="inlineStr">
        <is>
          <t>Plant B</t>
        </is>
      </c>
      <c r="E217" s="2" t="inlineStr">
        <is>
          <t>South</t>
        </is>
      </c>
      <c r="F217" s="12" t="n">
        <v>46080</v>
      </c>
      <c r="G217" s="12" t="n">
        <v>46102</v>
      </c>
      <c r="H217" s="12" t="n">
        <v>46099</v>
      </c>
      <c r="I217" s="12" t="n">
        <v>46098</v>
      </c>
      <c r="J217" s="12" t="n">
        <v>46102</v>
      </c>
      <c r="K217" s="2" t="n">
        <v>1120</v>
      </c>
      <c r="L217" s="2" t="inlineStr">
        <is>
          <t>Road</t>
        </is>
      </c>
      <c r="M217" s="2" t="inlineStr">
        <is>
          <t>No Delay</t>
        </is>
      </c>
      <c r="N217" s="4">
        <f>IF(I217&lt;=H217,1,0)</f>
        <v/>
      </c>
      <c r="O217" s="4">
        <f>IF(J217&lt;=G217,1,0)</f>
        <v/>
      </c>
      <c r="P217" s="4">
        <f>MAX(0,I217-H217)</f>
        <v/>
      </c>
      <c r="Q217" s="4">
        <f>MAX(0,J217-G217)</f>
        <v/>
      </c>
      <c r="R217" s="4">
        <f>IF(AND(N217=1,O217=1),"On Track",IF(O217=0,"Customer Delivery Late","Ship Late"))</f>
        <v/>
      </c>
    </row>
    <row r="218">
      <c r="A218" s="2" t="inlineStr">
        <is>
          <t>ORD-00217</t>
        </is>
      </c>
      <c r="B218" s="2" t="inlineStr">
        <is>
          <t>Customer 15</t>
        </is>
      </c>
      <c r="C218" s="2" t="inlineStr">
        <is>
          <t>Sensor</t>
        </is>
      </c>
      <c r="D218" s="2" t="inlineStr">
        <is>
          <t>Plant B</t>
        </is>
      </c>
      <c r="E218" s="2" t="inlineStr">
        <is>
          <t>North</t>
        </is>
      </c>
      <c r="F218" s="12" t="n">
        <v>46135</v>
      </c>
      <c r="G218" s="12" t="n">
        <v>46157</v>
      </c>
      <c r="H218" s="12" t="n">
        <v>46155</v>
      </c>
      <c r="I218" s="12" t="n">
        <v>46157</v>
      </c>
      <c r="J218" s="12" t="n">
        <v>46159</v>
      </c>
      <c r="K218" s="2" t="n">
        <v>909</v>
      </c>
      <c r="L218" s="2" t="inlineStr">
        <is>
          <t>Road</t>
        </is>
      </c>
      <c r="M218" s="2" t="inlineStr">
        <is>
          <t>Material Shortage</t>
        </is>
      </c>
      <c r="N218" s="4">
        <f>IF(I218&lt;=H218,1,0)</f>
        <v/>
      </c>
      <c r="O218" s="4">
        <f>IF(J218&lt;=G218,1,0)</f>
        <v/>
      </c>
      <c r="P218" s="4">
        <f>MAX(0,I218-H218)</f>
        <v/>
      </c>
      <c r="Q218" s="4">
        <f>MAX(0,J218-G218)</f>
        <v/>
      </c>
      <c r="R218" s="4">
        <f>IF(AND(N218=1,O218=1),"On Track",IF(O218=0,"Customer Delivery Late","Ship Late"))</f>
        <v/>
      </c>
    </row>
    <row r="219">
      <c r="A219" s="2" t="inlineStr">
        <is>
          <t>ORD-00218</t>
        </is>
      </c>
      <c r="B219" s="2" t="inlineStr">
        <is>
          <t>Customer 26</t>
        </is>
      </c>
      <c r="C219" s="2" t="inlineStr">
        <is>
          <t>PLC</t>
        </is>
      </c>
      <c r="D219" s="2" t="inlineStr">
        <is>
          <t>Plant A</t>
        </is>
      </c>
      <c r="E219" s="2" t="inlineStr">
        <is>
          <t>North</t>
        </is>
      </c>
      <c r="F219" s="12" t="n">
        <v>46083</v>
      </c>
      <c r="G219" s="12" t="n">
        <v>46094</v>
      </c>
      <c r="H219" s="12" t="n">
        <v>46089</v>
      </c>
      <c r="I219" s="12" t="n">
        <v>46089</v>
      </c>
      <c r="J219" s="12" t="n">
        <v>46094</v>
      </c>
      <c r="K219" s="2" t="n">
        <v>1177</v>
      </c>
      <c r="L219" s="2" t="inlineStr">
        <is>
          <t>Air</t>
        </is>
      </c>
      <c r="M219" s="2" t="inlineStr">
        <is>
          <t>No Delay</t>
        </is>
      </c>
      <c r="N219" s="4">
        <f>IF(I219&lt;=H219,1,0)</f>
        <v/>
      </c>
      <c r="O219" s="4">
        <f>IF(J219&lt;=G219,1,0)</f>
        <v/>
      </c>
      <c r="P219" s="4">
        <f>MAX(0,I219-H219)</f>
        <v/>
      </c>
      <c r="Q219" s="4">
        <f>MAX(0,J219-G219)</f>
        <v/>
      </c>
      <c r="R219" s="4">
        <f>IF(AND(N219=1,O219=1),"On Track",IF(O219=0,"Customer Delivery Late","Ship Late"))</f>
        <v/>
      </c>
    </row>
    <row r="220">
      <c r="A220" s="2" t="inlineStr">
        <is>
          <t>ORD-00219</t>
        </is>
      </c>
      <c r="B220" s="2" t="inlineStr">
        <is>
          <t>Customer 28</t>
        </is>
      </c>
      <c r="C220" s="2" t="inlineStr">
        <is>
          <t>Contactor</t>
        </is>
      </c>
      <c r="D220" s="2" t="inlineStr">
        <is>
          <t>Plant A</t>
        </is>
      </c>
      <c r="E220" s="2" t="inlineStr">
        <is>
          <t>Export</t>
        </is>
      </c>
      <c r="F220" s="12" t="n">
        <v>46159</v>
      </c>
      <c r="G220" s="12" t="n">
        <v>46172</v>
      </c>
      <c r="H220" s="12" t="n">
        <v>46167</v>
      </c>
      <c r="I220" s="12" t="n">
        <v>46166</v>
      </c>
      <c r="J220" s="12" t="n">
        <v>46171</v>
      </c>
      <c r="K220" s="2" t="n">
        <v>131</v>
      </c>
      <c r="L220" s="2" t="inlineStr">
        <is>
          <t>Air</t>
        </is>
      </c>
      <c r="M220" s="2" t="inlineStr">
        <is>
          <t>No Delay</t>
        </is>
      </c>
      <c r="N220" s="4">
        <f>IF(I220&lt;=H220,1,0)</f>
        <v/>
      </c>
      <c r="O220" s="4">
        <f>IF(J220&lt;=G220,1,0)</f>
        <v/>
      </c>
      <c r="P220" s="4">
        <f>MAX(0,I220-H220)</f>
        <v/>
      </c>
      <c r="Q220" s="4">
        <f>MAX(0,J220-G220)</f>
        <v/>
      </c>
      <c r="R220" s="4">
        <f>IF(AND(N220=1,O220=1),"On Track",IF(O220=0,"Customer Delivery Late","Ship Late"))</f>
        <v/>
      </c>
    </row>
    <row r="221">
      <c r="A221" s="2" t="inlineStr">
        <is>
          <t>ORD-00220</t>
        </is>
      </c>
      <c r="B221" s="2" t="inlineStr">
        <is>
          <t>Customer 22</t>
        </is>
      </c>
      <c r="C221" s="2" t="inlineStr">
        <is>
          <t>Power Supply</t>
        </is>
      </c>
      <c r="D221" s="2" t="inlineStr">
        <is>
          <t>Plant B</t>
        </is>
      </c>
      <c r="E221" s="2" t="inlineStr">
        <is>
          <t>Central</t>
        </is>
      </c>
      <c r="F221" s="12" t="n">
        <v>46190</v>
      </c>
      <c r="G221" s="12" t="n">
        <v>46199</v>
      </c>
      <c r="H221" s="12" t="n">
        <v>46197</v>
      </c>
      <c r="I221" s="12" t="n">
        <v>46197</v>
      </c>
      <c r="J221" s="12" t="n">
        <v>46199</v>
      </c>
      <c r="K221" s="2" t="n">
        <v>1192</v>
      </c>
      <c r="L221" s="2" t="inlineStr">
        <is>
          <t>Sea</t>
        </is>
      </c>
      <c r="M221" s="2" t="inlineStr">
        <is>
          <t>No Delay</t>
        </is>
      </c>
      <c r="N221" s="4">
        <f>IF(I221&lt;=H221,1,0)</f>
        <v/>
      </c>
      <c r="O221" s="4">
        <f>IF(J221&lt;=G221,1,0)</f>
        <v/>
      </c>
      <c r="P221" s="4">
        <f>MAX(0,I221-H221)</f>
        <v/>
      </c>
      <c r="Q221" s="4">
        <f>MAX(0,J221-G221)</f>
        <v/>
      </c>
      <c r="R221" s="4">
        <f>IF(AND(N221=1,O221=1),"On Track",IF(O221=0,"Customer Delivery Late","Ship Late"))</f>
        <v/>
      </c>
    </row>
    <row r="222">
      <c r="A222" s="2" t="inlineStr">
        <is>
          <t>ORD-00221</t>
        </is>
      </c>
      <c r="B222" s="2" t="inlineStr">
        <is>
          <t>Customer 09</t>
        </is>
      </c>
      <c r="C222" s="2" t="inlineStr">
        <is>
          <t>Drive</t>
        </is>
      </c>
      <c r="D222" s="2" t="inlineStr">
        <is>
          <t>Plant B</t>
        </is>
      </c>
      <c r="E222" s="2" t="inlineStr">
        <is>
          <t>Export</t>
        </is>
      </c>
      <c r="F222" s="12" t="n">
        <v>46091</v>
      </c>
      <c r="G222" s="12" t="n">
        <v>46116</v>
      </c>
      <c r="H222" s="12" t="n">
        <v>46112</v>
      </c>
      <c r="I222" s="12" t="n">
        <v>46110</v>
      </c>
      <c r="J222" s="12" t="n">
        <v>46114</v>
      </c>
      <c r="K222" s="2" t="n">
        <v>680</v>
      </c>
      <c r="L222" s="2" t="inlineStr">
        <is>
          <t>Sea</t>
        </is>
      </c>
      <c r="M222" s="2" t="inlineStr">
        <is>
          <t>No Delay</t>
        </is>
      </c>
      <c r="N222" s="4">
        <f>IF(I222&lt;=H222,1,0)</f>
        <v/>
      </c>
      <c r="O222" s="4">
        <f>IF(J222&lt;=G222,1,0)</f>
        <v/>
      </c>
      <c r="P222" s="4">
        <f>MAX(0,I222-H222)</f>
        <v/>
      </c>
      <c r="Q222" s="4">
        <f>MAX(0,J222-G222)</f>
        <v/>
      </c>
      <c r="R222" s="4">
        <f>IF(AND(N222=1,O222=1),"On Track",IF(O222=0,"Customer Delivery Late","Ship Late"))</f>
        <v/>
      </c>
    </row>
    <row r="223">
      <c r="A223" s="2" t="inlineStr">
        <is>
          <t>ORD-00222</t>
        </is>
      </c>
      <c r="B223" s="2" t="inlineStr">
        <is>
          <t>Customer 13</t>
        </is>
      </c>
      <c r="C223" s="2" t="inlineStr">
        <is>
          <t>PLC</t>
        </is>
      </c>
      <c r="D223" s="2" t="inlineStr">
        <is>
          <t>Plant B</t>
        </is>
      </c>
      <c r="E223" s="2" t="inlineStr">
        <is>
          <t>Central</t>
        </is>
      </c>
      <c r="F223" s="12" t="n">
        <v>46023</v>
      </c>
      <c r="G223" s="12" t="n">
        <v>46030</v>
      </c>
      <c r="H223" s="12" t="n">
        <v>46026</v>
      </c>
      <c r="I223" s="12" t="n">
        <v>46026</v>
      </c>
      <c r="J223" s="12" t="n">
        <v>46029</v>
      </c>
      <c r="K223" s="2" t="n">
        <v>1023</v>
      </c>
      <c r="L223" s="2" t="inlineStr">
        <is>
          <t>Air</t>
        </is>
      </c>
      <c r="M223" s="2" t="inlineStr">
        <is>
          <t>No Delay</t>
        </is>
      </c>
      <c r="N223" s="4">
        <f>IF(I223&lt;=H223,1,0)</f>
        <v/>
      </c>
      <c r="O223" s="4">
        <f>IF(J223&lt;=G223,1,0)</f>
        <v/>
      </c>
      <c r="P223" s="4">
        <f>MAX(0,I223-H223)</f>
        <v/>
      </c>
      <c r="Q223" s="4">
        <f>MAX(0,J223-G223)</f>
        <v/>
      </c>
      <c r="R223" s="4">
        <f>IF(AND(N223=1,O223=1),"On Track",IF(O223=0,"Customer Delivery Late","Ship Late"))</f>
        <v/>
      </c>
    </row>
    <row r="224">
      <c r="A224" s="2" t="inlineStr">
        <is>
          <t>ORD-00223</t>
        </is>
      </c>
      <c r="B224" s="2" t="inlineStr">
        <is>
          <t>Customer 25</t>
        </is>
      </c>
      <c r="C224" s="2" t="inlineStr">
        <is>
          <t>Breaker</t>
        </is>
      </c>
      <c r="D224" s="2" t="inlineStr">
        <is>
          <t>Plant A</t>
        </is>
      </c>
      <c r="E224" s="2" t="inlineStr">
        <is>
          <t>North</t>
        </is>
      </c>
      <c r="F224" s="12" t="n">
        <v>46105</v>
      </c>
      <c r="G224" s="12" t="n">
        <v>46119</v>
      </c>
      <c r="H224" s="12" t="n">
        <v>46116</v>
      </c>
      <c r="I224" s="12" t="n">
        <v>46114</v>
      </c>
      <c r="J224" s="12" t="n">
        <v>46117</v>
      </c>
      <c r="K224" s="2" t="n">
        <v>1292</v>
      </c>
      <c r="L224" s="2" t="inlineStr">
        <is>
          <t>Air</t>
        </is>
      </c>
      <c r="M224" s="2" t="inlineStr">
        <is>
          <t>No Delay</t>
        </is>
      </c>
      <c r="N224" s="4">
        <f>IF(I224&lt;=H224,1,0)</f>
        <v/>
      </c>
      <c r="O224" s="4">
        <f>IF(J224&lt;=G224,1,0)</f>
        <v/>
      </c>
      <c r="P224" s="4">
        <f>MAX(0,I224-H224)</f>
        <v/>
      </c>
      <c r="Q224" s="4">
        <f>MAX(0,J224-G224)</f>
        <v/>
      </c>
      <c r="R224" s="4">
        <f>IF(AND(N224=1,O224=1),"On Track",IF(O224=0,"Customer Delivery Late","Ship Late"))</f>
        <v/>
      </c>
    </row>
    <row r="225">
      <c r="A225" s="2" t="inlineStr">
        <is>
          <t>ORD-00224</t>
        </is>
      </c>
      <c r="B225" s="2" t="inlineStr">
        <is>
          <t>Customer 30</t>
        </is>
      </c>
      <c r="C225" s="2" t="inlineStr">
        <is>
          <t>Relay</t>
        </is>
      </c>
      <c r="D225" s="2" t="inlineStr">
        <is>
          <t>Plant C</t>
        </is>
      </c>
      <c r="E225" s="2" t="inlineStr">
        <is>
          <t>South</t>
        </is>
      </c>
      <c r="F225" s="12" t="n">
        <v>46027</v>
      </c>
      <c r="G225" s="12" t="n">
        <v>46035</v>
      </c>
      <c r="H225" s="12" t="n">
        <v>46033</v>
      </c>
      <c r="I225" s="12" t="n">
        <v>46031</v>
      </c>
      <c r="J225" s="12" t="n">
        <v>46033</v>
      </c>
      <c r="K225" s="2" t="n">
        <v>335</v>
      </c>
      <c r="L225" s="2" t="inlineStr">
        <is>
          <t>Air</t>
        </is>
      </c>
      <c r="M225" s="2" t="inlineStr">
        <is>
          <t>No Delay</t>
        </is>
      </c>
      <c r="N225" s="4">
        <f>IF(I225&lt;=H225,1,0)</f>
        <v/>
      </c>
      <c r="O225" s="4">
        <f>IF(J225&lt;=G225,1,0)</f>
        <v/>
      </c>
      <c r="P225" s="4">
        <f>MAX(0,I225-H225)</f>
        <v/>
      </c>
      <c r="Q225" s="4">
        <f>MAX(0,J225-G225)</f>
        <v/>
      </c>
      <c r="R225" s="4">
        <f>IF(AND(N225=1,O225=1),"On Track",IF(O225=0,"Customer Delivery Late","Ship Late"))</f>
        <v/>
      </c>
    </row>
    <row r="226">
      <c r="A226" s="2" t="inlineStr">
        <is>
          <t>ORD-00225</t>
        </is>
      </c>
      <c r="B226" s="2" t="inlineStr">
        <is>
          <t>Customer 10</t>
        </is>
      </c>
      <c r="C226" s="2" t="inlineStr">
        <is>
          <t>PLC</t>
        </is>
      </c>
      <c r="D226" s="2" t="inlineStr">
        <is>
          <t>Plant B</t>
        </is>
      </c>
      <c r="E226" s="2" t="inlineStr">
        <is>
          <t>North</t>
        </is>
      </c>
      <c r="F226" s="12" t="n">
        <v>46046</v>
      </c>
      <c r="G226" s="12" t="n">
        <v>46071</v>
      </c>
      <c r="H226" s="12" t="n">
        <v>46068</v>
      </c>
      <c r="I226" s="12" t="n">
        <v>46067</v>
      </c>
      <c r="J226" s="12" t="n">
        <v>46069</v>
      </c>
      <c r="K226" s="2" t="n">
        <v>1451</v>
      </c>
      <c r="L226" s="2" t="inlineStr">
        <is>
          <t>Road</t>
        </is>
      </c>
      <c r="M226" s="2" t="inlineStr">
        <is>
          <t>No Delay</t>
        </is>
      </c>
      <c r="N226" s="4">
        <f>IF(I226&lt;=H226,1,0)</f>
        <v/>
      </c>
      <c r="O226" s="4">
        <f>IF(J226&lt;=G226,1,0)</f>
        <v/>
      </c>
      <c r="P226" s="4">
        <f>MAX(0,I226-H226)</f>
        <v/>
      </c>
      <c r="Q226" s="4">
        <f>MAX(0,J226-G226)</f>
        <v/>
      </c>
      <c r="R226" s="4">
        <f>IF(AND(N226=1,O226=1),"On Track",IF(O226=0,"Customer Delivery Late","Ship Late"))</f>
        <v/>
      </c>
    </row>
    <row r="227">
      <c r="A227" s="2" t="inlineStr">
        <is>
          <t>ORD-00226</t>
        </is>
      </c>
      <c r="B227" s="2" t="inlineStr">
        <is>
          <t>Customer 01</t>
        </is>
      </c>
      <c r="C227" s="2" t="inlineStr">
        <is>
          <t>Drive</t>
        </is>
      </c>
      <c r="D227" s="2" t="inlineStr">
        <is>
          <t>Plant A</t>
        </is>
      </c>
      <c r="E227" s="2" t="inlineStr">
        <is>
          <t>Export</t>
        </is>
      </c>
      <c r="F227" s="12" t="n">
        <v>46023</v>
      </c>
      <c r="G227" s="12" t="n">
        <v>46034</v>
      </c>
      <c r="H227" s="12" t="n">
        <v>46030</v>
      </c>
      <c r="I227" s="12" t="n">
        <v>46030</v>
      </c>
      <c r="J227" s="12" t="n">
        <v>46035</v>
      </c>
      <c r="K227" s="2" t="n">
        <v>1431</v>
      </c>
      <c r="L227" s="2" t="inlineStr">
        <is>
          <t>Road</t>
        </is>
      </c>
      <c r="M227" s="2" t="inlineStr">
        <is>
          <t>Material Shortage</t>
        </is>
      </c>
      <c r="N227" s="4">
        <f>IF(I227&lt;=H227,1,0)</f>
        <v/>
      </c>
      <c r="O227" s="4">
        <f>IF(J227&lt;=G227,1,0)</f>
        <v/>
      </c>
      <c r="P227" s="4">
        <f>MAX(0,I227-H227)</f>
        <v/>
      </c>
      <c r="Q227" s="4">
        <f>MAX(0,J227-G227)</f>
        <v/>
      </c>
      <c r="R227" s="4">
        <f>IF(AND(N227=1,O227=1),"On Track",IF(O227=0,"Customer Delivery Late","Ship Late"))</f>
        <v/>
      </c>
    </row>
    <row r="228">
      <c r="A228" s="2" t="inlineStr">
        <is>
          <t>ORD-00227</t>
        </is>
      </c>
      <c r="B228" s="2" t="inlineStr">
        <is>
          <t>Customer 29</t>
        </is>
      </c>
      <c r="C228" s="2" t="inlineStr">
        <is>
          <t>Sensor</t>
        </is>
      </c>
      <c r="D228" s="2" t="inlineStr">
        <is>
          <t>Plant A</t>
        </is>
      </c>
      <c r="E228" s="2" t="inlineStr">
        <is>
          <t>Export</t>
        </is>
      </c>
      <c r="F228" s="12" t="n">
        <v>46145</v>
      </c>
      <c r="G228" s="12" t="n">
        <v>46152</v>
      </c>
      <c r="H228" s="12" t="n">
        <v>46150</v>
      </c>
      <c r="I228" s="12" t="n">
        <v>46150</v>
      </c>
      <c r="J228" s="12" t="n">
        <v>46151</v>
      </c>
      <c r="K228" s="2" t="n">
        <v>282</v>
      </c>
      <c r="L228" s="2" t="inlineStr">
        <is>
          <t>Sea</t>
        </is>
      </c>
      <c r="M228" s="2" t="inlineStr">
        <is>
          <t>No Delay</t>
        </is>
      </c>
      <c r="N228" s="4">
        <f>IF(I228&lt;=H228,1,0)</f>
        <v/>
      </c>
      <c r="O228" s="4">
        <f>IF(J228&lt;=G228,1,0)</f>
        <v/>
      </c>
      <c r="P228" s="4">
        <f>MAX(0,I228-H228)</f>
        <v/>
      </c>
      <c r="Q228" s="4">
        <f>MAX(0,J228-G228)</f>
        <v/>
      </c>
      <c r="R228" s="4">
        <f>IF(AND(N228=1,O228=1),"On Track",IF(O228=0,"Customer Delivery Late","Ship Late"))</f>
        <v/>
      </c>
    </row>
    <row r="229">
      <c r="A229" s="2" t="inlineStr">
        <is>
          <t>ORD-00228</t>
        </is>
      </c>
      <c r="B229" s="2" t="inlineStr">
        <is>
          <t>Customer 07</t>
        </is>
      </c>
      <c r="C229" s="2" t="inlineStr">
        <is>
          <t>Relay</t>
        </is>
      </c>
      <c r="D229" s="2" t="inlineStr">
        <is>
          <t>Plant B</t>
        </is>
      </c>
      <c r="E229" s="2" t="inlineStr">
        <is>
          <t>Export</t>
        </is>
      </c>
      <c r="F229" s="12" t="n">
        <v>46196</v>
      </c>
      <c r="G229" s="12" t="n">
        <v>46205</v>
      </c>
      <c r="H229" s="12" t="n">
        <v>46204</v>
      </c>
      <c r="I229" s="12" t="n">
        <v>46202</v>
      </c>
      <c r="J229" s="12" t="n">
        <v>46203</v>
      </c>
      <c r="K229" s="2" t="n">
        <v>454</v>
      </c>
      <c r="L229" s="2" t="inlineStr">
        <is>
          <t>Road</t>
        </is>
      </c>
      <c r="M229" s="2" t="inlineStr">
        <is>
          <t>No Delay</t>
        </is>
      </c>
      <c r="N229" s="4">
        <f>IF(I229&lt;=H229,1,0)</f>
        <v/>
      </c>
      <c r="O229" s="4">
        <f>IF(J229&lt;=G229,1,0)</f>
        <v/>
      </c>
      <c r="P229" s="4">
        <f>MAX(0,I229-H229)</f>
        <v/>
      </c>
      <c r="Q229" s="4">
        <f>MAX(0,J229-G229)</f>
        <v/>
      </c>
      <c r="R229" s="4">
        <f>IF(AND(N229=1,O229=1),"On Track",IF(O229=0,"Customer Delivery Late","Ship Late"))</f>
        <v/>
      </c>
    </row>
    <row r="230">
      <c r="A230" s="2" t="inlineStr">
        <is>
          <t>ORD-00229</t>
        </is>
      </c>
      <c r="B230" s="2" t="inlineStr">
        <is>
          <t>Customer 05</t>
        </is>
      </c>
      <c r="C230" s="2" t="inlineStr">
        <is>
          <t>PLC</t>
        </is>
      </c>
      <c r="D230" s="2" t="inlineStr">
        <is>
          <t>Plant B</t>
        </is>
      </c>
      <c r="E230" s="2" t="inlineStr">
        <is>
          <t>North</t>
        </is>
      </c>
      <c r="F230" s="12" t="n">
        <v>46048</v>
      </c>
      <c r="G230" s="12" t="n">
        <v>46057</v>
      </c>
      <c r="H230" s="12" t="n">
        <v>46056</v>
      </c>
      <c r="I230" s="12" t="n">
        <v>46055</v>
      </c>
      <c r="J230" s="12" t="n">
        <v>46056</v>
      </c>
      <c r="K230" s="2" t="n">
        <v>518</v>
      </c>
      <c r="L230" s="2" t="inlineStr">
        <is>
          <t>Sea</t>
        </is>
      </c>
      <c r="M230" s="2" t="inlineStr">
        <is>
          <t>No Delay</t>
        </is>
      </c>
      <c r="N230" s="4">
        <f>IF(I230&lt;=H230,1,0)</f>
        <v/>
      </c>
      <c r="O230" s="4">
        <f>IF(J230&lt;=G230,1,0)</f>
        <v/>
      </c>
      <c r="P230" s="4">
        <f>MAX(0,I230-H230)</f>
        <v/>
      </c>
      <c r="Q230" s="4">
        <f>MAX(0,J230-G230)</f>
        <v/>
      </c>
      <c r="R230" s="4">
        <f>IF(AND(N230=1,O230=1),"On Track",IF(O230=0,"Customer Delivery Late","Ship Late"))</f>
        <v/>
      </c>
    </row>
    <row r="231">
      <c r="A231" s="2" t="inlineStr">
        <is>
          <t>ORD-00230</t>
        </is>
      </c>
      <c r="B231" s="2" t="inlineStr">
        <is>
          <t>Customer 20</t>
        </is>
      </c>
      <c r="C231" s="2" t="inlineStr">
        <is>
          <t>PLC</t>
        </is>
      </c>
      <c r="D231" s="2" t="inlineStr">
        <is>
          <t>Plant C</t>
        </is>
      </c>
      <c r="E231" s="2" t="inlineStr">
        <is>
          <t>Export</t>
        </is>
      </c>
      <c r="F231" s="12" t="n">
        <v>46176</v>
      </c>
      <c r="G231" s="12" t="n">
        <v>46200</v>
      </c>
      <c r="H231" s="12" t="n">
        <v>46195</v>
      </c>
      <c r="I231" s="12" t="n">
        <v>46195</v>
      </c>
      <c r="J231" s="12" t="n">
        <v>46200</v>
      </c>
      <c r="K231" s="2" t="n">
        <v>615</v>
      </c>
      <c r="L231" s="2" t="inlineStr">
        <is>
          <t>Sea</t>
        </is>
      </c>
      <c r="M231" s="2" t="inlineStr">
        <is>
          <t>No Delay</t>
        </is>
      </c>
      <c r="N231" s="4">
        <f>IF(I231&lt;=H231,1,0)</f>
        <v/>
      </c>
      <c r="O231" s="4">
        <f>IF(J231&lt;=G231,1,0)</f>
        <v/>
      </c>
      <c r="P231" s="4">
        <f>MAX(0,I231-H231)</f>
        <v/>
      </c>
      <c r="Q231" s="4">
        <f>MAX(0,J231-G231)</f>
        <v/>
      </c>
      <c r="R231" s="4">
        <f>IF(AND(N231=1,O231=1),"On Track",IF(O231=0,"Customer Delivery Late","Ship Late"))</f>
        <v/>
      </c>
    </row>
    <row r="232">
      <c r="A232" s="2" t="inlineStr">
        <is>
          <t>ORD-00231</t>
        </is>
      </c>
      <c r="B232" s="2" t="inlineStr">
        <is>
          <t>Customer 29</t>
        </is>
      </c>
      <c r="C232" s="2" t="inlineStr">
        <is>
          <t>Breaker</t>
        </is>
      </c>
      <c r="D232" s="2" t="inlineStr">
        <is>
          <t>Plant B</t>
        </is>
      </c>
      <c r="E232" s="2" t="inlineStr">
        <is>
          <t>South</t>
        </is>
      </c>
      <c r="F232" s="12" t="n">
        <v>46036</v>
      </c>
      <c r="G232" s="12" t="n">
        <v>46048</v>
      </c>
      <c r="H232" s="12" t="n">
        <v>46044</v>
      </c>
      <c r="I232" s="12" t="n">
        <v>46042</v>
      </c>
      <c r="J232" s="12" t="n">
        <v>46047</v>
      </c>
      <c r="K232" s="2" t="n">
        <v>280</v>
      </c>
      <c r="L232" s="2" t="inlineStr">
        <is>
          <t>Air</t>
        </is>
      </c>
      <c r="M232" s="2" t="inlineStr">
        <is>
          <t>No Delay</t>
        </is>
      </c>
      <c r="N232" s="4">
        <f>IF(I232&lt;=H232,1,0)</f>
        <v/>
      </c>
      <c r="O232" s="4">
        <f>IF(J232&lt;=G232,1,0)</f>
        <v/>
      </c>
      <c r="P232" s="4">
        <f>MAX(0,I232-H232)</f>
        <v/>
      </c>
      <c r="Q232" s="4">
        <f>MAX(0,J232-G232)</f>
        <v/>
      </c>
      <c r="R232" s="4">
        <f>IF(AND(N232=1,O232=1),"On Track",IF(O232=0,"Customer Delivery Late","Ship Late"))</f>
        <v/>
      </c>
    </row>
    <row r="233">
      <c r="A233" s="2" t="inlineStr">
        <is>
          <t>ORD-00232</t>
        </is>
      </c>
      <c r="B233" s="2" t="inlineStr">
        <is>
          <t>Customer 09</t>
        </is>
      </c>
      <c r="C233" s="2" t="inlineStr">
        <is>
          <t>PLC</t>
        </is>
      </c>
      <c r="D233" s="2" t="inlineStr">
        <is>
          <t>Plant A</t>
        </is>
      </c>
      <c r="E233" s="2" t="inlineStr">
        <is>
          <t>North</t>
        </is>
      </c>
      <c r="F233" s="12" t="n">
        <v>46168</v>
      </c>
      <c r="G233" s="12" t="n">
        <v>46186</v>
      </c>
      <c r="H233" s="12" t="n">
        <v>46183</v>
      </c>
      <c r="I233" s="12" t="n">
        <v>46181</v>
      </c>
      <c r="J233" s="12" t="n">
        <v>46187</v>
      </c>
      <c r="K233" s="2" t="n">
        <v>825</v>
      </c>
      <c r="L233" s="2" t="inlineStr">
        <is>
          <t>Sea</t>
        </is>
      </c>
      <c r="M233" s="2" t="inlineStr">
        <is>
          <t>Material Shortage</t>
        </is>
      </c>
      <c r="N233" s="4">
        <f>IF(I233&lt;=H233,1,0)</f>
        <v/>
      </c>
      <c r="O233" s="4">
        <f>IF(J233&lt;=G233,1,0)</f>
        <v/>
      </c>
      <c r="P233" s="4">
        <f>MAX(0,I233-H233)</f>
        <v/>
      </c>
      <c r="Q233" s="4">
        <f>MAX(0,J233-G233)</f>
        <v/>
      </c>
      <c r="R233" s="4">
        <f>IF(AND(N233=1,O233=1),"On Track",IF(O233=0,"Customer Delivery Late","Ship Late"))</f>
        <v/>
      </c>
    </row>
    <row r="234">
      <c r="A234" s="2" t="inlineStr">
        <is>
          <t>ORD-00233</t>
        </is>
      </c>
      <c r="B234" s="2" t="inlineStr">
        <is>
          <t>Customer 18</t>
        </is>
      </c>
      <c r="C234" s="2" t="inlineStr">
        <is>
          <t>Relay</t>
        </is>
      </c>
      <c r="D234" s="2" t="inlineStr">
        <is>
          <t>Plant B</t>
        </is>
      </c>
      <c r="E234" s="2" t="inlineStr">
        <is>
          <t>North</t>
        </is>
      </c>
      <c r="F234" s="12" t="n">
        <v>46096</v>
      </c>
      <c r="G234" s="12" t="n">
        <v>46121</v>
      </c>
      <c r="H234" s="12" t="n">
        <v>46116</v>
      </c>
      <c r="I234" s="12" t="n">
        <v>46115</v>
      </c>
      <c r="J234" s="12" t="n">
        <v>46119</v>
      </c>
      <c r="K234" s="2" t="n">
        <v>644</v>
      </c>
      <c r="L234" s="2" t="inlineStr">
        <is>
          <t>Road</t>
        </is>
      </c>
      <c r="M234" s="2" t="inlineStr">
        <is>
          <t>No Delay</t>
        </is>
      </c>
      <c r="N234" s="4">
        <f>IF(I234&lt;=H234,1,0)</f>
        <v/>
      </c>
      <c r="O234" s="4">
        <f>IF(J234&lt;=G234,1,0)</f>
        <v/>
      </c>
      <c r="P234" s="4">
        <f>MAX(0,I234-H234)</f>
        <v/>
      </c>
      <c r="Q234" s="4">
        <f>MAX(0,J234-G234)</f>
        <v/>
      </c>
      <c r="R234" s="4">
        <f>IF(AND(N234=1,O234=1),"On Track",IF(O234=0,"Customer Delivery Late","Ship Late"))</f>
        <v/>
      </c>
    </row>
    <row r="235">
      <c r="A235" s="2" t="inlineStr">
        <is>
          <t>ORD-00234</t>
        </is>
      </c>
      <c r="B235" s="2" t="inlineStr">
        <is>
          <t>Customer 24</t>
        </is>
      </c>
      <c r="C235" s="2" t="inlineStr">
        <is>
          <t>PLC</t>
        </is>
      </c>
      <c r="D235" s="2" t="inlineStr">
        <is>
          <t>Plant A</t>
        </is>
      </c>
      <c r="E235" s="2" t="inlineStr">
        <is>
          <t>Central</t>
        </is>
      </c>
      <c r="F235" s="12" t="n">
        <v>46153</v>
      </c>
      <c r="G235" s="12" t="n">
        <v>46164</v>
      </c>
      <c r="H235" s="12" t="n">
        <v>46162</v>
      </c>
      <c r="I235" s="12" t="n">
        <v>46161</v>
      </c>
      <c r="J235" s="12" t="n">
        <v>46163</v>
      </c>
      <c r="K235" s="2" t="n">
        <v>186</v>
      </c>
      <c r="L235" s="2" t="inlineStr">
        <is>
          <t>Air</t>
        </is>
      </c>
      <c r="M235" s="2" t="inlineStr">
        <is>
          <t>No Delay</t>
        </is>
      </c>
      <c r="N235" s="4">
        <f>IF(I235&lt;=H235,1,0)</f>
        <v/>
      </c>
      <c r="O235" s="4">
        <f>IF(J235&lt;=G235,1,0)</f>
        <v/>
      </c>
      <c r="P235" s="4">
        <f>MAX(0,I235-H235)</f>
        <v/>
      </c>
      <c r="Q235" s="4">
        <f>MAX(0,J235-G235)</f>
        <v/>
      </c>
      <c r="R235" s="4">
        <f>IF(AND(N235=1,O235=1),"On Track",IF(O235=0,"Customer Delivery Late","Ship Late"))</f>
        <v/>
      </c>
    </row>
    <row r="236">
      <c r="A236" s="2" t="inlineStr">
        <is>
          <t>ORD-00235</t>
        </is>
      </c>
      <c r="B236" s="2" t="inlineStr">
        <is>
          <t>Customer 01</t>
        </is>
      </c>
      <c r="C236" s="2" t="inlineStr">
        <is>
          <t>Relay</t>
        </is>
      </c>
      <c r="D236" s="2" t="inlineStr">
        <is>
          <t>Plant B</t>
        </is>
      </c>
      <c r="E236" s="2" t="inlineStr">
        <is>
          <t>South</t>
        </is>
      </c>
      <c r="F236" s="12" t="n">
        <v>46052</v>
      </c>
      <c r="G236" s="12" t="n">
        <v>46071</v>
      </c>
      <c r="H236" s="12" t="n">
        <v>46066</v>
      </c>
      <c r="I236" s="12" t="n">
        <v>46065</v>
      </c>
      <c r="J236" s="12" t="n">
        <v>46073</v>
      </c>
      <c r="K236" s="2" t="n">
        <v>1081</v>
      </c>
      <c r="L236" s="2" t="inlineStr">
        <is>
          <t>Sea</t>
        </is>
      </c>
      <c r="M236" s="2" t="inlineStr">
        <is>
          <t>Customer Change</t>
        </is>
      </c>
      <c r="N236" s="4">
        <f>IF(I236&lt;=H236,1,0)</f>
        <v/>
      </c>
      <c r="O236" s="4">
        <f>IF(J236&lt;=G236,1,0)</f>
        <v/>
      </c>
      <c r="P236" s="4">
        <f>MAX(0,I236-H236)</f>
        <v/>
      </c>
      <c r="Q236" s="4">
        <f>MAX(0,J236-G236)</f>
        <v/>
      </c>
      <c r="R236" s="4">
        <f>IF(AND(N236=1,O236=1),"On Track",IF(O236=0,"Customer Delivery Late","Ship Late"))</f>
        <v/>
      </c>
    </row>
    <row r="237">
      <c r="A237" s="2" t="inlineStr">
        <is>
          <t>ORD-00236</t>
        </is>
      </c>
      <c r="B237" s="2" t="inlineStr">
        <is>
          <t>Customer 14</t>
        </is>
      </c>
      <c r="C237" s="2" t="inlineStr">
        <is>
          <t>Sensor</t>
        </is>
      </c>
      <c r="D237" s="2" t="inlineStr">
        <is>
          <t>Plant C</t>
        </is>
      </c>
      <c r="E237" s="2" t="inlineStr">
        <is>
          <t>North</t>
        </is>
      </c>
      <c r="F237" s="12" t="n">
        <v>46089</v>
      </c>
      <c r="G237" s="12" t="n">
        <v>46099</v>
      </c>
      <c r="H237" s="12" t="n">
        <v>46096</v>
      </c>
      <c r="I237" s="12" t="n">
        <v>46095</v>
      </c>
      <c r="J237" s="12" t="n">
        <v>46097</v>
      </c>
      <c r="K237" s="2" t="n">
        <v>548</v>
      </c>
      <c r="L237" s="2" t="inlineStr">
        <is>
          <t>Sea</t>
        </is>
      </c>
      <c r="M237" s="2" t="inlineStr">
        <is>
          <t>No Delay</t>
        </is>
      </c>
      <c r="N237" s="4">
        <f>IF(I237&lt;=H237,1,0)</f>
        <v/>
      </c>
      <c r="O237" s="4">
        <f>IF(J237&lt;=G237,1,0)</f>
        <v/>
      </c>
      <c r="P237" s="4">
        <f>MAX(0,I237-H237)</f>
        <v/>
      </c>
      <c r="Q237" s="4">
        <f>MAX(0,J237-G237)</f>
        <v/>
      </c>
      <c r="R237" s="4">
        <f>IF(AND(N237=1,O237=1),"On Track",IF(O237=0,"Customer Delivery Late","Ship Late"))</f>
        <v/>
      </c>
    </row>
    <row r="238">
      <c r="A238" s="2" t="inlineStr">
        <is>
          <t>ORD-00237</t>
        </is>
      </c>
      <c r="B238" s="2" t="inlineStr">
        <is>
          <t>Customer 19</t>
        </is>
      </c>
      <c r="C238" s="2" t="inlineStr">
        <is>
          <t>Relay</t>
        </is>
      </c>
      <c r="D238" s="2" t="inlineStr">
        <is>
          <t>Plant B</t>
        </is>
      </c>
      <c r="E238" s="2" t="inlineStr">
        <is>
          <t>Central</t>
        </is>
      </c>
      <c r="F238" s="12" t="n">
        <v>46170</v>
      </c>
      <c r="G238" s="12" t="n">
        <v>46195</v>
      </c>
      <c r="H238" s="12" t="n">
        <v>46194</v>
      </c>
      <c r="I238" s="12" t="n">
        <v>46194</v>
      </c>
      <c r="J238" s="12" t="n">
        <v>46195</v>
      </c>
      <c r="K238" s="2" t="n">
        <v>532</v>
      </c>
      <c r="L238" s="2" t="inlineStr">
        <is>
          <t>Road</t>
        </is>
      </c>
      <c r="M238" s="2" t="inlineStr">
        <is>
          <t>No Delay</t>
        </is>
      </c>
      <c r="N238" s="4">
        <f>IF(I238&lt;=H238,1,0)</f>
        <v/>
      </c>
      <c r="O238" s="4">
        <f>IF(J238&lt;=G238,1,0)</f>
        <v/>
      </c>
      <c r="P238" s="4">
        <f>MAX(0,I238-H238)</f>
        <v/>
      </c>
      <c r="Q238" s="4">
        <f>MAX(0,J238-G238)</f>
        <v/>
      </c>
      <c r="R238" s="4">
        <f>IF(AND(N238=1,O238=1),"On Track",IF(O238=0,"Customer Delivery Late","Ship Late"))</f>
        <v/>
      </c>
    </row>
    <row r="239">
      <c r="A239" s="2" t="inlineStr">
        <is>
          <t>ORD-00238</t>
        </is>
      </c>
      <c r="B239" s="2" t="inlineStr">
        <is>
          <t>Customer 16</t>
        </is>
      </c>
      <c r="C239" s="2" t="inlineStr">
        <is>
          <t>Drive</t>
        </is>
      </c>
      <c r="D239" s="2" t="inlineStr">
        <is>
          <t>Plant B</t>
        </is>
      </c>
      <c r="E239" s="2" t="inlineStr">
        <is>
          <t>Central</t>
        </is>
      </c>
      <c r="F239" s="12" t="n">
        <v>46169</v>
      </c>
      <c r="G239" s="12" t="n">
        <v>46177</v>
      </c>
      <c r="H239" s="12" t="n">
        <v>46175</v>
      </c>
      <c r="I239" s="12" t="n">
        <v>46173</v>
      </c>
      <c r="J239" s="12" t="n">
        <v>46174</v>
      </c>
      <c r="K239" s="2" t="n">
        <v>376</v>
      </c>
      <c r="L239" s="2" t="inlineStr">
        <is>
          <t>Road</t>
        </is>
      </c>
      <c r="M239" s="2" t="inlineStr">
        <is>
          <t>No Delay</t>
        </is>
      </c>
      <c r="N239" s="4">
        <f>IF(I239&lt;=H239,1,0)</f>
        <v/>
      </c>
      <c r="O239" s="4">
        <f>IF(J239&lt;=G239,1,0)</f>
        <v/>
      </c>
      <c r="P239" s="4">
        <f>MAX(0,I239-H239)</f>
        <v/>
      </c>
      <c r="Q239" s="4">
        <f>MAX(0,J239-G239)</f>
        <v/>
      </c>
      <c r="R239" s="4">
        <f>IF(AND(N239=1,O239=1),"On Track",IF(O239=0,"Customer Delivery Late","Ship Late"))</f>
        <v/>
      </c>
    </row>
    <row r="240">
      <c r="A240" s="2" t="inlineStr">
        <is>
          <t>ORD-00239</t>
        </is>
      </c>
      <c r="B240" s="2" t="inlineStr">
        <is>
          <t>Customer 03</t>
        </is>
      </c>
      <c r="C240" s="2" t="inlineStr">
        <is>
          <t>Drive</t>
        </is>
      </c>
      <c r="D240" s="2" t="inlineStr">
        <is>
          <t>Plant A</t>
        </is>
      </c>
      <c r="E240" s="2" t="inlineStr">
        <is>
          <t>North</t>
        </is>
      </c>
      <c r="F240" s="12" t="n">
        <v>46164</v>
      </c>
      <c r="G240" s="12" t="n">
        <v>46189</v>
      </c>
      <c r="H240" s="12" t="n">
        <v>46185</v>
      </c>
      <c r="I240" s="12" t="n">
        <v>46183</v>
      </c>
      <c r="J240" s="12" t="n">
        <v>46187</v>
      </c>
      <c r="K240" s="2" t="n">
        <v>377</v>
      </c>
      <c r="L240" s="2" t="inlineStr">
        <is>
          <t>Road</t>
        </is>
      </c>
      <c r="M240" s="2" t="inlineStr">
        <is>
          <t>No Delay</t>
        </is>
      </c>
      <c r="N240" s="4">
        <f>IF(I240&lt;=H240,1,0)</f>
        <v/>
      </c>
      <c r="O240" s="4">
        <f>IF(J240&lt;=G240,1,0)</f>
        <v/>
      </c>
      <c r="P240" s="4">
        <f>MAX(0,I240-H240)</f>
        <v/>
      </c>
      <c r="Q240" s="4">
        <f>MAX(0,J240-G240)</f>
        <v/>
      </c>
      <c r="R240" s="4">
        <f>IF(AND(N240=1,O240=1),"On Track",IF(O240=0,"Customer Delivery Late","Ship Late"))</f>
        <v/>
      </c>
    </row>
    <row r="241">
      <c r="A241" s="2" t="inlineStr">
        <is>
          <t>ORD-00240</t>
        </is>
      </c>
      <c r="B241" s="2" t="inlineStr">
        <is>
          <t>Customer 18</t>
        </is>
      </c>
      <c r="C241" s="2" t="inlineStr">
        <is>
          <t>Switchgear</t>
        </is>
      </c>
      <c r="D241" s="2" t="inlineStr">
        <is>
          <t>Plant A</t>
        </is>
      </c>
      <c r="E241" s="2" t="inlineStr">
        <is>
          <t>South</t>
        </is>
      </c>
      <c r="F241" s="12" t="n">
        <v>46155</v>
      </c>
      <c r="G241" s="12" t="n">
        <v>46161</v>
      </c>
      <c r="H241" s="12" t="n">
        <v>46157</v>
      </c>
      <c r="I241" s="12" t="n">
        <v>46156</v>
      </c>
      <c r="J241" s="12" t="n">
        <v>46160</v>
      </c>
      <c r="K241" s="2" t="n">
        <v>420</v>
      </c>
      <c r="L241" s="2" t="inlineStr">
        <is>
          <t>Air</t>
        </is>
      </c>
      <c r="M241" s="2" t="inlineStr">
        <is>
          <t>No Delay</t>
        </is>
      </c>
      <c r="N241" s="4">
        <f>IF(I241&lt;=H241,1,0)</f>
        <v/>
      </c>
      <c r="O241" s="4">
        <f>IF(J241&lt;=G241,1,0)</f>
        <v/>
      </c>
      <c r="P241" s="4">
        <f>MAX(0,I241-H241)</f>
        <v/>
      </c>
      <c r="Q241" s="4">
        <f>MAX(0,J241-G241)</f>
        <v/>
      </c>
      <c r="R241" s="4">
        <f>IF(AND(N241=1,O241=1),"On Track",IF(O241=0,"Customer Delivery Late","Ship Late"))</f>
        <v/>
      </c>
    </row>
    <row r="242">
      <c r="A242" s="2" t="inlineStr">
        <is>
          <t>ORD-00241</t>
        </is>
      </c>
      <c r="B242" s="2" t="inlineStr">
        <is>
          <t>Customer 18</t>
        </is>
      </c>
      <c r="C242" s="2" t="inlineStr">
        <is>
          <t>PLC</t>
        </is>
      </c>
      <c r="D242" s="2" t="inlineStr">
        <is>
          <t>Plant A</t>
        </is>
      </c>
      <c r="E242" s="2" t="inlineStr">
        <is>
          <t>North</t>
        </is>
      </c>
      <c r="F242" s="12" t="n">
        <v>46167</v>
      </c>
      <c r="G242" s="12" t="n">
        <v>46181</v>
      </c>
      <c r="H242" s="12" t="n">
        <v>46176</v>
      </c>
      <c r="I242" s="12" t="n">
        <v>46175</v>
      </c>
      <c r="J242" s="12" t="n">
        <v>46180</v>
      </c>
      <c r="K242" s="2" t="n">
        <v>849</v>
      </c>
      <c r="L242" s="2" t="inlineStr">
        <is>
          <t>Road</t>
        </is>
      </c>
      <c r="M242" s="2" t="inlineStr">
        <is>
          <t>No Delay</t>
        </is>
      </c>
      <c r="N242" s="4">
        <f>IF(I242&lt;=H242,1,0)</f>
        <v/>
      </c>
      <c r="O242" s="4">
        <f>IF(J242&lt;=G242,1,0)</f>
        <v/>
      </c>
      <c r="P242" s="4">
        <f>MAX(0,I242-H242)</f>
        <v/>
      </c>
      <c r="Q242" s="4">
        <f>MAX(0,J242-G242)</f>
        <v/>
      </c>
      <c r="R242" s="4">
        <f>IF(AND(N242=1,O242=1),"On Track",IF(O242=0,"Customer Delivery Late","Ship Late"))</f>
        <v/>
      </c>
    </row>
    <row r="243">
      <c r="A243" s="2" t="inlineStr">
        <is>
          <t>ORD-00242</t>
        </is>
      </c>
      <c r="B243" s="2" t="inlineStr">
        <is>
          <t>Customer 24</t>
        </is>
      </c>
      <c r="C243" s="2" t="inlineStr">
        <is>
          <t>Sensor</t>
        </is>
      </c>
      <c r="D243" s="2" t="inlineStr">
        <is>
          <t>Plant A</t>
        </is>
      </c>
      <c r="E243" s="2" t="inlineStr">
        <is>
          <t>Central</t>
        </is>
      </c>
      <c r="F243" s="12" t="n">
        <v>46082</v>
      </c>
      <c r="G243" s="12" t="n">
        <v>46104</v>
      </c>
      <c r="H243" s="12" t="n">
        <v>46101</v>
      </c>
      <c r="I243" s="12" t="n">
        <v>46101</v>
      </c>
      <c r="J243" s="12" t="n">
        <v>46108</v>
      </c>
      <c r="K243" s="2" t="n">
        <v>1095</v>
      </c>
      <c r="L243" s="2" t="inlineStr">
        <is>
          <t>Road</t>
        </is>
      </c>
      <c r="M243" s="2" t="inlineStr">
        <is>
          <t>Customer Change</t>
        </is>
      </c>
      <c r="N243" s="4">
        <f>IF(I243&lt;=H243,1,0)</f>
        <v/>
      </c>
      <c r="O243" s="4">
        <f>IF(J243&lt;=G243,1,0)</f>
        <v/>
      </c>
      <c r="P243" s="4">
        <f>MAX(0,I243-H243)</f>
        <v/>
      </c>
      <c r="Q243" s="4">
        <f>MAX(0,J243-G243)</f>
        <v/>
      </c>
      <c r="R243" s="4">
        <f>IF(AND(N243=1,O243=1),"On Track",IF(O243=0,"Customer Delivery Late","Ship Late"))</f>
        <v/>
      </c>
    </row>
    <row r="244">
      <c r="A244" s="2" t="inlineStr">
        <is>
          <t>ORD-00243</t>
        </is>
      </c>
      <c r="B244" s="2" t="inlineStr">
        <is>
          <t>Customer 29</t>
        </is>
      </c>
      <c r="C244" s="2" t="inlineStr">
        <is>
          <t>Power Supply</t>
        </is>
      </c>
      <c r="D244" s="2" t="inlineStr">
        <is>
          <t>Plant C</t>
        </is>
      </c>
      <c r="E244" s="2" t="inlineStr">
        <is>
          <t>South</t>
        </is>
      </c>
      <c r="F244" s="12" t="n">
        <v>46130</v>
      </c>
      <c r="G244" s="12" t="n">
        <v>46150</v>
      </c>
      <c r="H244" s="12" t="n">
        <v>46149</v>
      </c>
      <c r="I244" s="12" t="n">
        <v>46152</v>
      </c>
      <c r="J244" s="12" t="n">
        <v>46153</v>
      </c>
      <c r="K244" s="2" t="n">
        <v>948</v>
      </c>
      <c r="L244" s="2" t="inlineStr">
        <is>
          <t>Sea</t>
        </is>
      </c>
      <c r="M244" s="2" t="inlineStr">
        <is>
          <t>Production Delay</t>
        </is>
      </c>
      <c r="N244" s="4">
        <f>IF(I244&lt;=H244,1,0)</f>
        <v/>
      </c>
      <c r="O244" s="4">
        <f>IF(J244&lt;=G244,1,0)</f>
        <v/>
      </c>
      <c r="P244" s="4">
        <f>MAX(0,I244-H244)</f>
        <v/>
      </c>
      <c r="Q244" s="4">
        <f>MAX(0,J244-G244)</f>
        <v/>
      </c>
      <c r="R244" s="4">
        <f>IF(AND(N244=1,O244=1),"On Track",IF(O244=0,"Customer Delivery Late","Ship Late"))</f>
        <v/>
      </c>
    </row>
    <row r="245">
      <c r="A245" s="2" t="inlineStr">
        <is>
          <t>ORD-00244</t>
        </is>
      </c>
      <c r="B245" s="2" t="inlineStr">
        <is>
          <t>Customer 02</t>
        </is>
      </c>
      <c r="C245" s="2" t="inlineStr">
        <is>
          <t>Power Supply</t>
        </is>
      </c>
      <c r="D245" s="2" t="inlineStr">
        <is>
          <t>Plant C</t>
        </is>
      </c>
      <c r="E245" s="2" t="inlineStr">
        <is>
          <t>Central</t>
        </is>
      </c>
      <c r="F245" s="12" t="n">
        <v>46044</v>
      </c>
      <c r="G245" s="12" t="n">
        <v>46067</v>
      </c>
      <c r="H245" s="12" t="n">
        <v>46066</v>
      </c>
      <c r="I245" s="12" t="n">
        <v>46066</v>
      </c>
      <c r="J245" s="12" t="n">
        <v>46067</v>
      </c>
      <c r="K245" s="2" t="n">
        <v>494</v>
      </c>
      <c r="L245" s="2" t="inlineStr">
        <is>
          <t>Air</t>
        </is>
      </c>
      <c r="M245" s="2" t="inlineStr">
        <is>
          <t>No Delay</t>
        </is>
      </c>
      <c r="N245" s="4">
        <f>IF(I245&lt;=H245,1,0)</f>
        <v/>
      </c>
      <c r="O245" s="4">
        <f>IF(J245&lt;=G245,1,0)</f>
        <v/>
      </c>
      <c r="P245" s="4">
        <f>MAX(0,I245-H245)</f>
        <v/>
      </c>
      <c r="Q245" s="4">
        <f>MAX(0,J245-G245)</f>
        <v/>
      </c>
      <c r="R245" s="4">
        <f>IF(AND(N245=1,O245=1),"On Track",IF(O245=0,"Customer Delivery Late","Ship Late"))</f>
        <v/>
      </c>
    </row>
    <row r="246">
      <c r="A246" s="2" t="inlineStr">
        <is>
          <t>ORD-00245</t>
        </is>
      </c>
      <c r="B246" s="2" t="inlineStr">
        <is>
          <t>Customer 08</t>
        </is>
      </c>
      <c r="C246" s="2" t="inlineStr">
        <is>
          <t>Contactor</t>
        </is>
      </c>
      <c r="D246" s="2" t="inlineStr">
        <is>
          <t>Plant A</t>
        </is>
      </c>
      <c r="E246" s="2" t="inlineStr">
        <is>
          <t>Central</t>
        </is>
      </c>
      <c r="F246" s="12" t="n">
        <v>46089</v>
      </c>
      <c r="G246" s="12" t="n">
        <v>46104</v>
      </c>
      <c r="H246" s="12" t="n">
        <v>46100</v>
      </c>
      <c r="I246" s="12" t="n">
        <v>46100</v>
      </c>
      <c r="J246" s="12" t="n">
        <v>46104</v>
      </c>
      <c r="K246" s="2" t="n">
        <v>1207</v>
      </c>
      <c r="L246" s="2" t="inlineStr">
        <is>
          <t>Road</t>
        </is>
      </c>
      <c r="M246" s="2" t="inlineStr">
        <is>
          <t>No Delay</t>
        </is>
      </c>
      <c r="N246" s="4">
        <f>IF(I246&lt;=H246,1,0)</f>
        <v/>
      </c>
      <c r="O246" s="4">
        <f>IF(J246&lt;=G246,1,0)</f>
        <v/>
      </c>
      <c r="P246" s="4">
        <f>MAX(0,I246-H246)</f>
        <v/>
      </c>
      <c r="Q246" s="4">
        <f>MAX(0,J246-G246)</f>
        <v/>
      </c>
      <c r="R246" s="4">
        <f>IF(AND(N246=1,O246=1),"On Track",IF(O246=0,"Customer Delivery Late","Ship Late"))</f>
        <v/>
      </c>
    </row>
    <row r="247">
      <c r="A247" s="2" t="inlineStr">
        <is>
          <t>ORD-00246</t>
        </is>
      </c>
      <c r="B247" s="2" t="inlineStr">
        <is>
          <t>Customer 25</t>
        </is>
      </c>
      <c r="C247" s="2" t="inlineStr">
        <is>
          <t>PLC</t>
        </is>
      </c>
      <c r="D247" s="2" t="inlineStr">
        <is>
          <t>Plant B</t>
        </is>
      </c>
      <c r="E247" s="2" t="inlineStr">
        <is>
          <t>South</t>
        </is>
      </c>
      <c r="F247" s="12" t="n">
        <v>46062</v>
      </c>
      <c r="G247" s="12" t="n">
        <v>46070</v>
      </c>
      <c r="H247" s="12" t="n">
        <v>46068</v>
      </c>
      <c r="I247" s="12" t="n">
        <v>46067</v>
      </c>
      <c r="J247" s="12" t="n">
        <v>46068</v>
      </c>
      <c r="K247" s="2" t="n">
        <v>958</v>
      </c>
      <c r="L247" s="2" t="inlineStr">
        <is>
          <t>Air</t>
        </is>
      </c>
      <c r="M247" s="2" t="inlineStr">
        <is>
          <t>No Delay</t>
        </is>
      </c>
      <c r="N247" s="4">
        <f>IF(I247&lt;=H247,1,0)</f>
        <v/>
      </c>
      <c r="O247" s="4">
        <f>IF(J247&lt;=G247,1,0)</f>
        <v/>
      </c>
      <c r="P247" s="4">
        <f>MAX(0,I247-H247)</f>
        <v/>
      </c>
      <c r="Q247" s="4">
        <f>MAX(0,J247-G247)</f>
        <v/>
      </c>
      <c r="R247" s="4">
        <f>IF(AND(N247=1,O247=1),"On Track",IF(O247=0,"Customer Delivery Late","Ship Late"))</f>
        <v/>
      </c>
    </row>
    <row r="248">
      <c r="A248" s="2" t="inlineStr">
        <is>
          <t>ORD-00247</t>
        </is>
      </c>
      <c r="B248" s="2" t="inlineStr">
        <is>
          <t>Customer 11</t>
        </is>
      </c>
      <c r="C248" s="2" t="inlineStr">
        <is>
          <t>Relay</t>
        </is>
      </c>
      <c r="D248" s="2" t="inlineStr">
        <is>
          <t>Plant A</t>
        </is>
      </c>
      <c r="E248" s="2" t="inlineStr">
        <is>
          <t>Central</t>
        </is>
      </c>
      <c r="F248" s="12" t="n">
        <v>46053</v>
      </c>
      <c r="G248" s="12" t="n">
        <v>46060</v>
      </c>
      <c r="H248" s="12" t="n">
        <v>46058</v>
      </c>
      <c r="I248" s="12" t="n">
        <v>46057</v>
      </c>
      <c r="J248" s="12" t="n">
        <v>46059</v>
      </c>
      <c r="K248" s="2" t="n">
        <v>738</v>
      </c>
      <c r="L248" s="2" t="inlineStr">
        <is>
          <t>Air</t>
        </is>
      </c>
      <c r="M248" s="2" t="inlineStr">
        <is>
          <t>No Delay</t>
        </is>
      </c>
      <c r="N248" s="4">
        <f>IF(I248&lt;=H248,1,0)</f>
        <v/>
      </c>
      <c r="O248" s="4">
        <f>IF(J248&lt;=G248,1,0)</f>
        <v/>
      </c>
      <c r="P248" s="4">
        <f>MAX(0,I248-H248)</f>
        <v/>
      </c>
      <c r="Q248" s="4">
        <f>MAX(0,J248-G248)</f>
        <v/>
      </c>
      <c r="R248" s="4">
        <f>IF(AND(N248=1,O248=1),"On Track",IF(O248=0,"Customer Delivery Late","Ship Late"))</f>
        <v/>
      </c>
    </row>
    <row r="249">
      <c r="A249" s="2" t="inlineStr">
        <is>
          <t>ORD-00248</t>
        </is>
      </c>
      <c r="B249" s="2" t="inlineStr">
        <is>
          <t>Customer 18</t>
        </is>
      </c>
      <c r="C249" s="2" t="inlineStr">
        <is>
          <t>PLC</t>
        </is>
      </c>
      <c r="D249" s="2" t="inlineStr">
        <is>
          <t>Plant A</t>
        </is>
      </c>
      <c r="E249" s="2" t="inlineStr">
        <is>
          <t>Export</t>
        </is>
      </c>
      <c r="F249" s="12" t="n">
        <v>46154</v>
      </c>
      <c r="G249" s="12" t="n">
        <v>46160</v>
      </c>
      <c r="H249" s="12" t="n">
        <v>46157</v>
      </c>
      <c r="I249" s="12" t="n">
        <v>46155</v>
      </c>
      <c r="J249" s="12" t="n">
        <v>46158</v>
      </c>
      <c r="K249" s="2" t="n">
        <v>218</v>
      </c>
      <c r="L249" s="2" t="inlineStr">
        <is>
          <t>Road</t>
        </is>
      </c>
      <c r="M249" s="2" t="inlineStr">
        <is>
          <t>No Delay</t>
        </is>
      </c>
      <c r="N249" s="4">
        <f>IF(I249&lt;=H249,1,0)</f>
        <v/>
      </c>
      <c r="O249" s="4">
        <f>IF(J249&lt;=G249,1,0)</f>
        <v/>
      </c>
      <c r="P249" s="4">
        <f>MAX(0,I249-H249)</f>
        <v/>
      </c>
      <c r="Q249" s="4">
        <f>MAX(0,J249-G249)</f>
        <v/>
      </c>
      <c r="R249" s="4">
        <f>IF(AND(N249=1,O249=1),"On Track",IF(O249=0,"Customer Delivery Late","Ship Late"))</f>
        <v/>
      </c>
    </row>
    <row r="250">
      <c r="A250" s="2" t="inlineStr">
        <is>
          <t>ORD-00249</t>
        </is>
      </c>
      <c r="B250" s="2" t="inlineStr">
        <is>
          <t>Customer 12</t>
        </is>
      </c>
      <c r="C250" s="2" t="inlineStr">
        <is>
          <t>Contactor</t>
        </is>
      </c>
      <c r="D250" s="2" t="inlineStr">
        <is>
          <t>Plant C</t>
        </is>
      </c>
      <c r="E250" s="2" t="inlineStr">
        <is>
          <t>South</t>
        </is>
      </c>
      <c r="F250" s="12" t="n">
        <v>46054</v>
      </c>
      <c r="G250" s="12" t="n">
        <v>46059</v>
      </c>
      <c r="H250" s="12" t="n">
        <v>46058</v>
      </c>
      <c r="I250" s="12" t="n">
        <v>46056</v>
      </c>
      <c r="J250" s="12" t="n">
        <v>46057</v>
      </c>
      <c r="K250" s="2" t="n">
        <v>163</v>
      </c>
      <c r="L250" s="2" t="inlineStr">
        <is>
          <t>Road</t>
        </is>
      </c>
      <c r="M250" s="2" t="inlineStr">
        <is>
          <t>No Delay</t>
        </is>
      </c>
      <c r="N250" s="4">
        <f>IF(I250&lt;=H250,1,0)</f>
        <v/>
      </c>
      <c r="O250" s="4">
        <f>IF(J250&lt;=G250,1,0)</f>
        <v/>
      </c>
      <c r="P250" s="4">
        <f>MAX(0,I250-H250)</f>
        <v/>
      </c>
      <c r="Q250" s="4">
        <f>MAX(0,J250-G250)</f>
        <v/>
      </c>
      <c r="R250" s="4">
        <f>IF(AND(N250=1,O250=1),"On Track",IF(O250=0,"Customer Delivery Late","Ship Late"))</f>
        <v/>
      </c>
    </row>
    <row r="251">
      <c r="A251" s="2" t="inlineStr">
        <is>
          <t>ORD-00250</t>
        </is>
      </c>
      <c r="B251" s="2" t="inlineStr">
        <is>
          <t>Customer 15</t>
        </is>
      </c>
      <c r="C251" s="2" t="inlineStr">
        <is>
          <t>Breaker</t>
        </is>
      </c>
      <c r="D251" s="2" t="inlineStr">
        <is>
          <t>Plant A</t>
        </is>
      </c>
      <c r="E251" s="2" t="inlineStr">
        <is>
          <t>Export</t>
        </is>
      </c>
      <c r="F251" s="12" t="n">
        <v>46039</v>
      </c>
      <c r="G251" s="12" t="n">
        <v>46050</v>
      </c>
      <c r="H251" s="12" t="n">
        <v>46046</v>
      </c>
      <c r="I251" s="12" t="n">
        <v>46044</v>
      </c>
      <c r="J251" s="12" t="n">
        <v>46047</v>
      </c>
      <c r="K251" s="2" t="n">
        <v>1493</v>
      </c>
      <c r="L251" s="2" t="inlineStr">
        <is>
          <t>Air</t>
        </is>
      </c>
      <c r="M251" s="2" t="inlineStr">
        <is>
          <t>No Delay</t>
        </is>
      </c>
      <c r="N251" s="4">
        <f>IF(I251&lt;=H251,1,0)</f>
        <v/>
      </c>
      <c r="O251" s="4">
        <f>IF(J251&lt;=G251,1,0)</f>
        <v/>
      </c>
      <c r="P251" s="4">
        <f>MAX(0,I251-H251)</f>
        <v/>
      </c>
      <c r="Q251" s="4">
        <f>MAX(0,J251-G251)</f>
        <v/>
      </c>
      <c r="R251" s="4">
        <f>IF(AND(N251=1,O251=1),"On Track",IF(O251=0,"Customer Delivery Late","Ship Late"))</f>
        <v/>
      </c>
    </row>
    <row r="252">
      <c r="A252" s="2" t="inlineStr">
        <is>
          <t>ORD-00251</t>
        </is>
      </c>
      <c r="B252" s="2" t="inlineStr">
        <is>
          <t>Customer 09</t>
        </is>
      </c>
      <c r="C252" s="2" t="inlineStr">
        <is>
          <t>Sensor</t>
        </is>
      </c>
      <c r="D252" s="2" t="inlineStr">
        <is>
          <t>Plant B</t>
        </is>
      </c>
      <c r="E252" s="2" t="inlineStr">
        <is>
          <t>Central</t>
        </is>
      </c>
      <c r="F252" s="12" t="n">
        <v>46150</v>
      </c>
      <c r="G252" s="12" t="n">
        <v>46155</v>
      </c>
      <c r="H252" s="12" t="n">
        <v>46151</v>
      </c>
      <c r="I252" s="12" t="n">
        <v>46149</v>
      </c>
      <c r="J252" s="12" t="n">
        <v>46153</v>
      </c>
      <c r="K252" s="2" t="n">
        <v>80</v>
      </c>
      <c r="L252" s="2" t="inlineStr">
        <is>
          <t>Sea</t>
        </is>
      </c>
      <c r="M252" s="2" t="inlineStr">
        <is>
          <t>No Delay</t>
        </is>
      </c>
      <c r="N252" s="4">
        <f>IF(I252&lt;=H252,1,0)</f>
        <v/>
      </c>
      <c r="O252" s="4">
        <f>IF(J252&lt;=G252,1,0)</f>
        <v/>
      </c>
      <c r="P252" s="4">
        <f>MAX(0,I252-H252)</f>
        <v/>
      </c>
      <c r="Q252" s="4">
        <f>MAX(0,J252-G252)</f>
        <v/>
      </c>
      <c r="R252" s="4">
        <f>IF(AND(N252=1,O252=1),"On Track",IF(O252=0,"Customer Delivery Late","Ship Late"))</f>
        <v/>
      </c>
    </row>
    <row r="253">
      <c r="A253" s="2" t="inlineStr">
        <is>
          <t>ORD-00252</t>
        </is>
      </c>
      <c r="B253" s="2" t="inlineStr">
        <is>
          <t>Customer 03</t>
        </is>
      </c>
      <c r="C253" s="2" t="inlineStr">
        <is>
          <t>Sensor</t>
        </is>
      </c>
      <c r="D253" s="2" t="inlineStr">
        <is>
          <t>Plant B</t>
        </is>
      </c>
      <c r="E253" s="2" t="inlineStr">
        <is>
          <t>Central</t>
        </is>
      </c>
      <c r="F253" s="12" t="n">
        <v>46181</v>
      </c>
      <c r="G253" s="12" t="n">
        <v>46205</v>
      </c>
      <c r="H253" s="12" t="n">
        <v>46203</v>
      </c>
      <c r="I253" s="12" t="n">
        <v>46202</v>
      </c>
      <c r="J253" s="12" t="n">
        <v>46205</v>
      </c>
      <c r="K253" s="2" t="n">
        <v>868</v>
      </c>
      <c r="L253" s="2" t="inlineStr">
        <is>
          <t>Road</t>
        </is>
      </c>
      <c r="M253" s="2" t="inlineStr">
        <is>
          <t>No Delay</t>
        </is>
      </c>
      <c r="N253" s="4">
        <f>IF(I253&lt;=H253,1,0)</f>
        <v/>
      </c>
      <c r="O253" s="4">
        <f>IF(J253&lt;=G253,1,0)</f>
        <v/>
      </c>
      <c r="P253" s="4">
        <f>MAX(0,I253-H253)</f>
        <v/>
      </c>
      <c r="Q253" s="4">
        <f>MAX(0,J253-G253)</f>
        <v/>
      </c>
      <c r="R253" s="4">
        <f>IF(AND(N253=1,O253=1),"On Track",IF(O253=0,"Customer Delivery Late","Ship Late"))</f>
        <v/>
      </c>
    </row>
    <row r="254">
      <c r="A254" s="2" t="inlineStr">
        <is>
          <t>ORD-00253</t>
        </is>
      </c>
      <c r="B254" s="2" t="inlineStr">
        <is>
          <t>Customer 12</t>
        </is>
      </c>
      <c r="C254" s="2" t="inlineStr">
        <is>
          <t>Switchgear</t>
        </is>
      </c>
      <c r="D254" s="2" t="inlineStr">
        <is>
          <t>Plant C</t>
        </is>
      </c>
      <c r="E254" s="2" t="inlineStr">
        <is>
          <t>Export</t>
        </is>
      </c>
      <c r="F254" s="12" t="n">
        <v>46187</v>
      </c>
      <c r="G254" s="12" t="n">
        <v>46208</v>
      </c>
      <c r="H254" s="12" t="n">
        <v>46206</v>
      </c>
      <c r="I254" s="12" t="n">
        <v>46206</v>
      </c>
      <c r="J254" s="12" t="n">
        <v>46208</v>
      </c>
      <c r="K254" s="2" t="n">
        <v>714</v>
      </c>
      <c r="L254" s="2" t="inlineStr">
        <is>
          <t>Sea</t>
        </is>
      </c>
      <c r="M254" s="2" t="inlineStr">
        <is>
          <t>No Delay</t>
        </is>
      </c>
      <c r="N254" s="4">
        <f>IF(I254&lt;=H254,1,0)</f>
        <v/>
      </c>
      <c r="O254" s="4">
        <f>IF(J254&lt;=G254,1,0)</f>
        <v/>
      </c>
      <c r="P254" s="4">
        <f>MAX(0,I254-H254)</f>
        <v/>
      </c>
      <c r="Q254" s="4">
        <f>MAX(0,J254-G254)</f>
        <v/>
      </c>
      <c r="R254" s="4">
        <f>IF(AND(N254=1,O254=1),"On Track",IF(O254=0,"Customer Delivery Late","Ship Late"))</f>
        <v/>
      </c>
    </row>
    <row r="255">
      <c r="A255" s="2" t="inlineStr">
        <is>
          <t>ORD-00254</t>
        </is>
      </c>
      <c r="B255" s="2" t="inlineStr">
        <is>
          <t>Customer 29</t>
        </is>
      </c>
      <c r="C255" s="2" t="inlineStr">
        <is>
          <t>Sensor</t>
        </is>
      </c>
      <c r="D255" s="2" t="inlineStr">
        <is>
          <t>Plant A</t>
        </is>
      </c>
      <c r="E255" s="2" t="inlineStr">
        <is>
          <t>Export</t>
        </is>
      </c>
      <c r="F255" s="12" t="n">
        <v>46151</v>
      </c>
      <c r="G255" s="12" t="n">
        <v>46166</v>
      </c>
      <c r="H255" s="12" t="n">
        <v>46162</v>
      </c>
      <c r="I255" s="12" t="n">
        <v>46160</v>
      </c>
      <c r="J255" s="12" t="n">
        <v>46165</v>
      </c>
      <c r="K255" s="2" t="n">
        <v>1094</v>
      </c>
      <c r="L255" s="2" t="inlineStr">
        <is>
          <t>Air</t>
        </is>
      </c>
      <c r="M255" s="2" t="inlineStr">
        <is>
          <t>No Delay</t>
        </is>
      </c>
      <c r="N255" s="4">
        <f>IF(I255&lt;=H255,1,0)</f>
        <v/>
      </c>
      <c r="O255" s="4">
        <f>IF(J255&lt;=G255,1,0)</f>
        <v/>
      </c>
      <c r="P255" s="4">
        <f>MAX(0,I255-H255)</f>
        <v/>
      </c>
      <c r="Q255" s="4">
        <f>MAX(0,J255-G255)</f>
        <v/>
      </c>
      <c r="R255" s="4">
        <f>IF(AND(N255=1,O255=1),"On Track",IF(O255=0,"Customer Delivery Late","Ship Late"))</f>
        <v/>
      </c>
    </row>
    <row r="256">
      <c r="A256" s="2" t="inlineStr">
        <is>
          <t>ORD-00255</t>
        </is>
      </c>
      <c r="B256" s="2" t="inlineStr">
        <is>
          <t>Customer 26</t>
        </is>
      </c>
      <c r="C256" s="2" t="inlineStr">
        <is>
          <t>Breaker</t>
        </is>
      </c>
      <c r="D256" s="2" t="inlineStr">
        <is>
          <t>Plant A</t>
        </is>
      </c>
      <c r="E256" s="2" t="inlineStr">
        <is>
          <t>Export</t>
        </is>
      </c>
      <c r="F256" s="12" t="n">
        <v>46172</v>
      </c>
      <c r="G256" s="12" t="n">
        <v>46184</v>
      </c>
      <c r="H256" s="12" t="n">
        <v>46182</v>
      </c>
      <c r="I256" s="12" t="n">
        <v>46182</v>
      </c>
      <c r="J256" s="12" t="n">
        <v>46184</v>
      </c>
      <c r="K256" s="2" t="n">
        <v>736</v>
      </c>
      <c r="L256" s="2" t="inlineStr">
        <is>
          <t>Road</t>
        </is>
      </c>
      <c r="M256" s="2" t="inlineStr">
        <is>
          <t>No Delay</t>
        </is>
      </c>
      <c r="N256" s="4">
        <f>IF(I256&lt;=H256,1,0)</f>
        <v/>
      </c>
      <c r="O256" s="4">
        <f>IF(J256&lt;=G256,1,0)</f>
        <v/>
      </c>
      <c r="P256" s="4">
        <f>MAX(0,I256-H256)</f>
        <v/>
      </c>
      <c r="Q256" s="4">
        <f>MAX(0,J256-G256)</f>
        <v/>
      </c>
      <c r="R256" s="4">
        <f>IF(AND(N256=1,O256=1),"On Track",IF(O256=0,"Customer Delivery Late","Ship Late"))</f>
        <v/>
      </c>
    </row>
    <row r="257">
      <c r="A257" s="2" t="inlineStr">
        <is>
          <t>ORD-00256</t>
        </is>
      </c>
      <c r="B257" s="2" t="inlineStr">
        <is>
          <t>Customer 12</t>
        </is>
      </c>
      <c r="C257" s="2" t="inlineStr">
        <is>
          <t>Relay</t>
        </is>
      </c>
      <c r="D257" s="2" t="inlineStr">
        <is>
          <t>Plant C</t>
        </is>
      </c>
      <c r="E257" s="2" t="inlineStr">
        <is>
          <t>Central</t>
        </is>
      </c>
      <c r="F257" s="12" t="n">
        <v>46068</v>
      </c>
      <c r="G257" s="12" t="n">
        <v>46080</v>
      </c>
      <c r="H257" s="12" t="n">
        <v>46075</v>
      </c>
      <c r="I257" s="12" t="n">
        <v>46075</v>
      </c>
      <c r="J257" s="12" t="n">
        <v>46081</v>
      </c>
      <c r="K257" s="2" t="n">
        <v>1018</v>
      </c>
      <c r="L257" s="2" t="inlineStr">
        <is>
          <t>Sea</t>
        </is>
      </c>
      <c r="M257" s="2" t="inlineStr">
        <is>
          <t>Customer Change</t>
        </is>
      </c>
      <c r="N257" s="4">
        <f>IF(I257&lt;=H257,1,0)</f>
        <v/>
      </c>
      <c r="O257" s="4">
        <f>IF(J257&lt;=G257,1,0)</f>
        <v/>
      </c>
      <c r="P257" s="4">
        <f>MAX(0,I257-H257)</f>
        <v/>
      </c>
      <c r="Q257" s="4">
        <f>MAX(0,J257-G257)</f>
        <v/>
      </c>
      <c r="R257" s="4">
        <f>IF(AND(N257=1,O257=1),"On Track",IF(O257=0,"Customer Delivery Late","Ship Late"))</f>
        <v/>
      </c>
    </row>
    <row r="258">
      <c r="A258" s="2" t="inlineStr">
        <is>
          <t>ORD-00257</t>
        </is>
      </c>
      <c r="B258" s="2" t="inlineStr">
        <is>
          <t>Customer 17</t>
        </is>
      </c>
      <c r="C258" s="2" t="inlineStr">
        <is>
          <t>Switchgear</t>
        </is>
      </c>
      <c r="D258" s="2" t="inlineStr">
        <is>
          <t>Plant A</t>
        </is>
      </c>
      <c r="E258" s="2" t="inlineStr">
        <is>
          <t>South</t>
        </is>
      </c>
      <c r="F258" s="12" t="n">
        <v>46102</v>
      </c>
      <c r="G258" s="12" t="n">
        <v>46112</v>
      </c>
      <c r="H258" s="12" t="n">
        <v>46108</v>
      </c>
      <c r="I258" s="12" t="n">
        <v>46106</v>
      </c>
      <c r="J258" s="12" t="n">
        <v>46111</v>
      </c>
      <c r="K258" s="2" t="n">
        <v>1267</v>
      </c>
      <c r="L258" s="2" t="inlineStr">
        <is>
          <t>Road</t>
        </is>
      </c>
      <c r="M258" s="2" t="inlineStr">
        <is>
          <t>No Delay</t>
        </is>
      </c>
      <c r="N258" s="4">
        <f>IF(I258&lt;=H258,1,0)</f>
        <v/>
      </c>
      <c r="O258" s="4">
        <f>IF(J258&lt;=G258,1,0)</f>
        <v/>
      </c>
      <c r="P258" s="4">
        <f>MAX(0,I258-H258)</f>
        <v/>
      </c>
      <c r="Q258" s="4">
        <f>MAX(0,J258-G258)</f>
        <v/>
      </c>
      <c r="R258" s="4">
        <f>IF(AND(N258=1,O258=1),"On Track",IF(O258=0,"Customer Delivery Late","Ship Late"))</f>
        <v/>
      </c>
    </row>
    <row r="259">
      <c r="A259" s="2" t="inlineStr">
        <is>
          <t>ORD-00258</t>
        </is>
      </c>
      <c r="B259" s="2" t="inlineStr">
        <is>
          <t>Customer 23</t>
        </is>
      </c>
      <c r="C259" s="2" t="inlineStr">
        <is>
          <t>Relay</t>
        </is>
      </c>
      <c r="D259" s="2" t="inlineStr">
        <is>
          <t>Plant A</t>
        </is>
      </c>
      <c r="E259" s="2" t="inlineStr">
        <is>
          <t>South</t>
        </is>
      </c>
      <c r="F259" s="12" t="n">
        <v>46056</v>
      </c>
      <c r="G259" s="12" t="n">
        <v>46071</v>
      </c>
      <c r="H259" s="12" t="n">
        <v>46069</v>
      </c>
      <c r="I259" s="12" t="n">
        <v>46068</v>
      </c>
      <c r="J259" s="12" t="n">
        <v>46069</v>
      </c>
      <c r="K259" s="2" t="n">
        <v>158</v>
      </c>
      <c r="L259" s="2" t="inlineStr">
        <is>
          <t>Air</t>
        </is>
      </c>
      <c r="M259" s="2" t="inlineStr">
        <is>
          <t>No Delay</t>
        </is>
      </c>
      <c r="N259" s="4">
        <f>IF(I259&lt;=H259,1,0)</f>
        <v/>
      </c>
      <c r="O259" s="4">
        <f>IF(J259&lt;=G259,1,0)</f>
        <v/>
      </c>
      <c r="P259" s="4">
        <f>MAX(0,I259-H259)</f>
        <v/>
      </c>
      <c r="Q259" s="4">
        <f>MAX(0,J259-G259)</f>
        <v/>
      </c>
      <c r="R259" s="4">
        <f>IF(AND(N259=1,O259=1),"On Track",IF(O259=0,"Customer Delivery Late","Ship Late"))</f>
        <v/>
      </c>
    </row>
    <row r="260">
      <c r="A260" s="2" t="inlineStr">
        <is>
          <t>ORD-00259</t>
        </is>
      </c>
      <c r="B260" s="2" t="inlineStr">
        <is>
          <t>Customer 24</t>
        </is>
      </c>
      <c r="C260" s="2" t="inlineStr">
        <is>
          <t>Power Supply</t>
        </is>
      </c>
      <c r="D260" s="2" t="inlineStr">
        <is>
          <t>Plant C</t>
        </is>
      </c>
      <c r="E260" s="2" t="inlineStr">
        <is>
          <t>Export</t>
        </is>
      </c>
      <c r="F260" s="12" t="n">
        <v>46203</v>
      </c>
      <c r="G260" s="12" t="n">
        <v>46220</v>
      </c>
      <c r="H260" s="12" t="n">
        <v>46215</v>
      </c>
      <c r="I260" s="12" t="n">
        <v>46214</v>
      </c>
      <c r="J260" s="12" t="n">
        <v>46219</v>
      </c>
      <c r="K260" s="2" t="n">
        <v>1339</v>
      </c>
      <c r="L260" s="2" t="inlineStr">
        <is>
          <t>Air</t>
        </is>
      </c>
      <c r="M260" s="2" t="inlineStr">
        <is>
          <t>No Delay</t>
        </is>
      </c>
      <c r="N260" s="4">
        <f>IF(I260&lt;=H260,1,0)</f>
        <v/>
      </c>
      <c r="O260" s="4">
        <f>IF(J260&lt;=G260,1,0)</f>
        <v/>
      </c>
      <c r="P260" s="4">
        <f>MAX(0,I260-H260)</f>
        <v/>
      </c>
      <c r="Q260" s="4">
        <f>MAX(0,J260-G260)</f>
        <v/>
      </c>
      <c r="R260" s="4">
        <f>IF(AND(N260=1,O260=1),"On Track",IF(O260=0,"Customer Delivery Late","Ship Late"))</f>
        <v/>
      </c>
    </row>
    <row r="261">
      <c r="A261" s="2" t="inlineStr">
        <is>
          <t>ORD-00260</t>
        </is>
      </c>
      <c r="B261" s="2" t="inlineStr">
        <is>
          <t>Customer 23</t>
        </is>
      </c>
      <c r="C261" s="2" t="inlineStr">
        <is>
          <t>Sensor</t>
        </is>
      </c>
      <c r="D261" s="2" t="inlineStr">
        <is>
          <t>Plant A</t>
        </is>
      </c>
      <c r="E261" s="2" t="inlineStr">
        <is>
          <t>Central</t>
        </is>
      </c>
      <c r="F261" s="12" t="n">
        <v>46067</v>
      </c>
      <c r="G261" s="12" t="n">
        <v>46089</v>
      </c>
      <c r="H261" s="12" t="n">
        <v>46084</v>
      </c>
      <c r="I261" s="12" t="n">
        <v>46082</v>
      </c>
      <c r="J261" s="12" t="n">
        <v>46087</v>
      </c>
      <c r="K261" s="2" t="n">
        <v>13</v>
      </c>
      <c r="L261" s="2" t="inlineStr">
        <is>
          <t>Sea</t>
        </is>
      </c>
      <c r="M261" s="2" t="inlineStr">
        <is>
          <t>No Delay</t>
        </is>
      </c>
      <c r="N261" s="4">
        <f>IF(I261&lt;=H261,1,0)</f>
        <v/>
      </c>
      <c r="O261" s="4">
        <f>IF(J261&lt;=G261,1,0)</f>
        <v/>
      </c>
      <c r="P261" s="4">
        <f>MAX(0,I261-H261)</f>
        <v/>
      </c>
      <c r="Q261" s="4">
        <f>MAX(0,J261-G261)</f>
        <v/>
      </c>
      <c r="R261" s="4">
        <f>IF(AND(N261=1,O261=1),"On Track",IF(O261=0,"Customer Delivery Late","Ship Late"))</f>
        <v/>
      </c>
    </row>
    <row r="262">
      <c r="A262" s="2" t="inlineStr">
        <is>
          <t>ORD-00261</t>
        </is>
      </c>
      <c r="B262" s="2" t="inlineStr">
        <is>
          <t>Customer 04</t>
        </is>
      </c>
      <c r="C262" s="2" t="inlineStr">
        <is>
          <t>Switchgear</t>
        </is>
      </c>
      <c r="D262" s="2" t="inlineStr">
        <is>
          <t>Plant A</t>
        </is>
      </c>
      <c r="E262" s="2" t="inlineStr">
        <is>
          <t>South</t>
        </is>
      </c>
      <c r="F262" s="12" t="n">
        <v>46169</v>
      </c>
      <c r="G262" s="12" t="n">
        <v>46186</v>
      </c>
      <c r="H262" s="12" t="n">
        <v>46181</v>
      </c>
      <c r="I262" s="12" t="n">
        <v>46181</v>
      </c>
      <c r="J262" s="12" t="n">
        <v>46187</v>
      </c>
      <c r="K262" s="2" t="n">
        <v>169</v>
      </c>
      <c r="L262" s="2" t="inlineStr">
        <is>
          <t>Road</t>
        </is>
      </c>
      <c r="M262" s="2" t="inlineStr">
        <is>
          <t>Capacity Constraint</t>
        </is>
      </c>
      <c r="N262" s="4">
        <f>IF(I262&lt;=H262,1,0)</f>
        <v/>
      </c>
      <c r="O262" s="4">
        <f>IF(J262&lt;=G262,1,0)</f>
        <v/>
      </c>
      <c r="P262" s="4">
        <f>MAX(0,I262-H262)</f>
        <v/>
      </c>
      <c r="Q262" s="4">
        <f>MAX(0,J262-G262)</f>
        <v/>
      </c>
      <c r="R262" s="4">
        <f>IF(AND(N262=1,O262=1),"On Track",IF(O262=0,"Customer Delivery Late","Ship Late"))</f>
        <v/>
      </c>
    </row>
    <row r="263">
      <c r="A263" s="2" t="inlineStr">
        <is>
          <t>ORD-00262</t>
        </is>
      </c>
      <c r="B263" s="2" t="inlineStr">
        <is>
          <t>Customer 23</t>
        </is>
      </c>
      <c r="C263" s="2" t="inlineStr">
        <is>
          <t>Contactor</t>
        </is>
      </c>
      <c r="D263" s="2" t="inlineStr">
        <is>
          <t>Plant B</t>
        </is>
      </c>
      <c r="E263" s="2" t="inlineStr">
        <is>
          <t>South</t>
        </is>
      </c>
      <c r="F263" s="12" t="n">
        <v>46111</v>
      </c>
      <c r="G263" s="12" t="n">
        <v>46126</v>
      </c>
      <c r="H263" s="12" t="n">
        <v>46124</v>
      </c>
      <c r="I263" s="12" t="n">
        <v>46122</v>
      </c>
      <c r="J263" s="12" t="n">
        <v>46128</v>
      </c>
      <c r="K263" s="2" t="n">
        <v>231</v>
      </c>
      <c r="L263" s="2" t="inlineStr">
        <is>
          <t>Sea</t>
        </is>
      </c>
      <c r="M263" s="2" t="inlineStr">
        <is>
          <t>Production Delay</t>
        </is>
      </c>
      <c r="N263" s="4">
        <f>IF(I263&lt;=H263,1,0)</f>
        <v/>
      </c>
      <c r="O263" s="4">
        <f>IF(J263&lt;=G263,1,0)</f>
        <v/>
      </c>
      <c r="P263" s="4">
        <f>MAX(0,I263-H263)</f>
        <v/>
      </c>
      <c r="Q263" s="4">
        <f>MAX(0,J263-G263)</f>
        <v/>
      </c>
      <c r="R263" s="4">
        <f>IF(AND(N263=1,O263=1),"On Track",IF(O263=0,"Customer Delivery Late","Ship Late"))</f>
        <v/>
      </c>
    </row>
    <row r="264">
      <c r="A264" s="2" t="inlineStr">
        <is>
          <t>ORD-00263</t>
        </is>
      </c>
      <c r="B264" s="2" t="inlineStr">
        <is>
          <t>Customer 13</t>
        </is>
      </c>
      <c r="C264" s="2" t="inlineStr">
        <is>
          <t>Drive</t>
        </is>
      </c>
      <c r="D264" s="2" t="inlineStr">
        <is>
          <t>Plant C</t>
        </is>
      </c>
      <c r="E264" s="2" t="inlineStr">
        <is>
          <t>Export</t>
        </is>
      </c>
      <c r="F264" s="12" t="n">
        <v>46023</v>
      </c>
      <c r="G264" s="12" t="n">
        <v>46029</v>
      </c>
      <c r="H264" s="12" t="n">
        <v>46025</v>
      </c>
      <c r="I264" s="12" t="n">
        <v>46024</v>
      </c>
      <c r="J264" s="12" t="n">
        <v>46028</v>
      </c>
      <c r="K264" s="2" t="n">
        <v>217</v>
      </c>
      <c r="L264" s="2" t="inlineStr">
        <is>
          <t>Air</t>
        </is>
      </c>
      <c r="M264" s="2" t="inlineStr">
        <is>
          <t>No Delay</t>
        </is>
      </c>
      <c r="N264" s="4">
        <f>IF(I264&lt;=H264,1,0)</f>
        <v/>
      </c>
      <c r="O264" s="4">
        <f>IF(J264&lt;=G264,1,0)</f>
        <v/>
      </c>
      <c r="P264" s="4">
        <f>MAX(0,I264-H264)</f>
        <v/>
      </c>
      <c r="Q264" s="4">
        <f>MAX(0,J264-G264)</f>
        <v/>
      </c>
      <c r="R264" s="4">
        <f>IF(AND(N264=1,O264=1),"On Track",IF(O264=0,"Customer Delivery Late","Ship Late"))</f>
        <v/>
      </c>
    </row>
    <row r="265">
      <c r="A265" s="2" t="inlineStr">
        <is>
          <t>ORD-00264</t>
        </is>
      </c>
      <c r="B265" s="2" t="inlineStr">
        <is>
          <t>Customer 09</t>
        </is>
      </c>
      <c r="C265" s="2" t="inlineStr">
        <is>
          <t>Contactor</t>
        </is>
      </c>
      <c r="D265" s="2" t="inlineStr">
        <is>
          <t>Plant A</t>
        </is>
      </c>
      <c r="E265" s="2" t="inlineStr">
        <is>
          <t>South</t>
        </is>
      </c>
      <c r="F265" s="12" t="n">
        <v>46170</v>
      </c>
      <c r="G265" s="12" t="n">
        <v>46195</v>
      </c>
      <c r="H265" s="12" t="n">
        <v>46193</v>
      </c>
      <c r="I265" s="12" t="n">
        <v>46191</v>
      </c>
      <c r="J265" s="12" t="n">
        <v>46193</v>
      </c>
      <c r="K265" s="2" t="n">
        <v>358</v>
      </c>
      <c r="L265" s="2" t="inlineStr">
        <is>
          <t>Air</t>
        </is>
      </c>
      <c r="M265" s="2" t="inlineStr">
        <is>
          <t>No Delay</t>
        </is>
      </c>
      <c r="N265" s="4">
        <f>IF(I265&lt;=H265,1,0)</f>
        <v/>
      </c>
      <c r="O265" s="4">
        <f>IF(J265&lt;=G265,1,0)</f>
        <v/>
      </c>
      <c r="P265" s="4">
        <f>MAX(0,I265-H265)</f>
        <v/>
      </c>
      <c r="Q265" s="4">
        <f>MAX(0,J265-G265)</f>
        <v/>
      </c>
      <c r="R265" s="4">
        <f>IF(AND(N265=1,O265=1),"On Track",IF(O265=0,"Customer Delivery Late","Ship Late"))</f>
        <v/>
      </c>
    </row>
    <row r="266">
      <c r="A266" s="2" t="inlineStr">
        <is>
          <t>ORD-00265</t>
        </is>
      </c>
      <c r="B266" s="2" t="inlineStr">
        <is>
          <t>Customer 29</t>
        </is>
      </c>
      <c r="C266" s="2" t="inlineStr">
        <is>
          <t>Switchgear</t>
        </is>
      </c>
      <c r="D266" s="2" t="inlineStr">
        <is>
          <t>Plant C</t>
        </is>
      </c>
      <c r="E266" s="2" t="inlineStr">
        <is>
          <t>North</t>
        </is>
      </c>
      <c r="F266" s="12" t="n">
        <v>46064</v>
      </c>
      <c r="G266" s="12" t="n">
        <v>46071</v>
      </c>
      <c r="H266" s="12" t="n">
        <v>46066</v>
      </c>
      <c r="I266" s="12" t="n">
        <v>46064</v>
      </c>
      <c r="J266" s="12" t="n">
        <v>46070</v>
      </c>
      <c r="K266" s="2" t="n">
        <v>893</v>
      </c>
      <c r="L266" s="2" t="inlineStr">
        <is>
          <t>Sea</t>
        </is>
      </c>
      <c r="M266" s="2" t="inlineStr">
        <is>
          <t>No Delay</t>
        </is>
      </c>
      <c r="N266" s="4">
        <f>IF(I266&lt;=H266,1,0)</f>
        <v/>
      </c>
      <c r="O266" s="4">
        <f>IF(J266&lt;=G266,1,0)</f>
        <v/>
      </c>
      <c r="P266" s="4">
        <f>MAX(0,I266-H266)</f>
        <v/>
      </c>
      <c r="Q266" s="4">
        <f>MAX(0,J266-G266)</f>
        <v/>
      </c>
      <c r="R266" s="4">
        <f>IF(AND(N266=1,O266=1),"On Track",IF(O266=0,"Customer Delivery Late","Ship Late"))</f>
        <v/>
      </c>
    </row>
    <row r="267">
      <c r="A267" s="2" t="inlineStr">
        <is>
          <t>ORD-00266</t>
        </is>
      </c>
      <c r="B267" s="2" t="inlineStr">
        <is>
          <t>Customer 14</t>
        </is>
      </c>
      <c r="C267" s="2" t="inlineStr">
        <is>
          <t>Sensor</t>
        </is>
      </c>
      <c r="D267" s="2" t="inlineStr">
        <is>
          <t>Plant C</t>
        </is>
      </c>
      <c r="E267" s="2" t="inlineStr">
        <is>
          <t>South</t>
        </is>
      </c>
      <c r="F267" s="12" t="n">
        <v>46065</v>
      </c>
      <c r="G267" s="12" t="n">
        <v>46089</v>
      </c>
      <c r="H267" s="12" t="n">
        <v>46085</v>
      </c>
      <c r="I267" s="12" t="n">
        <v>46083</v>
      </c>
      <c r="J267" s="12" t="n">
        <v>46087</v>
      </c>
      <c r="K267" s="2" t="n">
        <v>619</v>
      </c>
      <c r="L267" s="2" t="inlineStr">
        <is>
          <t>Road</t>
        </is>
      </c>
      <c r="M267" s="2" t="inlineStr">
        <is>
          <t>No Delay</t>
        </is>
      </c>
      <c r="N267" s="4">
        <f>IF(I267&lt;=H267,1,0)</f>
        <v/>
      </c>
      <c r="O267" s="4">
        <f>IF(J267&lt;=G267,1,0)</f>
        <v/>
      </c>
      <c r="P267" s="4">
        <f>MAX(0,I267-H267)</f>
        <v/>
      </c>
      <c r="Q267" s="4">
        <f>MAX(0,J267-G267)</f>
        <v/>
      </c>
      <c r="R267" s="4">
        <f>IF(AND(N267=1,O267=1),"On Track",IF(O267=0,"Customer Delivery Late","Ship Late"))</f>
        <v/>
      </c>
    </row>
    <row r="268">
      <c r="A268" s="2" t="inlineStr">
        <is>
          <t>ORD-00267</t>
        </is>
      </c>
      <c r="B268" s="2" t="inlineStr">
        <is>
          <t>Customer 14</t>
        </is>
      </c>
      <c r="C268" s="2" t="inlineStr">
        <is>
          <t>Contactor</t>
        </is>
      </c>
      <c r="D268" s="2" t="inlineStr">
        <is>
          <t>Plant B</t>
        </is>
      </c>
      <c r="E268" s="2" t="inlineStr">
        <is>
          <t>Export</t>
        </is>
      </c>
      <c r="F268" s="12" t="n">
        <v>46047</v>
      </c>
      <c r="G268" s="12" t="n">
        <v>46053</v>
      </c>
      <c r="H268" s="12" t="n">
        <v>46049</v>
      </c>
      <c r="I268" s="12" t="n">
        <v>46048</v>
      </c>
      <c r="J268" s="12" t="n">
        <v>46051</v>
      </c>
      <c r="K268" s="2" t="n">
        <v>418</v>
      </c>
      <c r="L268" s="2" t="inlineStr">
        <is>
          <t>Road</t>
        </is>
      </c>
      <c r="M268" s="2" t="inlineStr">
        <is>
          <t>No Delay</t>
        </is>
      </c>
      <c r="N268" s="4">
        <f>IF(I268&lt;=H268,1,0)</f>
        <v/>
      </c>
      <c r="O268" s="4">
        <f>IF(J268&lt;=G268,1,0)</f>
        <v/>
      </c>
      <c r="P268" s="4">
        <f>MAX(0,I268-H268)</f>
        <v/>
      </c>
      <c r="Q268" s="4">
        <f>MAX(0,J268-G268)</f>
        <v/>
      </c>
      <c r="R268" s="4">
        <f>IF(AND(N268=1,O268=1),"On Track",IF(O268=0,"Customer Delivery Late","Ship Late"))</f>
        <v/>
      </c>
    </row>
    <row r="269">
      <c r="A269" s="2" t="inlineStr">
        <is>
          <t>ORD-00268</t>
        </is>
      </c>
      <c r="B269" s="2" t="inlineStr">
        <is>
          <t>Customer 13</t>
        </is>
      </c>
      <c r="C269" s="2" t="inlineStr">
        <is>
          <t>Switchgear</t>
        </is>
      </c>
      <c r="D269" s="2" t="inlineStr">
        <is>
          <t>Plant B</t>
        </is>
      </c>
      <c r="E269" s="2" t="inlineStr">
        <is>
          <t>South</t>
        </is>
      </c>
      <c r="F269" s="12" t="n">
        <v>46029</v>
      </c>
      <c r="G269" s="12" t="n">
        <v>46040</v>
      </c>
      <c r="H269" s="12" t="n">
        <v>46038</v>
      </c>
      <c r="I269" s="12" t="n">
        <v>46036</v>
      </c>
      <c r="J269" s="12" t="n">
        <v>46037</v>
      </c>
      <c r="K269" s="2" t="n">
        <v>196</v>
      </c>
      <c r="L269" s="2" t="inlineStr">
        <is>
          <t>Sea</t>
        </is>
      </c>
      <c r="M269" s="2" t="inlineStr">
        <is>
          <t>No Delay</t>
        </is>
      </c>
      <c r="N269" s="4">
        <f>IF(I269&lt;=H269,1,0)</f>
        <v/>
      </c>
      <c r="O269" s="4">
        <f>IF(J269&lt;=G269,1,0)</f>
        <v/>
      </c>
      <c r="P269" s="4">
        <f>MAX(0,I269-H269)</f>
        <v/>
      </c>
      <c r="Q269" s="4">
        <f>MAX(0,J269-G269)</f>
        <v/>
      </c>
      <c r="R269" s="4">
        <f>IF(AND(N269=1,O269=1),"On Track",IF(O269=0,"Customer Delivery Late","Ship Late"))</f>
        <v/>
      </c>
    </row>
    <row r="270">
      <c r="A270" s="2" t="inlineStr">
        <is>
          <t>ORD-00269</t>
        </is>
      </c>
      <c r="B270" s="2" t="inlineStr">
        <is>
          <t>Customer 09</t>
        </is>
      </c>
      <c r="C270" s="2" t="inlineStr">
        <is>
          <t>Switchgear</t>
        </is>
      </c>
      <c r="D270" s="2" t="inlineStr">
        <is>
          <t>Plant B</t>
        </is>
      </c>
      <c r="E270" s="2" t="inlineStr">
        <is>
          <t>South</t>
        </is>
      </c>
      <c r="F270" s="12" t="n">
        <v>46162</v>
      </c>
      <c r="G270" s="12" t="n">
        <v>46179</v>
      </c>
      <c r="H270" s="12" t="n">
        <v>46177</v>
      </c>
      <c r="I270" s="12" t="n">
        <v>46176</v>
      </c>
      <c r="J270" s="12" t="n">
        <v>46178</v>
      </c>
      <c r="K270" s="2" t="n">
        <v>473</v>
      </c>
      <c r="L270" s="2" t="inlineStr">
        <is>
          <t>Air</t>
        </is>
      </c>
      <c r="M270" s="2" t="inlineStr">
        <is>
          <t>No Delay</t>
        </is>
      </c>
      <c r="N270" s="4">
        <f>IF(I270&lt;=H270,1,0)</f>
        <v/>
      </c>
      <c r="O270" s="4">
        <f>IF(J270&lt;=G270,1,0)</f>
        <v/>
      </c>
      <c r="P270" s="4">
        <f>MAX(0,I270-H270)</f>
        <v/>
      </c>
      <c r="Q270" s="4">
        <f>MAX(0,J270-G270)</f>
        <v/>
      </c>
      <c r="R270" s="4">
        <f>IF(AND(N270=1,O270=1),"On Track",IF(O270=0,"Customer Delivery Late","Ship Late"))</f>
        <v/>
      </c>
    </row>
    <row r="271">
      <c r="A271" s="2" t="inlineStr">
        <is>
          <t>ORD-00270</t>
        </is>
      </c>
      <c r="B271" s="2" t="inlineStr">
        <is>
          <t>Customer 26</t>
        </is>
      </c>
      <c r="C271" s="2" t="inlineStr">
        <is>
          <t>Power Supply</t>
        </is>
      </c>
      <c r="D271" s="2" t="inlineStr">
        <is>
          <t>Plant C</t>
        </is>
      </c>
      <c r="E271" s="2" t="inlineStr">
        <is>
          <t>Central</t>
        </is>
      </c>
      <c r="F271" s="12" t="n">
        <v>46167</v>
      </c>
      <c r="G271" s="12" t="n">
        <v>46173</v>
      </c>
      <c r="H271" s="12" t="n">
        <v>46171</v>
      </c>
      <c r="I271" s="12" t="n">
        <v>46171</v>
      </c>
      <c r="J271" s="12" t="n">
        <v>46172</v>
      </c>
      <c r="K271" s="2" t="n">
        <v>1143</v>
      </c>
      <c r="L271" s="2" t="inlineStr">
        <is>
          <t>Road</t>
        </is>
      </c>
      <c r="M271" s="2" t="inlineStr">
        <is>
          <t>No Delay</t>
        </is>
      </c>
      <c r="N271" s="4">
        <f>IF(I271&lt;=H271,1,0)</f>
        <v/>
      </c>
      <c r="O271" s="4">
        <f>IF(J271&lt;=G271,1,0)</f>
        <v/>
      </c>
      <c r="P271" s="4">
        <f>MAX(0,I271-H271)</f>
        <v/>
      </c>
      <c r="Q271" s="4">
        <f>MAX(0,J271-G271)</f>
        <v/>
      </c>
      <c r="R271" s="4">
        <f>IF(AND(N271=1,O271=1),"On Track",IF(O271=0,"Customer Delivery Late","Ship Late"))</f>
        <v/>
      </c>
    </row>
    <row r="272">
      <c r="A272" s="2" t="inlineStr">
        <is>
          <t>ORD-00271</t>
        </is>
      </c>
      <c r="B272" s="2" t="inlineStr">
        <is>
          <t>Customer 29</t>
        </is>
      </c>
      <c r="C272" s="2" t="inlineStr">
        <is>
          <t>Breaker</t>
        </is>
      </c>
      <c r="D272" s="2" t="inlineStr">
        <is>
          <t>Plant C</t>
        </is>
      </c>
      <c r="E272" s="2" t="inlineStr">
        <is>
          <t>Central</t>
        </is>
      </c>
      <c r="F272" s="12" t="n">
        <v>46122</v>
      </c>
      <c r="G272" s="12" t="n">
        <v>46143</v>
      </c>
      <c r="H272" s="12" t="n">
        <v>46139</v>
      </c>
      <c r="I272" s="12" t="n">
        <v>46147</v>
      </c>
      <c r="J272" s="12" t="n">
        <v>46151</v>
      </c>
      <c r="K272" s="2" t="n">
        <v>256</v>
      </c>
      <c r="L272" s="2" t="inlineStr">
        <is>
          <t>Air</t>
        </is>
      </c>
      <c r="M272" s="2" t="inlineStr">
        <is>
          <t>Documentation Issue</t>
        </is>
      </c>
      <c r="N272" s="4">
        <f>IF(I272&lt;=H272,1,0)</f>
        <v/>
      </c>
      <c r="O272" s="4">
        <f>IF(J272&lt;=G272,1,0)</f>
        <v/>
      </c>
      <c r="P272" s="4">
        <f>MAX(0,I272-H272)</f>
        <v/>
      </c>
      <c r="Q272" s="4">
        <f>MAX(0,J272-G272)</f>
        <v/>
      </c>
      <c r="R272" s="4">
        <f>IF(AND(N272=1,O272=1),"On Track",IF(O272=0,"Customer Delivery Late","Ship Late"))</f>
        <v/>
      </c>
    </row>
    <row r="273">
      <c r="A273" s="2" t="inlineStr">
        <is>
          <t>ORD-00272</t>
        </is>
      </c>
      <c r="B273" s="2" t="inlineStr">
        <is>
          <t>Customer 22</t>
        </is>
      </c>
      <c r="C273" s="2" t="inlineStr">
        <is>
          <t>Power Supply</t>
        </is>
      </c>
      <c r="D273" s="2" t="inlineStr">
        <is>
          <t>Plant A</t>
        </is>
      </c>
      <c r="E273" s="2" t="inlineStr">
        <is>
          <t>Central</t>
        </is>
      </c>
      <c r="F273" s="12" t="n">
        <v>46067</v>
      </c>
      <c r="G273" s="12" t="n">
        <v>46077</v>
      </c>
      <c r="H273" s="12" t="n">
        <v>46075</v>
      </c>
      <c r="I273" s="12" t="n">
        <v>46073</v>
      </c>
      <c r="J273" s="12" t="n">
        <v>46075</v>
      </c>
      <c r="K273" s="2" t="n">
        <v>1228</v>
      </c>
      <c r="L273" s="2" t="inlineStr">
        <is>
          <t>Air</t>
        </is>
      </c>
      <c r="M273" s="2" t="inlineStr">
        <is>
          <t>No Delay</t>
        </is>
      </c>
      <c r="N273" s="4">
        <f>IF(I273&lt;=H273,1,0)</f>
        <v/>
      </c>
      <c r="O273" s="4">
        <f>IF(J273&lt;=G273,1,0)</f>
        <v/>
      </c>
      <c r="P273" s="4">
        <f>MAX(0,I273-H273)</f>
        <v/>
      </c>
      <c r="Q273" s="4">
        <f>MAX(0,J273-G273)</f>
        <v/>
      </c>
      <c r="R273" s="4">
        <f>IF(AND(N273=1,O273=1),"On Track",IF(O273=0,"Customer Delivery Late","Ship Late"))</f>
        <v/>
      </c>
    </row>
    <row r="274">
      <c r="A274" s="2" t="inlineStr">
        <is>
          <t>ORD-00273</t>
        </is>
      </c>
      <c r="B274" s="2" t="inlineStr">
        <is>
          <t>Customer 30</t>
        </is>
      </c>
      <c r="C274" s="2" t="inlineStr">
        <is>
          <t>Breaker</t>
        </is>
      </c>
      <c r="D274" s="2" t="inlineStr">
        <is>
          <t>Plant C</t>
        </is>
      </c>
      <c r="E274" s="2" t="inlineStr">
        <is>
          <t>Export</t>
        </is>
      </c>
      <c r="F274" s="12" t="n">
        <v>46104</v>
      </c>
      <c r="G274" s="12" t="n">
        <v>46111</v>
      </c>
      <c r="H274" s="12" t="n">
        <v>46110</v>
      </c>
      <c r="I274" s="12" t="n">
        <v>46109</v>
      </c>
      <c r="J274" s="12" t="n">
        <v>46110</v>
      </c>
      <c r="K274" s="2" t="n">
        <v>240</v>
      </c>
      <c r="L274" s="2" t="inlineStr">
        <is>
          <t>Air</t>
        </is>
      </c>
      <c r="M274" s="2" t="inlineStr">
        <is>
          <t>No Delay</t>
        </is>
      </c>
      <c r="N274" s="4">
        <f>IF(I274&lt;=H274,1,0)</f>
        <v/>
      </c>
      <c r="O274" s="4">
        <f>IF(J274&lt;=G274,1,0)</f>
        <v/>
      </c>
      <c r="P274" s="4">
        <f>MAX(0,I274-H274)</f>
        <v/>
      </c>
      <c r="Q274" s="4">
        <f>MAX(0,J274-G274)</f>
        <v/>
      </c>
      <c r="R274" s="4">
        <f>IF(AND(N274=1,O274=1),"On Track",IF(O274=0,"Customer Delivery Late","Ship Late"))</f>
        <v/>
      </c>
    </row>
    <row r="275">
      <c r="A275" s="2" t="inlineStr">
        <is>
          <t>ORD-00274</t>
        </is>
      </c>
      <c r="B275" s="2" t="inlineStr">
        <is>
          <t>Customer 26</t>
        </is>
      </c>
      <c r="C275" s="2" t="inlineStr">
        <is>
          <t>Sensor</t>
        </is>
      </c>
      <c r="D275" s="2" t="inlineStr">
        <is>
          <t>Plant C</t>
        </is>
      </c>
      <c r="E275" s="2" t="inlineStr">
        <is>
          <t>South</t>
        </is>
      </c>
      <c r="F275" s="12" t="n">
        <v>46061</v>
      </c>
      <c r="G275" s="12" t="n">
        <v>46070</v>
      </c>
      <c r="H275" s="12" t="n">
        <v>46065</v>
      </c>
      <c r="I275" s="12" t="n">
        <v>46063</v>
      </c>
      <c r="J275" s="12" t="n">
        <v>46069</v>
      </c>
      <c r="K275" s="2" t="n">
        <v>851</v>
      </c>
      <c r="L275" s="2" t="inlineStr">
        <is>
          <t>Air</t>
        </is>
      </c>
      <c r="M275" s="2" t="inlineStr">
        <is>
          <t>No Delay</t>
        </is>
      </c>
      <c r="N275" s="4">
        <f>IF(I275&lt;=H275,1,0)</f>
        <v/>
      </c>
      <c r="O275" s="4">
        <f>IF(J275&lt;=G275,1,0)</f>
        <v/>
      </c>
      <c r="P275" s="4">
        <f>MAX(0,I275-H275)</f>
        <v/>
      </c>
      <c r="Q275" s="4">
        <f>MAX(0,J275-G275)</f>
        <v/>
      </c>
      <c r="R275" s="4">
        <f>IF(AND(N275=1,O275=1),"On Track",IF(O275=0,"Customer Delivery Late","Ship Late"))</f>
        <v/>
      </c>
    </row>
    <row r="276">
      <c r="A276" s="2" t="inlineStr">
        <is>
          <t>ORD-00275</t>
        </is>
      </c>
      <c r="B276" s="2" t="inlineStr">
        <is>
          <t>Customer 05</t>
        </is>
      </c>
      <c r="C276" s="2" t="inlineStr">
        <is>
          <t>Power Supply</t>
        </is>
      </c>
      <c r="D276" s="2" t="inlineStr">
        <is>
          <t>Plant A</t>
        </is>
      </c>
      <c r="E276" s="2" t="inlineStr">
        <is>
          <t>Export</t>
        </is>
      </c>
      <c r="F276" s="12" t="n">
        <v>46121</v>
      </c>
      <c r="G276" s="12" t="n">
        <v>46146</v>
      </c>
      <c r="H276" s="12" t="n">
        <v>46142</v>
      </c>
      <c r="I276" s="12" t="n">
        <v>46141</v>
      </c>
      <c r="J276" s="12" t="n">
        <v>46145</v>
      </c>
      <c r="K276" s="2" t="n">
        <v>688</v>
      </c>
      <c r="L276" s="2" t="inlineStr">
        <is>
          <t>Sea</t>
        </is>
      </c>
      <c r="M276" s="2" t="inlineStr">
        <is>
          <t>No Delay</t>
        </is>
      </c>
      <c r="N276" s="4">
        <f>IF(I276&lt;=H276,1,0)</f>
        <v/>
      </c>
      <c r="O276" s="4">
        <f>IF(J276&lt;=G276,1,0)</f>
        <v/>
      </c>
      <c r="P276" s="4">
        <f>MAX(0,I276-H276)</f>
        <v/>
      </c>
      <c r="Q276" s="4">
        <f>MAX(0,J276-G276)</f>
        <v/>
      </c>
      <c r="R276" s="4">
        <f>IF(AND(N276=1,O276=1),"On Track",IF(O276=0,"Customer Delivery Late","Ship Late"))</f>
        <v/>
      </c>
    </row>
    <row r="277">
      <c r="A277" s="2" t="inlineStr">
        <is>
          <t>ORD-00276</t>
        </is>
      </c>
      <c r="B277" s="2" t="inlineStr">
        <is>
          <t>Customer 10</t>
        </is>
      </c>
      <c r="C277" s="2" t="inlineStr">
        <is>
          <t>Sensor</t>
        </is>
      </c>
      <c r="D277" s="2" t="inlineStr">
        <is>
          <t>Plant B</t>
        </is>
      </c>
      <c r="E277" s="2" t="inlineStr">
        <is>
          <t>Export</t>
        </is>
      </c>
      <c r="F277" s="12" t="n">
        <v>46083</v>
      </c>
      <c r="G277" s="12" t="n">
        <v>46089</v>
      </c>
      <c r="H277" s="12" t="n">
        <v>46085</v>
      </c>
      <c r="I277" s="12" t="n">
        <v>46084</v>
      </c>
      <c r="J277" s="12" t="n">
        <v>46088</v>
      </c>
      <c r="K277" s="2" t="n">
        <v>1435</v>
      </c>
      <c r="L277" s="2" t="inlineStr">
        <is>
          <t>Sea</t>
        </is>
      </c>
      <c r="M277" s="2" t="inlineStr">
        <is>
          <t>No Delay</t>
        </is>
      </c>
      <c r="N277" s="4">
        <f>IF(I277&lt;=H277,1,0)</f>
        <v/>
      </c>
      <c r="O277" s="4">
        <f>IF(J277&lt;=G277,1,0)</f>
        <v/>
      </c>
      <c r="P277" s="4">
        <f>MAX(0,I277-H277)</f>
        <v/>
      </c>
      <c r="Q277" s="4">
        <f>MAX(0,J277-G277)</f>
        <v/>
      </c>
      <c r="R277" s="4">
        <f>IF(AND(N277=1,O277=1),"On Track",IF(O277=0,"Customer Delivery Late","Ship Late"))</f>
        <v/>
      </c>
    </row>
    <row r="278">
      <c r="A278" s="2" t="inlineStr">
        <is>
          <t>ORD-00277</t>
        </is>
      </c>
      <c r="B278" s="2" t="inlineStr">
        <is>
          <t>Customer 14</t>
        </is>
      </c>
      <c r="C278" s="2" t="inlineStr">
        <is>
          <t>Contactor</t>
        </is>
      </c>
      <c r="D278" s="2" t="inlineStr">
        <is>
          <t>Plant A</t>
        </is>
      </c>
      <c r="E278" s="2" t="inlineStr">
        <is>
          <t>Export</t>
        </is>
      </c>
      <c r="F278" s="12" t="n">
        <v>46048</v>
      </c>
      <c r="G278" s="12" t="n">
        <v>46060</v>
      </c>
      <c r="H278" s="12" t="n">
        <v>46058</v>
      </c>
      <c r="I278" s="12" t="n">
        <v>46058</v>
      </c>
      <c r="J278" s="12" t="n">
        <v>46060</v>
      </c>
      <c r="K278" s="2" t="n">
        <v>442</v>
      </c>
      <c r="L278" s="2" t="inlineStr">
        <is>
          <t>Air</t>
        </is>
      </c>
      <c r="M278" s="2" t="inlineStr">
        <is>
          <t>No Delay</t>
        </is>
      </c>
      <c r="N278" s="4">
        <f>IF(I278&lt;=H278,1,0)</f>
        <v/>
      </c>
      <c r="O278" s="4">
        <f>IF(J278&lt;=G278,1,0)</f>
        <v/>
      </c>
      <c r="P278" s="4">
        <f>MAX(0,I278-H278)</f>
        <v/>
      </c>
      <c r="Q278" s="4">
        <f>MAX(0,J278-G278)</f>
        <v/>
      </c>
      <c r="R278" s="4">
        <f>IF(AND(N278=1,O278=1),"On Track",IF(O278=0,"Customer Delivery Late","Ship Late"))</f>
        <v/>
      </c>
    </row>
    <row r="279">
      <c r="A279" s="2" t="inlineStr">
        <is>
          <t>ORD-00278</t>
        </is>
      </c>
      <c r="B279" s="2" t="inlineStr">
        <is>
          <t>Customer 17</t>
        </is>
      </c>
      <c r="C279" s="2" t="inlineStr">
        <is>
          <t>Power Supply</t>
        </is>
      </c>
      <c r="D279" s="2" t="inlineStr">
        <is>
          <t>Plant A</t>
        </is>
      </c>
      <c r="E279" s="2" t="inlineStr">
        <is>
          <t>North</t>
        </is>
      </c>
      <c r="F279" s="12" t="n">
        <v>46147</v>
      </c>
      <c r="G279" s="12" t="n">
        <v>46168</v>
      </c>
      <c r="H279" s="12" t="n">
        <v>46165</v>
      </c>
      <c r="I279" s="12" t="n">
        <v>46165</v>
      </c>
      <c r="J279" s="12" t="n">
        <v>46167</v>
      </c>
      <c r="K279" s="2" t="n">
        <v>365</v>
      </c>
      <c r="L279" s="2" t="inlineStr">
        <is>
          <t>Road</t>
        </is>
      </c>
      <c r="M279" s="2" t="inlineStr">
        <is>
          <t>No Delay</t>
        </is>
      </c>
      <c r="N279" s="4">
        <f>IF(I279&lt;=H279,1,0)</f>
        <v/>
      </c>
      <c r="O279" s="4">
        <f>IF(J279&lt;=G279,1,0)</f>
        <v/>
      </c>
      <c r="P279" s="4">
        <f>MAX(0,I279-H279)</f>
        <v/>
      </c>
      <c r="Q279" s="4">
        <f>MAX(0,J279-G279)</f>
        <v/>
      </c>
      <c r="R279" s="4">
        <f>IF(AND(N279=1,O279=1),"On Track",IF(O279=0,"Customer Delivery Late","Ship Late"))</f>
        <v/>
      </c>
    </row>
    <row r="280">
      <c r="A280" s="2" t="inlineStr">
        <is>
          <t>ORD-00279</t>
        </is>
      </c>
      <c r="B280" s="2" t="inlineStr">
        <is>
          <t>Customer 27</t>
        </is>
      </c>
      <c r="C280" s="2" t="inlineStr">
        <is>
          <t>Switchgear</t>
        </is>
      </c>
      <c r="D280" s="2" t="inlineStr">
        <is>
          <t>Plant C</t>
        </is>
      </c>
      <c r="E280" s="2" t="inlineStr">
        <is>
          <t>Export</t>
        </is>
      </c>
      <c r="F280" s="12" t="n">
        <v>46074</v>
      </c>
      <c r="G280" s="12" t="n">
        <v>46080</v>
      </c>
      <c r="H280" s="12" t="n">
        <v>46078</v>
      </c>
      <c r="I280" s="12" t="n">
        <v>46076</v>
      </c>
      <c r="J280" s="12" t="n">
        <v>46078</v>
      </c>
      <c r="K280" s="2" t="n">
        <v>1311</v>
      </c>
      <c r="L280" s="2" t="inlineStr">
        <is>
          <t>Road</t>
        </is>
      </c>
      <c r="M280" s="2" t="inlineStr">
        <is>
          <t>No Delay</t>
        </is>
      </c>
      <c r="N280" s="4">
        <f>IF(I280&lt;=H280,1,0)</f>
        <v/>
      </c>
      <c r="O280" s="4">
        <f>IF(J280&lt;=G280,1,0)</f>
        <v/>
      </c>
      <c r="P280" s="4">
        <f>MAX(0,I280-H280)</f>
        <v/>
      </c>
      <c r="Q280" s="4">
        <f>MAX(0,J280-G280)</f>
        <v/>
      </c>
      <c r="R280" s="4">
        <f>IF(AND(N280=1,O280=1),"On Track",IF(O280=0,"Customer Delivery Late","Ship Late"))</f>
        <v/>
      </c>
    </row>
    <row r="281">
      <c r="A281" s="2" t="inlineStr">
        <is>
          <t>ORD-00280</t>
        </is>
      </c>
      <c r="B281" s="2" t="inlineStr">
        <is>
          <t>Customer 16</t>
        </is>
      </c>
      <c r="C281" s="2" t="inlineStr">
        <is>
          <t>Drive</t>
        </is>
      </c>
      <c r="D281" s="2" t="inlineStr">
        <is>
          <t>Plant B</t>
        </is>
      </c>
      <c r="E281" s="2" t="inlineStr">
        <is>
          <t>Central</t>
        </is>
      </c>
      <c r="F281" s="12" t="n">
        <v>46197</v>
      </c>
      <c r="G281" s="12" t="n">
        <v>46202</v>
      </c>
      <c r="H281" s="12" t="n">
        <v>46200</v>
      </c>
      <c r="I281" s="12" t="n">
        <v>46200</v>
      </c>
      <c r="J281" s="12" t="n">
        <v>46202</v>
      </c>
      <c r="K281" s="2" t="n">
        <v>539</v>
      </c>
      <c r="L281" s="2" t="inlineStr">
        <is>
          <t>Sea</t>
        </is>
      </c>
      <c r="M281" s="2" t="inlineStr">
        <is>
          <t>No Delay</t>
        </is>
      </c>
      <c r="N281" s="4">
        <f>IF(I281&lt;=H281,1,0)</f>
        <v/>
      </c>
      <c r="O281" s="4">
        <f>IF(J281&lt;=G281,1,0)</f>
        <v/>
      </c>
      <c r="P281" s="4">
        <f>MAX(0,I281-H281)</f>
        <v/>
      </c>
      <c r="Q281" s="4">
        <f>MAX(0,J281-G281)</f>
        <v/>
      </c>
      <c r="R281" s="4">
        <f>IF(AND(N281=1,O281=1),"On Track",IF(O281=0,"Customer Delivery Late","Ship Late"))</f>
        <v/>
      </c>
    </row>
    <row r="282">
      <c r="A282" s="2" t="inlineStr">
        <is>
          <t>ORD-00281</t>
        </is>
      </c>
      <c r="B282" s="2" t="inlineStr">
        <is>
          <t>Customer 07</t>
        </is>
      </c>
      <c r="C282" s="2" t="inlineStr">
        <is>
          <t>PLC</t>
        </is>
      </c>
      <c r="D282" s="2" t="inlineStr">
        <is>
          <t>Plant C</t>
        </is>
      </c>
      <c r="E282" s="2" t="inlineStr">
        <is>
          <t>Central</t>
        </is>
      </c>
      <c r="F282" s="12" t="n">
        <v>46199</v>
      </c>
      <c r="G282" s="12" t="n">
        <v>46206</v>
      </c>
      <c r="H282" s="12" t="n">
        <v>46203</v>
      </c>
      <c r="I282" s="12" t="n">
        <v>46201</v>
      </c>
      <c r="J282" s="12" t="n">
        <v>46205</v>
      </c>
      <c r="K282" s="2" t="n">
        <v>1397</v>
      </c>
      <c r="L282" s="2" t="inlineStr">
        <is>
          <t>Road</t>
        </is>
      </c>
      <c r="M282" s="2" t="inlineStr">
        <is>
          <t>No Delay</t>
        </is>
      </c>
      <c r="N282" s="4">
        <f>IF(I282&lt;=H282,1,0)</f>
        <v/>
      </c>
      <c r="O282" s="4">
        <f>IF(J282&lt;=G282,1,0)</f>
        <v/>
      </c>
      <c r="P282" s="4">
        <f>MAX(0,I282-H282)</f>
        <v/>
      </c>
      <c r="Q282" s="4">
        <f>MAX(0,J282-G282)</f>
        <v/>
      </c>
      <c r="R282" s="4">
        <f>IF(AND(N282=1,O282=1),"On Track",IF(O282=0,"Customer Delivery Late","Ship Late"))</f>
        <v/>
      </c>
    </row>
    <row r="283">
      <c r="A283" s="2" t="inlineStr">
        <is>
          <t>ORD-00282</t>
        </is>
      </c>
      <c r="B283" s="2" t="inlineStr">
        <is>
          <t>Customer 21</t>
        </is>
      </c>
      <c r="C283" s="2" t="inlineStr">
        <is>
          <t>Relay</t>
        </is>
      </c>
      <c r="D283" s="2" t="inlineStr">
        <is>
          <t>Plant C</t>
        </is>
      </c>
      <c r="E283" s="2" t="inlineStr">
        <is>
          <t>North</t>
        </is>
      </c>
      <c r="F283" s="12" t="n">
        <v>46091</v>
      </c>
      <c r="G283" s="12" t="n">
        <v>46116</v>
      </c>
      <c r="H283" s="12" t="n">
        <v>46112</v>
      </c>
      <c r="I283" s="12" t="n">
        <v>46112</v>
      </c>
      <c r="J283" s="12" t="n">
        <v>46116</v>
      </c>
      <c r="K283" s="2" t="n">
        <v>468</v>
      </c>
      <c r="L283" s="2" t="inlineStr">
        <is>
          <t>Air</t>
        </is>
      </c>
      <c r="M283" s="2" t="inlineStr">
        <is>
          <t>No Delay</t>
        </is>
      </c>
      <c r="N283" s="4">
        <f>IF(I283&lt;=H283,1,0)</f>
        <v/>
      </c>
      <c r="O283" s="4">
        <f>IF(J283&lt;=G283,1,0)</f>
        <v/>
      </c>
      <c r="P283" s="4">
        <f>MAX(0,I283-H283)</f>
        <v/>
      </c>
      <c r="Q283" s="4">
        <f>MAX(0,J283-G283)</f>
        <v/>
      </c>
      <c r="R283" s="4">
        <f>IF(AND(N283=1,O283=1),"On Track",IF(O283=0,"Customer Delivery Late","Ship Late"))</f>
        <v/>
      </c>
    </row>
    <row r="284">
      <c r="A284" s="2" t="inlineStr">
        <is>
          <t>ORD-00283</t>
        </is>
      </c>
      <c r="B284" s="2" t="inlineStr">
        <is>
          <t>Customer 15</t>
        </is>
      </c>
      <c r="C284" s="2" t="inlineStr">
        <is>
          <t>Sensor</t>
        </is>
      </c>
      <c r="D284" s="2" t="inlineStr">
        <is>
          <t>Plant C</t>
        </is>
      </c>
      <c r="E284" s="2" t="inlineStr">
        <is>
          <t>Export</t>
        </is>
      </c>
      <c r="F284" s="12" t="n">
        <v>46178</v>
      </c>
      <c r="G284" s="12" t="n">
        <v>46192</v>
      </c>
      <c r="H284" s="12" t="n">
        <v>46189</v>
      </c>
      <c r="I284" s="12" t="n">
        <v>46188</v>
      </c>
      <c r="J284" s="12" t="n">
        <v>46191</v>
      </c>
      <c r="K284" s="2" t="n">
        <v>1207</v>
      </c>
      <c r="L284" s="2" t="inlineStr">
        <is>
          <t>Road</t>
        </is>
      </c>
      <c r="M284" s="2" t="inlineStr">
        <is>
          <t>No Delay</t>
        </is>
      </c>
      <c r="N284" s="4">
        <f>IF(I284&lt;=H284,1,0)</f>
        <v/>
      </c>
      <c r="O284" s="4">
        <f>IF(J284&lt;=G284,1,0)</f>
        <v/>
      </c>
      <c r="P284" s="4">
        <f>MAX(0,I284-H284)</f>
        <v/>
      </c>
      <c r="Q284" s="4">
        <f>MAX(0,J284-G284)</f>
        <v/>
      </c>
      <c r="R284" s="4">
        <f>IF(AND(N284=1,O284=1),"On Track",IF(O284=0,"Customer Delivery Late","Ship Late"))</f>
        <v/>
      </c>
    </row>
    <row r="285">
      <c r="A285" s="2" t="inlineStr">
        <is>
          <t>ORD-00284</t>
        </is>
      </c>
      <c r="B285" s="2" t="inlineStr">
        <is>
          <t>Customer 16</t>
        </is>
      </c>
      <c r="C285" s="2" t="inlineStr">
        <is>
          <t>Contactor</t>
        </is>
      </c>
      <c r="D285" s="2" t="inlineStr">
        <is>
          <t>Plant B</t>
        </is>
      </c>
      <c r="E285" s="2" t="inlineStr">
        <is>
          <t>South</t>
        </is>
      </c>
      <c r="F285" s="12" t="n">
        <v>46024</v>
      </c>
      <c r="G285" s="12" t="n">
        <v>46045</v>
      </c>
      <c r="H285" s="12" t="n">
        <v>46042</v>
      </c>
      <c r="I285" s="12" t="n">
        <v>46042</v>
      </c>
      <c r="J285" s="12" t="n">
        <v>46045</v>
      </c>
      <c r="K285" s="2" t="n">
        <v>1321</v>
      </c>
      <c r="L285" s="2" t="inlineStr">
        <is>
          <t>Air</t>
        </is>
      </c>
      <c r="M285" s="2" t="inlineStr">
        <is>
          <t>No Delay</t>
        </is>
      </c>
      <c r="N285" s="4">
        <f>IF(I285&lt;=H285,1,0)</f>
        <v/>
      </c>
      <c r="O285" s="4">
        <f>IF(J285&lt;=G285,1,0)</f>
        <v/>
      </c>
      <c r="P285" s="4">
        <f>MAX(0,I285-H285)</f>
        <v/>
      </c>
      <c r="Q285" s="4">
        <f>MAX(0,J285-G285)</f>
        <v/>
      </c>
      <c r="R285" s="4">
        <f>IF(AND(N285=1,O285=1),"On Track",IF(O285=0,"Customer Delivery Late","Ship Late"))</f>
        <v/>
      </c>
    </row>
    <row r="286">
      <c r="A286" s="2" t="inlineStr">
        <is>
          <t>ORD-00285</t>
        </is>
      </c>
      <c r="B286" s="2" t="inlineStr">
        <is>
          <t>Customer 26</t>
        </is>
      </c>
      <c r="C286" s="2" t="inlineStr">
        <is>
          <t>Power Supply</t>
        </is>
      </c>
      <c r="D286" s="2" t="inlineStr">
        <is>
          <t>Plant C</t>
        </is>
      </c>
      <c r="E286" s="2" t="inlineStr">
        <is>
          <t>South</t>
        </is>
      </c>
      <c r="F286" s="12" t="n">
        <v>46093</v>
      </c>
      <c r="G286" s="12" t="n">
        <v>46106</v>
      </c>
      <c r="H286" s="12" t="n">
        <v>46103</v>
      </c>
      <c r="I286" s="12" t="n">
        <v>46103</v>
      </c>
      <c r="J286" s="12" t="n">
        <v>46105</v>
      </c>
      <c r="K286" s="2" t="n">
        <v>1404</v>
      </c>
      <c r="L286" s="2" t="inlineStr">
        <is>
          <t>Road</t>
        </is>
      </c>
      <c r="M286" s="2" t="inlineStr">
        <is>
          <t>No Delay</t>
        </is>
      </c>
      <c r="N286" s="4">
        <f>IF(I286&lt;=H286,1,0)</f>
        <v/>
      </c>
      <c r="O286" s="4">
        <f>IF(J286&lt;=G286,1,0)</f>
        <v/>
      </c>
      <c r="P286" s="4">
        <f>MAX(0,I286-H286)</f>
        <v/>
      </c>
      <c r="Q286" s="4">
        <f>MAX(0,J286-G286)</f>
        <v/>
      </c>
      <c r="R286" s="4">
        <f>IF(AND(N286=1,O286=1),"On Track",IF(O286=0,"Customer Delivery Late","Ship Late"))</f>
        <v/>
      </c>
    </row>
    <row r="287">
      <c r="A287" s="2" t="inlineStr">
        <is>
          <t>ORD-00286</t>
        </is>
      </c>
      <c r="B287" s="2" t="inlineStr">
        <is>
          <t>Customer 19</t>
        </is>
      </c>
      <c r="C287" s="2" t="inlineStr">
        <is>
          <t>PLC</t>
        </is>
      </c>
      <c r="D287" s="2" t="inlineStr">
        <is>
          <t>Plant B</t>
        </is>
      </c>
      <c r="E287" s="2" t="inlineStr">
        <is>
          <t>Central</t>
        </is>
      </c>
      <c r="F287" s="12" t="n">
        <v>46029</v>
      </c>
      <c r="G287" s="12" t="n">
        <v>46054</v>
      </c>
      <c r="H287" s="12" t="n">
        <v>46050</v>
      </c>
      <c r="I287" s="12" t="n">
        <v>46055</v>
      </c>
      <c r="J287" s="12" t="n">
        <v>46059</v>
      </c>
      <c r="K287" s="2" t="n">
        <v>1415</v>
      </c>
      <c r="L287" s="2" t="inlineStr">
        <is>
          <t>Sea</t>
        </is>
      </c>
      <c r="M287" s="2" t="inlineStr">
        <is>
          <t>Material Shortage</t>
        </is>
      </c>
      <c r="N287" s="4">
        <f>IF(I287&lt;=H287,1,0)</f>
        <v/>
      </c>
      <c r="O287" s="4">
        <f>IF(J287&lt;=G287,1,0)</f>
        <v/>
      </c>
      <c r="P287" s="4">
        <f>MAX(0,I287-H287)</f>
        <v/>
      </c>
      <c r="Q287" s="4">
        <f>MAX(0,J287-G287)</f>
        <v/>
      </c>
      <c r="R287" s="4">
        <f>IF(AND(N287=1,O287=1),"On Track",IF(O287=0,"Customer Delivery Late","Ship Late"))</f>
        <v/>
      </c>
    </row>
    <row r="288">
      <c r="A288" s="2" t="inlineStr">
        <is>
          <t>ORD-00287</t>
        </is>
      </c>
      <c r="B288" s="2" t="inlineStr">
        <is>
          <t>Customer 05</t>
        </is>
      </c>
      <c r="C288" s="2" t="inlineStr">
        <is>
          <t>Sensor</t>
        </is>
      </c>
      <c r="D288" s="2" t="inlineStr">
        <is>
          <t>Plant C</t>
        </is>
      </c>
      <c r="E288" s="2" t="inlineStr">
        <is>
          <t>Central</t>
        </is>
      </c>
      <c r="F288" s="12" t="n">
        <v>46186</v>
      </c>
      <c r="G288" s="12" t="n">
        <v>46206</v>
      </c>
      <c r="H288" s="12" t="n">
        <v>46203</v>
      </c>
      <c r="I288" s="12" t="n">
        <v>46201</v>
      </c>
      <c r="J288" s="12" t="n">
        <v>46204</v>
      </c>
      <c r="K288" s="2" t="n">
        <v>1402</v>
      </c>
      <c r="L288" s="2" t="inlineStr">
        <is>
          <t>Air</t>
        </is>
      </c>
      <c r="M288" s="2" t="inlineStr">
        <is>
          <t>No Delay</t>
        </is>
      </c>
      <c r="N288" s="4">
        <f>IF(I288&lt;=H288,1,0)</f>
        <v/>
      </c>
      <c r="O288" s="4">
        <f>IF(J288&lt;=G288,1,0)</f>
        <v/>
      </c>
      <c r="P288" s="4">
        <f>MAX(0,I288-H288)</f>
        <v/>
      </c>
      <c r="Q288" s="4">
        <f>MAX(0,J288-G288)</f>
        <v/>
      </c>
      <c r="R288" s="4">
        <f>IF(AND(N288=1,O288=1),"On Track",IF(O288=0,"Customer Delivery Late","Ship Late"))</f>
        <v/>
      </c>
    </row>
    <row r="289">
      <c r="A289" s="2" t="inlineStr">
        <is>
          <t>ORD-00288</t>
        </is>
      </c>
      <c r="B289" s="2" t="inlineStr">
        <is>
          <t>Customer 11</t>
        </is>
      </c>
      <c r="C289" s="2" t="inlineStr">
        <is>
          <t>Drive</t>
        </is>
      </c>
      <c r="D289" s="2" t="inlineStr">
        <is>
          <t>Plant B</t>
        </is>
      </c>
      <c r="E289" s="2" t="inlineStr">
        <is>
          <t>South</t>
        </is>
      </c>
      <c r="F289" s="12" t="n">
        <v>46190</v>
      </c>
      <c r="G289" s="12" t="n">
        <v>46197</v>
      </c>
      <c r="H289" s="12" t="n">
        <v>46195</v>
      </c>
      <c r="I289" s="12" t="n">
        <v>46195</v>
      </c>
      <c r="J289" s="12" t="n">
        <v>46197</v>
      </c>
      <c r="K289" s="2" t="n">
        <v>959</v>
      </c>
      <c r="L289" s="2" t="inlineStr">
        <is>
          <t>Road</t>
        </is>
      </c>
      <c r="M289" s="2" t="inlineStr">
        <is>
          <t>No Delay</t>
        </is>
      </c>
      <c r="N289" s="4">
        <f>IF(I289&lt;=H289,1,0)</f>
        <v/>
      </c>
      <c r="O289" s="4">
        <f>IF(J289&lt;=G289,1,0)</f>
        <v/>
      </c>
      <c r="P289" s="4">
        <f>MAX(0,I289-H289)</f>
        <v/>
      </c>
      <c r="Q289" s="4">
        <f>MAX(0,J289-G289)</f>
        <v/>
      </c>
      <c r="R289" s="4">
        <f>IF(AND(N289=1,O289=1),"On Track",IF(O289=0,"Customer Delivery Late","Ship Late"))</f>
        <v/>
      </c>
    </row>
    <row r="290">
      <c r="A290" s="2" t="inlineStr">
        <is>
          <t>ORD-00289</t>
        </is>
      </c>
      <c r="B290" s="2" t="inlineStr">
        <is>
          <t>Customer 17</t>
        </is>
      </c>
      <c r="C290" s="2" t="inlineStr">
        <is>
          <t>Contactor</t>
        </is>
      </c>
      <c r="D290" s="2" t="inlineStr">
        <is>
          <t>Plant C</t>
        </is>
      </c>
      <c r="E290" s="2" t="inlineStr">
        <is>
          <t>Export</t>
        </is>
      </c>
      <c r="F290" s="12" t="n">
        <v>46143</v>
      </c>
      <c r="G290" s="12" t="n">
        <v>46149</v>
      </c>
      <c r="H290" s="12" t="n">
        <v>46144</v>
      </c>
      <c r="I290" s="12" t="n">
        <v>46144</v>
      </c>
      <c r="J290" s="12" t="n">
        <v>46149</v>
      </c>
      <c r="K290" s="2" t="n">
        <v>1095</v>
      </c>
      <c r="L290" s="2" t="inlineStr">
        <is>
          <t>Air</t>
        </is>
      </c>
      <c r="M290" s="2" t="inlineStr">
        <is>
          <t>No Delay</t>
        </is>
      </c>
      <c r="N290" s="4">
        <f>IF(I290&lt;=H290,1,0)</f>
        <v/>
      </c>
      <c r="O290" s="4">
        <f>IF(J290&lt;=G290,1,0)</f>
        <v/>
      </c>
      <c r="P290" s="4">
        <f>MAX(0,I290-H290)</f>
        <v/>
      </c>
      <c r="Q290" s="4">
        <f>MAX(0,J290-G290)</f>
        <v/>
      </c>
      <c r="R290" s="4">
        <f>IF(AND(N290=1,O290=1),"On Track",IF(O290=0,"Customer Delivery Late","Ship Late"))</f>
        <v/>
      </c>
    </row>
    <row r="291">
      <c r="A291" s="2" t="inlineStr">
        <is>
          <t>ORD-00290</t>
        </is>
      </c>
      <c r="B291" s="2" t="inlineStr">
        <is>
          <t>Customer 29</t>
        </is>
      </c>
      <c r="C291" s="2" t="inlineStr">
        <is>
          <t>Switchgear</t>
        </is>
      </c>
      <c r="D291" s="2" t="inlineStr">
        <is>
          <t>Plant A</t>
        </is>
      </c>
      <c r="E291" s="2" t="inlineStr">
        <is>
          <t>South</t>
        </is>
      </c>
      <c r="F291" s="12" t="n">
        <v>46128</v>
      </c>
      <c r="G291" s="12" t="n">
        <v>46134</v>
      </c>
      <c r="H291" s="12" t="n">
        <v>46132</v>
      </c>
      <c r="I291" s="12" t="n">
        <v>46130</v>
      </c>
      <c r="J291" s="12" t="n">
        <v>46132</v>
      </c>
      <c r="K291" s="2" t="n">
        <v>1475</v>
      </c>
      <c r="L291" s="2" t="inlineStr">
        <is>
          <t>Road</t>
        </is>
      </c>
      <c r="M291" s="2" t="inlineStr">
        <is>
          <t>No Delay</t>
        </is>
      </c>
      <c r="N291" s="4">
        <f>IF(I291&lt;=H291,1,0)</f>
        <v/>
      </c>
      <c r="O291" s="4">
        <f>IF(J291&lt;=G291,1,0)</f>
        <v/>
      </c>
      <c r="P291" s="4">
        <f>MAX(0,I291-H291)</f>
        <v/>
      </c>
      <c r="Q291" s="4">
        <f>MAX(0,J291-G291)</f>
        <v/>
      </c>
      <c r="R291" s="4">
        <f>IF(AND(N291=1,O291=1),"On Track",IF(O291=0,"Customer Delivery Late","Ship Late"))</f>
        <v/>
      </c>
    </row>
    <row r="292">
      <c r="A292" s="2" t="inlineStr">
        <is>
          <t>ORD-00291</t>
        </is>
      </c>
      <c r="B292" s="2" t="inlineStr">
        <is>
          <t>Customer 25</t>
        </is>
      </c>
      <c r="C292" s="2" t="inlineStr">
        <is>
          <t>Relay</t>
        </is>
      </c>
      <c r="D292" s="2" t="inlineStr">
        <is>
          <t>Plant C</t>
        </is>
      </c>
      <c r="E292" s="2" t="inlineStr">
        <is>
          <t>Central</t>
        </is>
      </c>
      <c r="F292" s="12" t="n">
        <v>46043</v>
      </c>
      <c r="G292" s="12" t="n">
        <v>46063</v>
      </c>
      <c r="H292" s="12" t="n">
        <v>46060</v>
      </c>
      <c r="I292" s="12" t="n">
        <v>46058</v>
      </c>
      <c r="J292" s="12" t="n">
        <v>46066</v>
      </c>
      <c r="K292" s="2" t="n">
        <v>1012</v>
      </c>
      <c r="L292" s="2" t="inlineStr">
        <is>
          <t>Road</t>
        </is>
      </c>
      <c r="M292" s="2" t="inlineStr">
        <is>
          <t>Production Delay</t>
        </is>
      </c>
      <c r="N292" s="4">
        <f>IF(I292&lt;=H292,1,0)</f>
        <v/>
      </c>
      <c r="O292" s="4">
        <f>IF(J292&lt;=G292,1,0)</f>
        <v/>
      </c>
      <c r="P292" s="4">
        <f>MAX(0,I292-H292)</f>
        <v/>
      </c>
      <c r="Q292" s="4">
        <f>MAX(0,J292-G292)</f>
        <v/>
      </c>
      <c r="R292" s="4">
        <f>IF(AND(N292=1,O292=1),"On Track",IF(O292=0,"Customer Delivery Late","Ship Late"))</f>
        <v/>
      </c>
    </row>
    <row r="293">
      <c r="A293" s="2" t="inlineStr">
        <is>
          <t>ORD-00292</t>
        </is>
      </c>
      <c r="B293" s="2" t="inlineStr">
        <is>
          <t>Customer 02</t>
        </is>
      </c>
      <c r="C293" s="2" t="inlineStr">
        <is>
          <t>PLC</t>
        </is>
      </c>
      <c r="D293" s="2" t="inlineStr">
        <is>
          <t>Plant C</t>
        </is>
      </c>
      <c r="E293" s="2" t="inlineStr">
        <is>
          <t>South</t>
        </is>
      </c>
      <c r="F293" s="12" t="n">
        <v>46056</v>
      </c>
      <c r="G293" s="12" t="n">
        <v>46080</v>
      </c>
      <c r="H293" s="12" t="n">
        <v>46076</v>
      </c>
      <c r="I293" s="12" t="n">
        <v>46075</v>
      </c>
      <c r="J293" s="12" t="n">
        <v>46079</v>
      </c>
      <c r="K293" s="2" t="n">
        <v>38</v>
      </c>
      <c r="L293" s="2" t="inlineStr">
        <is>
          <t>Air</t>
        </is>
      </c>
      <c r="M293" s="2" t="inlineStr">
        <is>
          <t>No Delay</t>
        </is>
      </c>
      <c r="N293" s="4">
        <f>IF(I293&lt;=H293,1,0)</f>
        <v/>
      </c>
      <c r="O293" s="4">
        <f>IF(J293&lt;=G293,1,0)</f>
        <v/>
      </c>
      <c r="P293" s="4">
        <f>MAX(0,I293-H293)</f>
        <v/>
      </c>
      <c r="Q293" s="4">
        <f>MAX(0,J293-G293)</f>
        <v/>
      </c>
      <c r="R293" s="4">
        <f>IF(AND(N293=1,O293=1),"On Track",IF(O293=0,"Customer Delivery Late","Ship Late"))</f>
        <v/>
      </c>
    </row>
    <row r="294">
      <c r="A294" s="2" t="inlineStr">
        <is>
          <t>ORD-00293</t>
        </is>
      </c>
      <c r="B294" s="2" t="inlineStr">
        <is>
          <t>Customer 12</t>
        </is>
      </c>
      <c r="C294" s="2" t="inlineStr">
        <is>
          <t>Sensor</t>
        </is>
      </c>
      <c r="D294" s="2" t="inlineStr">
        <is>
          <t>Plant A</t>
        </is>
      </c>
      <c r="E294" s="2" t="inlineStr">
        <is>
          <t>North</t>
        </is>
      </c>
      <c r="F294" s="12" t="n">
        <v>46158</v>
      </c>
      <c r="G294" s="12" t="n">
        <v>46169</v>
      </c>
      <c r="H294" s="12" t="n">
        <v>46168</v>
      </c>
      <c r="I294" s="12" t="n">
        <v>46168</v>
      </c>
      <c r="J294" s="12" t="n">
        <v>46169</v>
      </c>
      <c r="K294" s="2" t="n">
        <v>795</v>
      </c>
      <c r="L294" s="2" t="inlineStr">
        <is>
          <t>Sea</t>
        </is>
      </c>
      <c r="M294" s="2" t="inlineStr">
        <is>
          <t>No Delay</t>
        </is>
      </c>
      <c r="N294" s="4">
        <f>IF(I294&lt;=H294,1,0)</f>
        <v/>
      </c>
      <c r="O294" s="4">
        <f>IF(J294&lt;=G294,1,0)</f>
        <v/>
      </c>
      <c r="P294" s="4">
        <f>MAX(0,I294-H294)</f>
        <v/>
      </c>
      <c r="Q294" s="4">
        <f>MAX(0,J294-G294)</f>
        <v/>
      </c>
      <c r="R294" s="4">
        <f>IF(AND(N294=1,O294=1),"On Track",IF(O294=0,"Customer Delivery Late","Ship Late"))</f>
        <v/>
      </c>
    </row>
    <row r="295">
      <c r="A295" s="2" t="inlineStr">
        <is>
          <t>ORD-00294</t>
        </is>
      </c>
      <c r="B295" s="2" t="inlineStr">
        <is>
          <t>Customer 17</t>
        </is>
      </c>
      <c r="C295" s="2" t="inlineStr">
        <is>
          <t>Drive</t>
        </is>
      </c>
      <c r="D295" s="2" t="inlineStr">
        <is>
          <t>Plant B</t>
        </is>
      </c>
      <c r="E295" s="2" t="inlineStr">
        <is>
          <t>Central</t>
        </is>
      </c>
      <c r="F295" s="12" t="n">
        <v>46173</v>
      </c>
      <c r="G295" s="12" t="n">
        <v>46187</v>
      </c>
      <c r="H295" s="12" t="n">
        <v>46185</v>
      </c>
      <c r="I295" s="12" t="n">
        <v>46183</v>
      </c>
      <c r="J295" s="12" t="n">
        <v>46185</v>
      </c>
      <c r="K295" s="2" t="n">
        <v>711</v>
      </c>
      <c r="L295" s="2" t="inlineStr">
        <is>
          <t>Air</t>
        </is>
      </c>
      <c r="M295" s="2" t="inlineStr">
        <is>
          <t>No Delay</t>
        </is>
      </c>
      <c r="N295" s="4">
        <f>IF(I295&lt;=H295,1,0)</f>
        <v/>
      </c>
      <c r="O295" s="4">
        <f>IF(J295&lt;=G295,1,0)</f>
        <v/>
      </c>
      <c r="P295" s="4">
        <f>MAX(0,I295-H295)</f>
        <v/>
      </c>
      <c r="Q295" s="4">
        <f>MAX(0,J295-G295)</f>
        <v/>
      </c>
      <c r="R295" s="4">
        <f>IF(AND(N295=1,O295=1),"On Track",IF(O295=0,"Customer Delivery Late","Ship Late"))</f>
        <v/>
      </c>
    </row>
    <row r="296">
      <c r="A296" s="2" t="inlineStr">
        <is>
          <t>ORD-00295</t>
        </is>
      </c>
      <c r="B296" s="2" t="inlineStr">
        <is>
          <t>Customer 05</t>
        </is>
      </c>
      <c r="C296" s="2" t="inlineStr">
        <is>
          <t>PLC</t>
        </is>
      </c>
      <c r="D296" s="2" t="inlineStr">
        <is>
          <t>Plant C</t>
        </is>
      </c>
      <c r="E296" s="2" t="inlineStr">
        <is>
          <t>North</t>
        </is>
      </c>
      <c r="F296" s="12" t="n">
        <v>46114</v>
      </c>
      <c r="G296" s="12" t="n">
        <v>46125</v>
      </c>
      <c r="H296" s="12" t="n">
        <v>46123</v>
      </c>
      <c r="I296" s="12" t="n">
        <v>46122</v>
      </c>
      <c r="J296" s="12" t="n">
        <v>46124</v>
      </c>
      <c r="K296" s="2" t="n">
        <v>1217</v>
      </c>
      <c r="L296" s="2" t="inlineStr">
        <is>
          <t>Sea</t>
        </is>
      </c>
      <c r="M296" s="2" t="inlineStr">
        <is>
          <t>No Delay</t>
        </is>
      </c>
      <c r="N296" s="4">
        <f>IF(I296&lt;=H296,1,0)</f>
        <v/>
      </c>
      <c r="O296" s="4">
        <f>IF(J296&lt;=G296,1,0)</f>
        <v/>
      </c>
      <c r="P296" s="4">
        <f>MAX(0,I296-H296)</f>
        <v/>
      </c>
      <c r="Q296" s="4">
        <f>MAX(0,J296-G296)</f>
        <v/>
      </c>
      <c r="R296" s="4">
        <f>IF(AND(N296=1,O296=1),"On Track",IF(O296=0,"Customer Delivery Late","Ship Late"))</f>
        <v/>
      </c>
    </row>
    <row r="297">
      <c r="A297" s="2" t="inlineStr">
        <is>
          <t>ORD-00296</t>
        </is>
      </c>
      <c r="B297" s="2" t="inlineStr">
        <is>
          <t>Customer 20</t>
        </is>
      </c>
      <c r="C297" s="2" t="inlineStr">
        <is>
          <t>Breaker</t>
        </is>
      </c>
      <c r="D297" s="2" t="inlineStr">
        <is>
          <t>Plant C</t>
        </is>
      </c>
      <c r="E297" s="2" t="inlineStr">
        <is>
          <t>North</t>
        </is>
      </c>
      <c r="F297" s="12" t="n">
        <v>46066</v>
      </c>
      <c r="G297" s="12" t="n">
        <v>46074</v>
      </c>
      <c r="H297" s="12" t="n">
        <v>46071</v>
      </c>
      <c r="I297" s="12" t="n">
        <v>46069</v>
      </c>
      <c r="J297" s="12" t="n">
        <v>46072</v>
      </c>
      <c r="K297" s="2" t="n">
        <v>1365</v>
      </c>
      <c r="L297" s="2" t="inlineStr">
        <is>
          <t>Road</t>
        </is>
      </c>
      <c r="M297" s="2" t="inlineStr">
        <is>
          <t>No Delay</t>
        </is>
      </c>
      <c r="N297" s="4">
        <f>IF(I297&lt;=H297,1,0)</f>
        <v/>
      </c>
      <c r="O297" s="4">
        <f>IF(J297&lt;=G297,1,0)</f>
        <v/>
      </c>
      <c r="P297" s="4">
        <f>MAX(0,I297-H297)</f>
        <v/>
      </c>
      <c r="Q297" s="4">
        <f>MAX(0,J297-G297)</f>
        <v/>
      </c>
      <c r="R297" s="4">
        <f>IF(AND(N297=1,O297=1),"On Track",IF(O297=0,"Customer Delivery Late","Ship Late"))</f>
        <v/>
      </c>
    </row>
    <row r="298">
      <c r="A298" s="2" t="inlineStr">
        <is>
          <t>ORD-00297</t>
        </is>
      </c>
      <c r="B298" s="2" t="inlineStr">
        <is>
          <t>Customer 09</t>
        </is>
      </c>
      <c r="C298" s="2" t="inlineStr">
        <is>
          <t>Switchgear</t>
        </is>
      </c>
      <c r="D298" s="2" t="inlineStr">
        <is>
          <t>Plant C</t>
        </is>
      </c>
      <c r="E298" s="2" t="inlineStr">
        <is>
          <t>Central</t>
        </is>
      </c>
      <c r="F298" s="12" t="n">
        <v>46190</v>
      </c>
      <c r="G298" s="12" t="n">
        <v>46195</v>
      </c>
      <c r="H298" s="12" t="n">
        <v>46194</v>
      </c>
      <c r="I298" s="12" t="n">
        <v>46193</v>
      </c>
      <c r="J298" s="12" t="n">
        <v>46194</v>
      </c>
      <c r="K298" s="2" t="n">
        <v>430</v>
      </c>
      <c r="L298" s="2" t="inlineStr">
        <is>
          <t>Sea</t>
        </is>
      </c>
      <c r="M298" s="2" t="inlineStr">
        <is>
          <t>No Delay</t>
        </is>
      </c>
      <c r="N298" s="4">
        <f>IF(I298&lt;=H298,1,0)</f>
        <v/>
      </c>
      <c r="O298" s="4">
        <f>IF(J298&lt;=G298,1,0)</f>
        <v/>
      </c>
      <c r="P298" s="4">
        <f>MAX(0,I298-H298)</f>
        <v/>
      </c>
      <c r="Q298" s="4">
        <f>MAX(0,J298-G298)</f>
        <v/>
      </c>
      <c r="R298" s="4">
        <f>IF(AND(N298=1,O298=1),"On Track",IF(O298=0,"Customer Delivery Late","Ship Late"))</f>
        <v/>
      </c>
    </row>
    <row r="299">
      <c r="A299" s="2" t="inlineStr">
        <is>
          <t>ORD-00298</t>
        </is>
      </c>
      <c r="B299" s="2" t="inlineStr">
        <is>
          <t>Customer 23</t>
        </is>
      </c>
      <c r="C299" s="2" t="inlineStr">
        <is>
          <t>Relay</t>
        </is>
      </c>
      <c r="D299" s="2" t="inlineStr">
        <is>
          <t>Plant B</t>
        </is>
      </c>
      <c r="E299" s="2" t="inlineStr">
        <is>
          <t>North</t>
        </is>
      </c>
      <c r="F299" s="12" t="n">
        <v>46198</v>
      </c>
      <c r="G299" s="12" t="n">
        <v>46223</v>
      </c>
      <c r="H299" s="12" t="n">
        <v>46222</v>
      </c>
      <c r="I299" s="12" t="n">
        <v>46222</v>
      </c>
      <c r="J299" s="12" t="n">
        <v>46224</v>
      </c>
      <c r="K299" s="2" t="n">
        <v>1057</v>
      </c>
      <c r="L299" s="2" t="inlineStr">
        <is>
          <t>Sea</t>
        </is>
      </c>
      <c r="M299" s="2" t="inlineStr">
        <is>
          <t>Capacity Constraint</t>
        </is>
      </c>
      <c r="N299" s="4">
        <f>IF(I299&lt;=H299,1,0)</f>
        <v/>
      </c>
      <c r="O299" s="4">
        <f>IF(J299&lt;=G299,1,0)</f>
        <v/>
      </c>
      <c r="P299" s="4">
        <f>MAX(0,I299-H299)</f>
        <v/>
      </c>
      <c r="Q299" s="4">
        <f>MAX(0,J299-G299)</f>
        <v/>
      </c>
      <c r="R299" s="4">
        <f>IF(AND(N299=1,O299=1),"On Track",IF(O299=0,"Customer Delivery Late","Ship Late"))</f>
        <v/>
      </c>
    </row>
    <row r="300">
      <c r="A300" s="2" t="inlineStr">
        <is>
          <t>ORD-00299</t>
        </is>
      </c>
      <c r="B300" s="2" t="inlineStr">
        <is>
          <t>Customer 25</t>
        </is>
      </c>
      <c r="C300" s="2" t="inlineStr">
        <is>
          <t>Sensor</t>
        </is>
      </c>
      <c r="D300" s="2" t="inlineStr">
        <is>
          <t>Plant C</t>
        </is>
      </c>
      <c r="E300" s="2" t="inlineStr">
        <is>
          <t>Central</t>
        </is>
      </c>
      <c r="F300" s="12" t="n">
        <v>46181</v>
      </c>
      <c r="G300" s="12" t="n">
        <v>46189</v>
      </c>
      <c r="H300" s="12" t="n">
        <v>46186</v>
      </c>
      <c r="I300" s="12" t="n">
        <v>46184</v>
      </c>
      <c r="J300" s="12" t="n">
        <v>46187</v>
      </c>
      <c r="K300" s="2" t="n">
        <v>743</v>
      </c>
      <c r="L300" s="2" t="inlineStr">
        <is>
          <t>Sea</t>
        </is>
      </c>
      <c r="M300" s="2" t="inlineStr">
        <is>
          <t>No Delay</t>
        </is>
      </c>
      <c r="N300" s="4">
        <f>IF(I300&lt;=H300,1,0)</f>
        <v/>
      </c>
      <c r="O300" s="4">
        <f>IF(J300&lt;=G300,1,0)</f>
        <v/>
      </c>
      <c r="P300" s="4">
        <f>MAX(0,I300-H300)</f>
        <v/>
      </c>
      <c r="Q300" s="4">
        <f>MAX(0,J300-G300)</f>
        <v/>
      </c>
      <c r="R300" s="4">
        <f>IF(AND(N300=1,O300=1),"On Track",IF(O300=0,"Customer Delivery Late","Ship Late"))</f>
        <v/>
      </c>
    </row>
    <row r="301">
      <c r="A301" s="2" t="inlineStr">
        <is>
          <t>ORD-00300</t>
        </is>
      </c>
      <c r="B301" s="2" t="inlineStr">
        <is>
          <t>Customer 01</t>
        </is>
      </c>
      <c r="C301" s="2" t="inlineStr">
        <is>
          <t>Breaker</t>
        </is>
      </c>
      <c r="D301" s="2" t="inlineStr">
        <is>
          <t>Plant C</t>
        </is>
      </c>
      <c r="E301" s="2" t="inlineStr">
        <is>
          <t>North</t>
        </is>
      </c>
      <c r="F301" s="12" t="n">
        <v>46127</v>
      </c>
      <c r="G301" s="12" t="n">
        <v>46141</v>
      </c>
      <c r="H301" s="12" t="n">
        <v>46139</v>
      </c>
      <c r="I301" s="12" t="n">
        <v>46138</v>
      </c>
      <c r="J301" s="12" t="n">
        <v>46140</v>
      </c>
      <c r="K301" s="2" t="n">
        <v>236</v>
      </c>
      <c r="L301" s="2" t="inlineStr">
        <is>
          <t>Sea</t>
        </is>
      </c>
      <c r="M301" s="2" t="inlineStr">
        <is>
          <t>No Delay</t>
        </is>
      </c>
      <c r="N301" s="4">
        <f>IF(I301&lt;=H301,1,0)</f>
        <v/>
      </c>
      <c r="O301" s="4">
        <f>IF(J301&lt;=G301,1,0)</f>
        <v/>
      </c>
      <c r="P301" s="4">
        <f>MAX(0,I301-H301)</f>
        <v/>
      </c>
      <c r="Q301" s="4">
        <f>MAX(0,J301-G301)</f>
        <v/>
      </c>
      <c r="R301" s="4">
        <f>IF(AND(N301=1,O301=1),"On Track",IF(O301=0,"Customer Delivery Late","Ship Late"))</f>
        <v/>
      </c>
    </row>
    <row r="302">
      <c r="A302" s="2" t="inlineStr">
        <is>
          <t>ORD-00301</t>
        </is>
      </c>
      <c r="B302" s="2" t="inlineStr">
        <is>
          <t>Customer 21</t>
        </is>
      </c>
      <c r="C302" s="2" t="inlineStr">
        <is>
          <t>PLC</t>
        </is>
      </c>
      <c r="D302" s="2" t="inlineStr">
        <is>
          <t>Plant B</t>
        </is>
      </c>
      <c r="E302" s="2" t="inlineStr">
        <is>
          <t>South</t>
        </is>
      </c>
      <c r="F302" s="12" t="n">
        <v>46194</v>
      </c>
      <c r="G302" s="12" t="n">
        <v>46214</v>
      </c>
      <c r="H302" s="12" t="n">
        <v>46212</v>
      </c>
      <c r="I302" s="12" t="n">
        <v>46212</v>
      </c>
      <c r="J302" s="12" t="n">
        <v>46213</v>
      </c>
      <c r="K302" s="2" t="n">
        <v>550</v>
      </c>
      <c r="L302" s="2" t="inlineStr">
        <is>
          <t>Air</t>
        </is>
      </c>
      <c r="M302" s="2" t="inlineStr">
        <is>
          <t>No Delay</t>
        </is>
      </c>
      <c r="N302" s="4">
        <f>IF(I302&lt;=H302,1,0)</f>
        <v/>
      </c>
      <c r="O302" s="4">
        <f>IF(J302&lt;=G302,1,0)</f>
        <v/>
      </c>
      <c r="P302" s="4">
        <f>MAX(0,I302-H302)</f>
        <v/>
      </c>
      <c r="Q302" s="4">
        <f>MAX(0,J302-G302)</f>
        <v/>
      </c>
      <c r="R302" s="4">
        <f>IF(AND(N302=1,O302=1),"On Track",IF(O302=0,"Customer Delivery Late","Ship Late"))</f>
        <v/>
      </c>
    </row>
    <row r="303">
      <c r="A303" s="2" t="inlineStr">
        <is>
          <t>ORD-00302</t>
        </is>
      </c>
      <c r="B303" s="2" t="inlineStr">
        <is>
          <t>Customer 04</t>
        </is>
      </c>
      <c r="C303" s="2" t="inlineStr">
        <is>
          <t>Contactor</t>
        </is>
      </c>
      <c r="D303" s="2" t="inlineStr">
        <is>
          <t>Plant A</t>
        </is>
      </c>
      <c r="E303" s="2" t="inlineStr">
        <is>
          <t>North</t>
        </is>
      </c>
      <c r="F303" s="12" t="n">
        <v>46035</v>
      </c>
      <c r="G303" s="12" t="n">
        <v>46043</v>
      </c>
      <c r="H303" s="12" t="n">
        <v>46041</v>
      </c>
      <c r="I303" s="12" t="n">
        <v>46040</v>
      </c>
      <c r="J303" s="12" t="n">
        <v>46042</v>
      </c>
      <c r="K303" s="2" t="n">
        <v>293</v>
      </c>
      <c r="L303" s="2" t="inlineStr">
        <is>
          <t>Sea</t>
        </is>
      </c>
      <c r="M303" s="2" t="inlineStr">
        <is>
          <t>No Delay</t>
        </is>
      </c>
      <c r="N303" s="4">
        <f>IF(I303&lt;=H303,1,0)</f>
        <v/>
      </c>
      <c r="O303" s="4">
        <f>IF(J303&lt;=G303,1,0)</f>
        <v/>
      </c>
      <c r="P303" s="4">
        <f>MAX(0,I303-H303)</f>
        <v/>
      </c>
      <c r="Q303" s="4">
        <f>MAX(0,J303-G303)</f>
        <v/>
      </c>
      <c r="R303" s="4">
        <f>IF(AND(N303=1,O303=1),"On Track",IF(O303=0,"Customer Delivery Late","Ship Late"))</f>
        <v/>
      </c>
    </row>
    <row r="304">
      <c r="A304" s="2" t="inlineStr">
        <is>
          <t>ORD-00303</t>
        </is>
      </c>
      <c r="B304" s="2" t="inlineStr">
        <is>
          <t>Customer 11</t>
        </is>
      </c>
      <c r="C304" s="2" t="inlineStr">
        <is>
          <t>Relay</t>
        </is>
      </c>
      <c r="D304" s="2" t="inlineStr">
        <is>
          <t>Plant A</t>
        </is>
      </c>
      <c r="E304" s="2" t="inlineStr">
        <is>
          <t>Export</t>
        </is>
      </c>
      <c r="F304" s="12" t="n">
        <v>46188</v>
      </c>
      <c r="G304" s="12" t="n">
        <v>46198</v>
      </c>
      <c r="H304" s="12" t="n">
        <v>46195</v>
      </c>
      <c r="I304" s="12" t="n">
        <v>46194</v>
      </c>
      <c r="J304" s="12" t="n">
        <v>46196</v>
      </c>
      <c r="K304" s="2" t="n">
        <v>829</v>
      </c>
      <c r="L304" s="2" t="inlineStr">
        <is>
          <t>Air</t>
        </is>
      </c>
      <c r="M304" s="2" t="inlineStr">
        <is>
          <t>No Delay</t>
        </is>
      </c>
      <c r="N304" s="4">
        <f>IF(I304&lt;=H304,1,0)</f>
        <v/>
      </c>
      <c r="O304" s="4">
        <f>IF(J304&lt;=G304,1,0)</f>
        <v/>
      </c>
      <c r="P304" s="4">
        <f>MAX(0,I304-H304)</f>
        <v/>
      </c>
      <c r="Q304" s="4">
        <f>MAX(0,J304-G304)</f>
        <v/>
      </c>
      <c r="R304" s="4">
        <f>IF(AND(N304=1,O304=1),"On Track",IF(O304=0,"Customer Delivery Late","Ship Late"))</f>
        <v/>
      </c>
    </row>
    <row r="305">
      <c r="A305" s="2" t="inlineStr">
        <is>
          <t>ORD-00304</t>
        </is>
      </c>
      <c r="B305" s="2" t="inlineStr">
        <is>
          <t>Customer 24</t>
        </is>
      </c>
      <c r="C305" s="2" t="inlineStr">
        <is>
          <t>Breaker</t>
        </is>
      </c>
      <c r="D305" s="2" t="inlineStr">
        <is>
          <t>Plant A</t>
        </is>
      </c>
      <c r="E305" s="2" t="inlineStr">
        <is>
          <t>North</t>
        </is>
      </c>
      <c r="F305" s="12" t="n">
        <v>46092</v>
      </c>
      <c r="G305" s="12" t="n">
        <v>46109</v>
      </c>
      <c r="H305" s="12" t="n">
        <v>46105</v>
      </c>
      <c r="I305" s="12" t="n">
        <v>46105</v>
      </c>
      <c r="J305" s="12" t="n">
        <v>46108</v>
      </c>
      <c r="K305" s="2" t="n">
        <v>862</v>
      </c>
      <c r="L305" s="2" t="inlineStr">
        <is>
          <t>Sea</t>
        </is>
      </c>
      <c r="M305" s="2" t="inlineStr">
        <is>
          <t>No Delay</t>
        </is>
      </c>
      <c r="N305" s="4">
        <f>IF(I305&lt;=H305,1,0)</f>
        <v/>
      </c>
      <c r="O305" s="4">
        <f>IF(J305&lt;=G305,1,0)</f>
        <v/>
      </c>
      <c r="P305" s="4">
        <f>MAX(0,I305-H305)</f>
        <v/>
      </c>
      <c r="Q305" s="4">
        <f>MAX(0,J305-G305)</f>
        <v/>
      </c>
      <c r="R305" s="4">
        <f>IF(AND(N305=1,O305=1),"On Track",IF(O305=0,"Customer Delivery Late","Ship Late"))</f>
        <v/>
      </c>
    </row>
    <row r="306">
      <c r="A306" s="2" t="inlineStr">
        <is>
          <t>ORD-00305</t>
        </is>
      </c>
      <c r="B306" s="2" t="inlineStr">
        <is>
          <t>Customer 22</t>
        </is>
      </c>
      <c r="C306" s="2" t="inlineStr">
        <is>
          <t>Relay</t>
        </is>
      </c>
      <c r="D306" s="2" t="inlineStr">
        <is>
          <t>Plant B</t>
        </is>
      </c>
      <c r="E306" s="2" t="inlineStr">
        <is>
          <t>Export</t>
        </is>
      </c>
      <c r="F306" s="12" t="n">
        <v>46146</v>
      </c>
      <c r="G306" s="12" t="n">
        <v>46169</v>
      </c>
      <c r="H306" s="12" t="n">
        <v>46165</v>
      </c>
      <c r="I306" s="12" t="n">
        <v>46164</v>
      </c>
      <c r="J306" s="12" t="n">
        <v>46169</v>
      </c>
      <c r="K306" s="2" t="n">
        <v>241</v>
      </c>
      <c r="L306" s="2" t="inlineStr">
        <is>
          <t>Air</t>
        </is>
      </c>
      <c r="M306" s="2" t="inlineStr">
        <is>
          <t>No Delay</t>
        </is>
      </c>
      <c r="N306" s="4">
        <f>IF(I306&lt;=H306,1,0)</f>
        <v/>
      </c>
      <c r="O306" s="4">
        <f>IF(J306&lt;=G306,1,0)</f>
        <v/>
      </c>
      <c r="P306" s="4">
        <f>MAX(0,I306-H306)</f>
        <v/>
      </c>
      <c r="Q306" s="4">
        <f>MAX(0,J306-G306)</f>
        <v/>
      </c>
      <c r="R306" s="4">
        <f>IF(AND(N306=1,O306=1),"On Track",IF(O306=0,"Customer Delivery Late","Ship Late"))</f>
        <v/>
      </c>
    </row>
    <row r="307">
      <c r="A307" s="2" t="inlineStr">
        <is>
          <t>ORD-00306</t>
        </is>
      </c>
      <c r="B307" s="2" t="inlineStr">
        <is>
          <t>Customer 19</t>
        </is>
      </c>
      <c r="C307" s="2" t="inlineStr">
        <is>
          <t>PLC</t>
        </is>
      </c>
      <c r="D307" s="2" t="inlineStr">
        <is>
          <t>Plant C</t>
        </is>
      </c>
      <c r="E307" s="2" t="inlineStr">
        <is>
          <t>South</t>
        </is>
      </c>
      <c r="F307" s="12" t="n">
        <v>46135</v>
      </c>
      <c r="G307" s="12" t="n">
        <v>46141</v>
      </c>
      <c r="H307" s="12" t="n">
        <v>46140</v>
      </c>
      <c r="I307" s="12" t="n">
        <v>46139</v>
      </c>
      <c r="J307" s="12" t="n">
        <v>46141</v>
      </c>
      <c r="K307" s="2" t="n">
        <v>1073</v>
      </c>
      <c r="L307" s="2" t="inlineStr">
        <is>
          <t>Sea</t>
        </is>
      </c>
      <c r="M307" s="2" t="inlineStr">
        <is>
          <t>No Delay</t>
        </is>
      </c>
      <c r="N307" s="4">
        <f>IF(I307&lt;=H307,1,0)</f>
        <v/>
      </c>
      <c r="O307" s="4">
        <f>IF(J307&lt;=G307,1,0)</f>
        <v/>
      </c>
      <c r="P307" s="4">
        <f>MAX(0,I307-H307)</f>
        <v/>
      </c>
      <c r="Q307" s="4">
        <f>MAX(0,J307-G307)</f>
        <v/>
      </c>
      <c r="R307" s="4">
        <f>IF(AND(N307=1,O307=1),"On Track",IF(O307=0,"Customer Delivery Late","Ship Late"))</f>
        <v/>
      </c>
    </row>
    <row r="308">
      <c r="A308" s="2" t="inlineStr">
        <is>
          <t>ORD-00307</t>
        </is>
      </c>
      <c r="B308" s="2" t="inlineStr">
        <is>
          <t>Customer 22</t>
        </is>
      </c>
      <c r="C308" s="2" t="inlineStr">
        <is>
          <t>Power Supply</t>
        </is>
      </c>
      <c r="D308" s="2" t="inlineStr">
        <is>
          <t>Plant A</t>
        </is>
      </c>
      <c r="E308" s="2" t="inlineStr">
        <is>
          <t>North</t>
        </is>
      </c>
      <c r="F308" s="12" t="n">
        <v>46199</v>
      </c>
      <c r="G308" s="12" t="n">
        <v>46223</v>
      </c>
      <c r="H308" s="12" t="n">
        <v>46222</v>
      </c>
      <c r="I308" s="12" t="n">
        <v>46222</v>
      </c>
      <c r="J308" s="12" t="n">
        <v>46223</v>
      </c>
      <c r="K308" s="2" t="n">
        <v>33</v>
      </c>
      <c r="L308" s="2" t="inlineStr">
        <is>
          <t>Sea</t>
        </is>
      </c>
      <c r="M308" s="2" t="inlineStr">
        <is>
          <t>No Delay</t>
        </is>
      </c>
      <c r="N308" s="4">
        <f>IF(I308&lt;=H308,1,0)</f>
        <v/>
      </c>
      <c r="O308" s="4">
        <f>IF(J308&lt;=G308,1,0)</f>
        <v/>
      </c>
      <c r="P308" s="4">
        <f>MAX(0,I308-H308)</f>
        <v/>
      </c>
      <c r="Q308" s="4">
        <f>MAX(0,J308-G308)</f>
        <v/>
      </c>
      <c r="R308" s="4">
        <f>IF(AND(N308=1,O308=1),"On Track",IF(O308=0,"Customer Delivery Late","Ship Late"))</f>
        <v/>
      </c>
    </row>
    <row r="309">
      <c r="A309" s="2" t="inlineStr">
        <is>
          <t>ORD-00308</t>
        </is>
      </c>
      <c r="B309" s="2" t="inlineStr">
        <is>
          <t>Customer 11</t>
        </is>
      </c>
      <c r="C309" s="2" t="inlineStr">
        <is>
          <t>Sensor</t>
        </is>
      </c>
      <c r="D309" s="2" t="inlineStr">
        <is>
          <t>Plant A</t>
        </is>
      </c>
      <c r="E309" s="2" t="inlineStr">
        <is>
          <t>Central</t>
        </is>
      </c>
      <c r="F309" s="12" t="n">
        <v>46063</v>
      </c>
      <c r="G309" s="12" t="n">
        <v>46084</v>
      </c>
      <c r="H309" s="12" t="n">
        <v>46080</v>
      </c>
      <c r="I309" s="12" t="n">
        <v>46078</v>
      </c>
      <c r="J309" s="12" t="n">
        <v>46082</v>
      </c>
      <c r="K309" s="2" t="n">
        <v>1137</v>
      </c>
      <c r="L309" s="2" t="inlineStr">
        <is>
          <t>Sea</t>
        </is>
      </c>
      <c r="M309" s="2" t="inlineStr">
        <is>
          <t>No Delay</t>
        </is>
      </c>
      <c r="N309" s="4">
        <f>IF(I309&lt;=H309,1,0)</f>
        <v/>
      </c>
      <c r="O309" s="4">
        <f>IF(J309&lt;=G309,1,0)</f>
        <v/>
      </c>
      <c r="P309" s="4">
        <f>MAX(0,I309-H309)</f>
        <v/>
      </c>
      <c r="Q309" s="4">
        <f>MAX(0,J309-G309)</f>
        <v/>
      </c>
      <c r="R309" s="4">
        <f>IF(AND(N309=1,O309=1),"On Track",IF(O309=0,"Customer Delivery Late","Ship Late"))</f>
        <v/>
      </c>
    </row>
    <row r="310">
      <c r="A310" s="2" t="inlineStr">
        <is>
          <t>ORD-00309</t>
        </is>
      </c>
      <c r="B310" s="2" t="inlineStr">
        <is>
          <t>Customer 15</t>
        </is>
      </c>
      <c r="C310" s="2" t="inlineStr">
        <is>
          <t>Drive</t>
        </is>
      </c>
      <c r="D310" s="2" t="inlineStr">
        <is>
          <t>Plant A</t>
        </is>
      </c>
      <c r="E310" s="2" t="inlineStr">
        <is>
          <t>Export</t>
        </is>
      </c>
      <c r="F310" s="12" t="n">
        <v>46119</v>
      </c>
      <c r="G310" s="12" t="n">
        <v>46136</v>
      </c>
      <c r="H310" s="12" t="n">
        <v>46134</v>
      </c>
      <c r="I310" s="12" t="n">
        <v>46133</v>
      </c>
      <c r="J310" s="12" t="n">
        <v>46134</v>
      </c>
      <c r="K310" s="2" t="n">
        <v>1348</v>
      </c>
      <c r="L310" s="2" t="inlineStr">
        <is>
          <t>Road</t>
        </is>
      </c>
      <c r="M310" s="2" t="inlineStr">
        <is>
          <t>No Delay</t>
        </is>
      </c>
      <c r="N310" s="4">
        <f>IF(I310&lt;=H310,1,0)</f>
        <v/>
      </c>
      <c r="O310" s="4">
        <f>IF(J310&lt;=G310,1,0)</f>
        <v/>
      </c>
      <c r="P310" s="4">
        <f>MAX(0,I310-H310)</f>
        <v/>
      </c>
      <c r="Q310" s="4">
        <f>MAX(0,J310-G310)</f>
        <v/>
      </c>
      <c r="R310" s="4">
        <f>IF(AND(N310=1,O310=1),"On Track",IF(O310=0,"Customer Delivery Late","Ship Late"))</f>
        <v/>
      </c>
    </row>
    <row r="311">
      <c r="A311" s="2" t="inlineStr">
        <is>
          <t>ORD-00310</t>
        </is>
      </c>
      <c r="B311" s="2" t="inlineStr">
        <is>
          <t>Customer 20</t>
        </is>
      </c>
      <c r="C311" s="2" t="inlineStr">
        <is>
          <t>Sensor</t>
        </is>
      </c>
      <c r="D311" s="2" t="inlineStr">
        <is>
          <t>Plant C</t>
        </is>
      </c>
      <c r="E311" s="2" t="inlineStr">
        <is>
          <t>Central</t>
        </is>
      </c>
      <c r="F311" s="12" t="n">
        <v>46049</v>
      </c>
      <c r="G311" s="12" t="n">
        <v>46066</v>
      </c>
      <c r="H311" s="12" t="n">
        <v>46062</v>
      </c>
      <c r="I311" s="12" t="n">
        <v>46062</v>
      </c>
      <c r="J311" s="12" t="n">
        <v>46065</v>
      </c>
      <c r="K311" s="2" t="n">
        <v>1350</v>
      </c>
      <c r="L311" s="2" t="inlineStr">
        <is>
          <t>Sea</t>
        </is>
      </c>
      <c r="M311" s="2" t="inlineStr">
        <is>
          <t>No Delay</t>
        </is>
      </c>
      <c r="N311" s="4">
        <f>IF(I311&lt;=H311,1,0)</f>
        <v/>
      </c>
      <c r="O311" s="4">
        <f>IF(J311&lt;=G311,1,0)</f>
        <v/>
      </c>
      <c r="P311" s="4">
        <f>MAX(0,I311-H311)</f>
        <v/>
      </c>
      <c r="Q311" s="4">
        <f>MAX(0,J311-G311)</f>
        <v/>
      </c>
      <c r="R311" s="4">
        <f>IF(AND(N311=1,O311=1),"On Track",IF(O311=0,"Customer Delivery Late","Ship Late"))</f>
        <v/>
      </c>
    </row>
    <row r="312">
      <c r="A312" s="2" t="inlineStr">
        <is>
          <t>ORD-00311</t>
        </is>
      </c>
      <c r="B312" s="2" t="inlineStr">
        <is>
          <t>Customer 20</t>
        </is>
      </c>
      <c r="C312" s="2" t="inlineStr">
        <is>
          <t>Switchgear</t>
        </is>
      </c>
      <c r="D312" s="2" t="inlineStr">
        <is>
          <t>Plant C</t>
        </is>
      </c>
      <c r="E312" s="2" t="inlineStr">
        <is>
          <t>South</t>
        </is>
      </c>
      <c r="F312" s="12" t="n">
        <v>46139</v>
      </c>
      <c r="G312" s="12" t="n">
        <v>46154</v>
      </c>
      <c r="H312" s="12" t="n">
        <v>46151</v>
      </c>
      <c r="I312" s="12" t="n">
        <v>46149</v>
      </c>
      <c r="J312" s="12" t="n">
        <v>46152</v>
      </c>
      <c r="K312" s="2" t="n">
        <v>1476</v>
      </c>
      <c r="L312" s="2" t="inlineStr">
        <is>
          <t>Air</t>
        </is>
      </c>
      <c r="M312" s="2" t="inlineStr">
        <is>
          <t>No Delay</t>
        </is>
      </c>
      <c r="N312" s="4">
        <f>IF(I312&lt;=H312,1,0)</f>
        <v/>
      </c>
      <c r="O312" s="4">
        <f>IF(J312&lt;=G312,1,0)</f>
        <v/>
      </c>
      <c r="P312" s="4">
        <f>MAX(0,I312-H312)</f>
        <v/>
      </c>
      <c r="Q312" s="4">
        <f>MAX(0,J312-G312)</f>
        <v/>
      </c>
      <c r="R312" s="4">
        <f>IF(AND(N312=1,O312=1),"On Track",IF(O312=0,"Customer Delivery Late","Ship Late"))</f>
        <v/>
      </c>
    </row>
    <row r="313">
      <c r="A313" s="2" t="inlineStr">
        <is>
          <t>ORD-00312</t>
        </is>
      </c>
      <c r="B313" s="2" t="inlineStr">
        <is>
          <t>Customer 23</t>
        </is>
      </c>
      <c r="C313" s="2" t="inlineStr">
        <is>
          <t>Contactor</t>
        </is>
      </c>
      <c r="D313" s="2" t="inlineStr">
        <is>
          <t>Plant A</t>
        </is>
      </c>
      <c r="E313" s="2" t="inlineStr">
        <is>
          <t>Central</t>
        </is>
      </c>
      <c r="F313" s="12" t="n">
        <v>46052</v>
      </c>
      <c r="G313" s="12" t="n">
        <v>46060</v>
      </c>
      <c r="H313" s="12" t="n">
        <v>46058</v>
      </c>
      <c r="I313" s="12" t="n">
        <v>46057</v>
      </c>
      <c r="J313" s="12" t="n">
        <v>46060</v>
      </c>
      <c r="K313" s="2" t="n">
        <v>1018</v>
      </c>
      <c r="L313" s="2" t="inlineStr">
        <is>
          <t>Road</t>
        </is>
      </c>
      <c r="M313" s="2" t="inlineStr">
        <is>
          <t>No Delay</t>
        </is>
      </c>
      <c r="N313" s="4">
        <f>IF(I313&lt;=H313,1,0)</f>
        <v/>
      </c>
      <c r="O313" s="4">
        <f>IF(J313&lt;=G313,1,0)</f>
        <v/>
      </c>
      <c r="P313" s="4">
        <f>MAX(0,I313-H313)</f>
        <v/>
      </c>
      <c r="Q313" s="4">
        <f>MAX(0,J313-G313)</f>
        <v/>
      </c>
      <c r="R313" s="4">
        <f>IF(AND(N313=1,O313=1),"On Track",IF(O313=0,"Customer Delivery Late","Ship Late"))</f>
        <v/>
      </c>
    </row>
    <row r="314">
      <c r="A314" s="2" t="inlineStr">
        <is>
          <t>ORD-00313</t>
        </is>
      </c>
      <c r="B314" s="2" t="inlineStr">
        <is>
          <t>Customer 27</t>
        </is>
      </c>
      <c r="C314" s="2" t="inlineStr">
        <is>
          <t>PLC</t>
        </is>
      </c>
      <c r="D314" s="2" t="inlineStr">
        <is>
          <t>Plant C</t>
        </is>
      </c>
      <c r="E314" s="2" t="inlineStr">
        <is>
          <t>South</t>
        </is>
      </c>
      <c r="F314" s="12" t="n">
        <v>46127</v>
      </c>
      <c r="G314" s="12" t="n">
        <v>46135</v>
      </c>
      <c r="H314" s="12" t="n">
        <v>46132</v>
      </c>
      <c r="I314" s="12" t="n">
        <v>46130</v>
      </c>
      <c r="J314" s="12" t="n">
        <v>46133</v>
      </c>
      <c r="K314" s="2" t="n">
        <v>230</v>
      </c>
      <c r="L314" s="2" t="inlineStr">
        <is>
          <t>Air</t>
        </is>
      </c>
      <c r="M314" s="2" t="inlineStr">
        <is>
          <t>No Delay</t>
        </is>
      </c>
      <c r="N314" s="4">
        <f>IF(I314&lt;=H314,1,0)</f>
        <v/>
      </c>
      <c r="O314" s="4">
        <f>IF(J314&lt;=G314,1,0)</f>
        <v/>
      </c>
      <c r="P314" s="4">
        <f>MAX(0,I314-H314)</f>
        <v/>
      </c>
      <c r="Q314" s="4">
        <f>MAX(0,J314-G314)</f>
        <v/>
      </c>
      <c r="R314" s="4">
        <f>IF(AND(N314=1,O314=1),"On Track",IF(O314=0,"Customer Delivery Late","Ship Late"))</f>
        <v/>
      </c>
    </row>
    <row r="315">
      <c r="A315" s="2" t="inlineStr">
        <is>
          <t>ORD-00314</t>
        </is>
      </c>
      <c r="B315" s="2" t="inlineStr">
        <is>
          <t>Customer 05</t>
        </is>
      </c>
      <c r="C315" s="2" t="inlineStr">
        <is>
          <t>Switchgear</t>
        </is>
      </c>
      <c r="D315" s="2" t="inlineStr">
        <is>
          <t>Plant A</t>
        </is>
      </c>
      <c r="E315" s="2" t="inlineStr">
        <is>
          <t>North</t>
        </is>
      </c>
      <c r="F315" s="12" t="n">
        <v>46034</v>
      </c>
      <c r="G315" s="12" t="n">
        <v>46059</v>
      </c>
      <c r="H315" s="12" t="n">
        <v>46054</v>
      </c>
      <c r="I315" s="12" t="n">
        <v>46053</v>
      </c>
      <c r="J315" s="12" t="n">
        <v>46059</v>
      </c>
      <c r="K315" s="2" t="n">
        <v>1143</v>
      </c>
      <c r="L315" s="2" t="inlineStr">
        <is>
          <t>Air</t>
        </is>
      </c>
      <c r="M315" s="2" t="inlineStr">
        <is>
          <t>No Delay</t>
        </is>
      </c>
      <c r="N315" s="4">
        <f>IF(I315&lt;=H315,1,0)</f>
        <v/>
      </c>
      <c r="O315" s="4">
        <f>IF(J315&lt;=G315,1,0)</f>
        <v/>
      </c>
      <c r="P315" s="4">
        <f>MAX(0,I315-H315)</f>
        <v/>
      </c>
      <c r="Q315" s="4">
        <f>MAX(0,J315-G315)</f>
        <v/>
      </c>
      <c r="R315" s="4">
        <f>IF(AND(N315=1,O315=1),"On Track",IF(O315=0,"Customer Delivery Late","Ship Late"))</f>
        <v/>
      </c>
    </row>
    <row r="316">
      <c r="A316" s="2" t="inlineStr">
        <is>
          <t>ORD-00315</t>
        </is>
      </c>
      <c r="B316" s="2" t="inlineStr">
        <is>
          <t>Customer 22</t>
        </is>
      </c>
      <c r="C316" s="2" t="inlineStr">
        <is>
          <t>Drive</t>
        </is>
      </c>
      <c r="D316" s="2" t="inlineStr">
        <is>
          <t>Plant C</t>
        </is>
      </c>
      <c r="E316" s="2" t="inlineStr">
        <is>
          <t>Export</t>
        </is>
      </c>
      <c r="F316" s="12" t="n">
        <v>46172</v>
      </c>
      <c r="G316" s="12" t="n">
        <v>46192</v>
      </c>
      <c r="H316" s="12" t="n">
        <v>46187</v>
      </c>
      <c r="I316" s="12" t="n">
        <v>46185</v>
      </c>
      <c r="J316" s="12" t="n">
        <v>46190</v>
      </c>
      <c r="K316" s="2" t="n">
        <v>867</v>
      </c>
      <c r="L316" s="2" t="inlineStr">
        <is>
          <t>Sea</t>
        </is>
      </c>
      <c r="M316" s="2" t="inlineStr">
        <is>
          <t>No Delay</t>
        </is>
      </c>
      <c r="N316" s="4">
        <f>IF(I316&lt;=H316,1,0)</f>
        <v/>
      </c>
      <c r="O316" s="4">
        <f>IF(J316&lt;=G316,1,0)</f>
        <v/>
      </c>
      <c r="P316" s="4">
        <f>MAX(0,I316-H316)</f>
        <v/>
      </c>
      <c r="Q316" s="4">
        <f>MAX(0,J316-G316)</f>
        <v/>
      </c>
      <c r="R316" s="4">
        <f>IF(AND(N316=1,O316=1),"On Track",IF(O316=0,"Customer Delivery Late","Ship Late"))</f>
        <v/>
      </c>
    </row>
    <row r="317">
      <c r="A317" s="2" t="inlineStr">
        <is>
          <t>ORD-00316</t>
        </is>
      </c>
      <c r="B317" s="2" t="inlineStr">
        <is>
          <t>Customer 05</t>
        </is>
      </c>
      <c r="C317" s="2" t="inlineStr">
        <is>
          <t>Power Supply</t>
        </is>
      </c>
      <c r="D317" s="2" t="inlineStr">
        <is>
          <t>Plant C</t>
        </is>
      </c>
      <c r="E317" s="2" t="inlineStr">
        <is>
          <t>South</t>
        </is>
      </c>
      <c r="F317" s="12" t="n">
        <v>46200</v>
      </c>
      <c r="G317" s="12" t="n">
        <v>46212</v>
      </c>
      <c r="H317" s="12" t="n">
        <v>46209</v>
      </c>
      <c r="I317" s="12" t="n">
        <v>46208</v>
      </c>
      <c r="J317" s="12" t="n">
        <v>46211</v>
      </c>
      <c r="K317" s="2" t="n">
        <v>1446</v>
      </c>
      <c r="L317" s="2" t="inlineStr">
        <is>
          <t>Sea</t>
        </is>
      </c>
      <c r="M317" s="2" t="inlineStr">
        <is>
          <t>No Delay</t>
        </is>
      </c>
      <c r="N317" s="4">
        <f>IF(I317&lt;=H317,1,0)</f>
        <v/>
      </c>
      <c r="O317" s="4">
        <f>IF(J317&lt;=G317,1,0)</f>
        <v/>
      </c>
      <c r="P317" s="4">
        <f>MAX(0,I317-H317)</f>
        <v/>
      </c>
      <c r="Q317" s="4">
        <f>MAX(0,J317-G317)</f>
        <v/>
      </c>
      <c r="R317" s="4">
        <f>IF(AND(N317=1,O317=1),"On Track",IF(O317=0,"Customer Delivery Late","Ship Late"))</f>
        <v/>
      </c>
    </row>
    <row r="318">
      <c r="A318" s="2" t="inlineStr">
        <is>
          <t>ORD-00317</t>
        </is>
      </c>
      <c r="B318" s="2" t="inlineStr">
        <is>
          <t>Customer 05</t>
        </is>
      </c>
      <c r="C318" s="2" t="inlineStr">
        <is>
          <t>Relay</t>
        </is>
      </c>
      <c r="D318" s="2" t="inlineStr">
        <is>
          <t>Plant C</t>
        </is>
      </c>
      <c r="E318" s="2" t="inlineStr">
        <is>
          <t>South</t>
        </is>
      </c>
      <c r="F318" s="12" t="n">
        <v>46103</v>
      </c>
      <c r="G318" s="12" t="n">
        <v>46125</v>
      </c>
      <c r="H318" s="12" t="n">
        <v>46123</v>
      </c>
      <c r="I318" s="12" t="n">
        <v>46123</v>
      </c>
      <c r="J318" s="12" t="n">
        <v>46125</v>
      </c>
      <c r="K318" s="2" t="n">
        <v>1464</v>
      </c>
      <c r="L318" s="2" t="inlineStr">
        <is>
          <t>Road</t>
        </is>
      </c>
      <c r="M318" s="2" t="inlineStr">
        <is>
          <t>No Delay</t>
        </is>
      </c>
      <c r="N318" s="4">
        <f>IF(I318&lt;=H318,1,0)</f>
        <v/>
      </c>
      <c r="O318" s="4">
        <f>IF(J318&lt;=G318,1,0)</f>
        <v/>
      </c>
      <c r="P318" s="4">
        <f>MAX(0,I318-H318)</f>
        <v/>
      </c>
      <c r="Q318" s="4">
        <f>MAX(0,J318-G318)</f>
        <v/>
      </c>
      <c r="R318" s="4">
        <f>IF(AND(N318=1,O318=1),"On Track",IF(O318=0,"Customer Delivery Late","Ship Late"))</f>
        <v/>
      </c>
    </row>
    <row r="319">
      <c r="A319" s="2" t="inlineStr">
        <is>
          <t>ORD-00318</t>
        </is>
      </c>
      <c r="B319" s="2" t="inlineStr">
        <is>
          <t>Customer 26</t>
        </is>
      </c>
      <c r="C319" s="2" t="inlineStr">
        <is>
          <t>Breaker</t>
        </is>
      </c>
      <c r="D319" s="2" t="inlineStr">
        <is>
          <t>Plant C</t>
        </is>
      </c>
      <c r="E319" s="2" t="inlineStr">
        <is>
          <t>North</t>
        </is>
      </c>
      <c r="F319" s="12" t="n">
        <v>46113</v>
      </c>
      <c r="G319" s="12" t="n">
        <v>46135</v>
      </c>
      <c r="H319" s="12" t="n">
        <v>46131</v>
      </c>
      <c r="I319" s="12" t="n">
        <v>46131</v>
      </c>
      <c r="J319" s="12" t="n">
        <v>46136</v>
      </c>
      <c r="K319" s="2" t="n">
        <v>61</v>
      </c>
      <c r="L319" s="2" t="inlineStr">
        <is>
          <t>Air</t>
        </is>
      </c>
      <c r="M319" s="2" t="inlineStr">
        <is>
          <t>Documentation Issue</t>
        </is>
      </c>
      <c r="N319" s="4">
        <f>IF(I319&lt;=H319,1,0)</f>
        <v/>
      </c>
      <c r="O319" s="4">
        <f>IF(J319&lt;=G319,1,0)</f>
        <v/>
      </c>
      <c r="P319" s="4">
        <f>MAX(0,I319-H319)</f>
        <v/>
      </c>
      <c r="Q319" s="4">
        <f>MAX(0,J319-G319)</f>
        <v/>
      </c>
      <c r="R319" s="4">
        <f>IF(AND(N319=1,O319=1),"On Track",IF(O319=0,"Customer Delivery Late","Ship Late"))</f>
        <v/>
      </c>
    </row>
    <row r="320">
      <c r="A320" s="2" t="inlineStr">
        <is>
          <t>ORD-00319</t>
        </is>
      </c>
      <c r="B320" s="2" t="inlineStr">
        <is>
          <t>Customer 02</t>
        </is>
      </c>
      <c r="C320" s="2" t="inlineStr">
        <is>
          <t>Sensor</t>
        </is>
      </c>
      <c r="D320" s="2" t="inlineStr">
        <is>
          <t>Plant A</t>
        </is>
      </c>
      <c r="E320" s="2" t="inlineStr">
        <is>
          <t>North</t>
        </is>
      </c>
      <c r="F320" s="12" t="n">
        <v>46060</v>
      </c>
      <c r="G320" s="12" t="n">
        <v>46066</v>
      </c>
      <c r="H320" s="12" t="n">
        <v>46065</v>
      </c>
      <c r="I320" s="12" t="n">
        <v>46063</v>
      </c>
      <c r="J320" s="12" t="n">
        <v>46064</v>
      </c>
      <c r="K320" s="2" t="n">
        <v>744</v>
      </c>
      <c r="L320" s="2" t="inlineStr">
        <is>
          <t>Air</t>
        </is>
      </c>
      <c r="M320" s="2" t="inlineStr">
        <is>
          <t>No Delay</t>
        </is>
      </c>
      <c r="N320" s="4">
        <f>IF(I320&lt;=H320,1,0)</f>
        <v/>
      </c>
      <c r="O320" s="4">
        <f>IF(J320&lt;=G320,1,0)</f>
        <v/>
      </c>
      <c r="P320" s="4">
        <f>MAX(0,I320-H320)</f>
        <v/>
      </c>
      <c r="Q320" s="4">
        <f>MAX(0,J320-G320)</f>
        <v/>
      </c>
      <c r="R320" s="4">
        <f>IF(AND(N320=1,O320=1),"On Track",IF(O320=0,"Customer Delivery Late","Ship Late"))</f>
        <v/>
      </c>
    </row>
    <row r="321">
      <c r="A321" s="2" t="inlineStr">
        <is>
          <t>ORD-00320</t>
        </is>
      </c>
      <c r="B321" s="2" t="inlineStr">
        <is>
          <t>Customer 26</t>
        </is>
      </c>
      <c r="C321" s="2" t="inlineStr">
        <is>
          <t>Sensor</t>
        </is>
      </c>
      <c r="D321" s="2" t="inlineStr">
        <is>
          <t>Plant C</t>
        </is>
      </c>
      <c r="E321" s="2" t="inlineStr">
        <is>
          <t>North</t>
        </is>
      </c>
      <c r="F321" s="12" t="n">
        <v>46049</v>
      </c>
      <c r="G321" s="12" t="n">
        <v>46073</v>
      </c>
      <c r="H321" s="12" t="n">
        <v>46068</v>
      </c>
      <c r="I321" s="12" t="n">
        <v>46068</v>
      </c>
      <c r="J321" s="12" t="n">
        <v>46073</v>
      </c>
      <c r="K321" s="2" t="n">
        <v>791</v>
      </c>
      <c r="L321" s="2" t="inlineStr">
        <is>
          <t>Air</t>
        </is>
      </c>
      <c r="M321" s="2" t="inlineStr">
        <is>
          <t>No Delay</t>
        </is>
      </c>
      <c r="N321" s="4">
        <f>IF(I321&lt;=H321,1,0)</f>
        <v/>
      </c>
      <c r="O321" s="4">
        <f>IF(J321&lt;=G321,1,0)</f>
        <v/>
      </c>
      <c r="P321" s="4">
        <f>MAX(0,I321-H321)</f>
        <v/>
      </c>
      <c r="Q321" s="4">
        <f>MAX(0,J321-G321)</f>
        <v/>
      </c>
      <c r="R321" s="4">
        <f>IF(AND(N321=1,O321=1),"On Track",IF(O321=0,"Customer Delivery Late","Ship Late"))</f>
        <v/>
      </c>
    </row>
    <row r="322">
      <c r="A322" s="2" t="inlineStr">
        <is>
          <t>ORD-00321</t>
        </is>
      </c>
      <c r="B322" s="2" t="inlineStr">
        <is>
          <t>Customer 25</t>
        </is>
      </c>
      <c r="C322" s="2" t="inlineStr">
        <is>
          <t>Switchgear</t>
        </is>
      </c>
      <c r="D322" s="2" t="inlineStr">
        <is>
          <t>Plant A</t>
        </is>
      </c>
      <c r="E322" s="2" t="inlineStr">
        <is>
          <t>South</t>
        </is>
      </c>
      <c r="F322" s="12" t="n">
        <v>46129</v>
      </c>
      <c r="G322" s="12" t="n">
        <v>46144</v>
      </c>
      <c r="H322" s="12" t="n">
        <v>46139</v>
      </c>
      <c r="I322" s="12" t="n">
        <v>46139</v>
      </c>
      <c r="J322" s="12" t="n">
        <v>46144</v>
      </c>
      <c r="K322" s="2" t="n">
        <v>1215</v>
      </c>
      <c r="L322" s="2" t="inlineStr">
        <is>
          <t>Sea</t>
        </is>
      </c>
      <c r="M322" s="2" t="inlineStr">
        <is>
          <t>No Delay</t>
        </is>
      </c>
      <c r="N322" s="4">
        <f>IF(I322&lt;=H322,1,0)</f>
        <v/>
      </c>
      <c r="O322" s="4">
        <f>IF(J322&lt;=G322,1,0)</f>
        <v/>
      </c>
      <c r="P322" s="4">
        <f>MAX(0,I322-H322)</f>
        <v/>
      </c>
      <c r="Q322" s="4">
        <f>MAX(0,J322-G322)</f>
        <v/>
      </c>
      <c r="R322" s="4">
        <f>IF(AND(N322=1,O322=1),"On Track",IF(O322=0,"Customer Delivery Late","Ship Late"))</f>
        <v/>
      </c>
    </row>
    <row r="323">
      <c r="A323" s="2" t="inlineStr">
        <is>
          <t>ORD-00322</t>
        </is>
      </c>
      <c r="B323" s="2" t="inlineStr">
        <is>
          <t>Customer 24</t>
        </is>
      </c>
      <c r="C323" s="2" t="inlineStr">
        <is>
          <t>Contactor</t>
        </is>
      </c>
      <c r="D323" s="2" t="inlineStr">
        <is>
          <t>Plant B</t>
        </is>
      </c>
      <c r="E323" s="2" t="inlineStr">
        <is>
          <t>North</t>
        </is>
      </c>
      <c r="F323" s="12" t="n">
        <v>46177</v>
      </c>
      <c r="G323" s="12" t="n">
        <v>46188</v>
      </c>
      <c r="H323" s="12" t="n">
        <v>46186</v>
      </c>
      <c r="I323" s="12" t="n">
        <v>46184</v>
      </c>
      <c r="J323" s="12" t="n">
        <v>46186</v>
      </c>
      <c r="K323" s="2" t="n">
        <v>887</v>
      </c>
      <c r="L323" s="2" t="inlineStr">
        <is>
          <t>Air</t>
        </is>
      </c>
      <c r="M323" s="2" t="inlineStr">
        <is>
          <t>No Delay</t>
        </is>
      </c>
      <c r="N323" s="4">
        <f>IF(I323&lt;=H323,1,0)</f>
        <v/>
      </c>
      <c r="O323" s="4">
        <f>IF(J323&lt;=G323,1,0)</f>
        <v/>
      </c>
      <c r="P323" s="4">
        <f>MAX(0,I323-H323)</f>
        <v/>
      </c>
      <c r="Q323" s="4">
        <f>MAX(0,J323-G323)</f>
        <v/>
      </c>
      <c r="R323" s="4">
        <f>IF(AND(N323=1,O323=1),"On Track",IF(O323=0,"Customer Delivery Late","Ship Late"))</f>
        <v/>
      </c>
    </row>
    <row r="324">
      <c r="A324" s="2" t="inlineStr">
        <is>
          <t>ORD-00323</t>
        </is>
      </c>
      <c r="B324" s="2" t="inlineStr">
        <is>
          <t>Customer 30</t>
        </is>
      </c>
      <c r="C324" s="2" t="inlineStr">
        <is>
          <t>Relay</t>
        </is>
      </c>
      <c r="D324" s="2" t="inlineStr">
        <is>
          <t>Plant A</t>
        </is>
      </c>
      <c r="E324" s="2" t="inlineStr">
        <is>
          <t>Central</t>
        </is>
      </c>
      <c r="F324" s="12" t="n">
        <v>46165</v>
      </c>
      <c r="G324" s="12" t="n">
        <v>46178</v>
      </c>
      <c r="H324" s="12" t="n">
        <v>46176</v>
      </c>
      <c r="I324" s="12" t="n">
        <v>46175</v>
      </c>
      <c r="J324" s="12" t="n">
        <v>46177</v>
      </c>
      <c r="K324" s="2" t="n">
        <v>670</v>
      </c>
      <c r="L324" s="2" t="inlineStr">
        <is>
          <t>Sea</t>
        </is>
      </c>
      <c r="M324" s="2" t="inlineStr">
        <is>
          <t>No Delay</t>
        </is>
      </c>
      <c r="N324" s="4">
        <f>IF(I324&lt;=H324,1,0)</f>
        <v/>
      </c>
      <c r="O324" s="4">
        <f>IF(J324&lt;=G324,1,0)</f>
        <v/>
      </c>
      <c r="P324" s="4">
        <f>MAX(0,I324-H324)</f>
        <v/>
      </c>
      <c r="Q324" s="4">
        <f>MAX(0,J324-G324)</f>
        <v/>
      </c>
      <c r="R324" s="4">
        <f>IF(AND(N324=1,O324=1),"On Track",IF(O324=0,"Customer Delivery Late","Ship Late"))</f>
        <v/>
      </c>
    </row>
    <row r="325">
      <c r="A325" s="2" t="inlineStr">
        <is>
          <t>ORD-00324</t>
        </is>
      </c>
      <c r="B325" s="2" t="inlineStr">
        <is>
          <t>Customer 03</t>
        </is>
      </c>
      <c r="C325" s="2" t="inlineStr">
        <is>
          <t>Drive</t>
        </is>
      </c>
      <c r="D325" s="2" t="inlineStr">
        <is>
          <t>Plant C</t>
        </is>
      </c>
      <c r="E325" s="2" t="inlineStr">
        <is>
          <t>Central</t>
        </is>
      </c>
      <c r="F325" s="12" t="n">
        <v>46036</v>
      </c>
      <c r="G325" s="12" t="n">
        <v>46061</v>
      </c>
      <c r="H325" s="12" t="n">
        <v>46056</v>
      </c>
      <c r="I325" s="12" t="n">
        <v>46055</v>
      </c>
      <c r="J325" s="12" t="n">
        <v>46061</v>
      </c>
      <c r="K325" s="2" t="n">
        <v>386</v>
      </c>
      <c r="L325" s="2" t="inlineStr">
        <is>
          <t>Sea</t>
        </is>
      </c>
      <c r="M325" s="2" t="inlineStr">
        <is>
          <t>No Delay</t>
        </is>
      </c>
      <c r="N325" s="4">
        <f>IF(I325&lt;=H325,1,0)</f>
        <v/>
      </c>
      <c r="O325" s="4">
        <f>IF(J325&lt;=G325,1,0)</f>
        <v/>
      </c>
      <c r="P325" s="4">
        <f>MAX(0,I325-H325)</f>
        <v/>
      </c>
      <c r="Q325" s="4">
        <f>MAX(0,J325-G325)</f>
        <v/>
      </c>
      <c r="R325" s="4">
        <f>IF(AND(N325=1,O325=1),"On Track",IF(O325=0,"Customer Delivery Late","Ship Late"))</f>
        <v/>
      </c>
    </row>
    <row r="326">
      <c r="A326" s="2" t="inlineStr">
        <is>
          <t>ORD-00325</t>
        </is>
      </c>
      <c r="B326" s="2" t="inlineStr">
        <is>
          <t>Customer 29</t>
        </is>
      </c>
      <c r="C326" s="2" t="inlineStr">
        <is>
          <t>PLC</t>
        </is>
      </c>
      <c r="D326" s="2" t="inlineStr">
        <is>
          <t>Plant C</t>
        </is>
      </c>
      <c r="E326" s="2" t="inlineStr">
        <is>
          <t>South</t>
        </is>
      </c>
      <c r="F326" s="12" t="n">
        <v>46040</v>
      </c>
      <c r="G326" s="12" t="n">
        <v>46061</v>
      </c>
      <c r="H326" s="12" t="n">
        <v>46059</v>
      </c>
      <c r="I326" s="12" t="n">
        <v>46059</v>
      </c>
      <c r="J326" s="12" t="n">
        <v>46060</v>
      </c>
      <c r="K326" s="2" t="n">
        <v>688</v>
      </c>
      <c r="L326" s="2" t="inlineStr">
        <is>
          <t>Air</t>
        </is>
      </c>
      <c r="M326" s="2" t="inlineStr">
        <is>
          <t>No Delay</t>
        </is>
      </c>
      <c r="N326" s="4">
        <f>IF(I326&lt;=H326,1,0)</f>
        <v/>
      </c>
      <c r="O326" s="4">
        <f>IF(J326&lt;=G326,1,0)</f>
        <v/>
      </c>
      <c r="P326" s="4">
        <f>MAX(0,I326-H326)</f>
        <v/>
      </c>
      <c r="Q326" s="4">
        <f>MAX(0,J326-G326)</f>
        <v/>
      </c>
      <c r="R326" s="4">
        <f>IF(AND(N326=1,O326=1),"On Track",IF(O326=0,"Customer Delivery Late","Ship Late"))</f>
        <v/>
      </c>
    </row>
    <row r="327">
      <c r="A327" s="2" t="inlineStr">
        <is>
          <t>ORD-00326</t>
        </is>
      </c>
      <c r="B327" s="2" t="inlineStr">
        <is>
          <t>Customer 15</t>
        </is>
      </c>
      <c r="C327" s="2" t="inlineStr">
        <is>
          <t>PLC</t>
        </is>
      </c>
      <c r="D327" s="2" t="inlineStr">
        <is>
          <t>Plant C</t>
        </is>
      </c>
      <c r="E327" s="2" t="inlineStr">
        <is>
          <t>Central</t>
        </is>
      </c>
      <c r="F327" s="12" t="n">
        <v>46098</v>
      </c>
      <c r="G327" s="12" t="n">
        <v>46109</v>
      </c>
      <c r="H327" s="12" t="n">
        <v>46104</v>
      </c>
      <c r="I327" s="12" t="n">
        <v>46104</v>
      </c>
      <c r="J327" s="12" t="n">
        <v>46108</v>
      </c>
      <c r="K327" s="2" t="n">
        <v>91</v>
      </c>
      <c r="L327" s="2" t="inlineStr">
        <is>
          <t>Sea</t>
        </is>
      </c>
      <c r="M327" s="2" t="inlineStr">
        <is>
          <t>No Delay</t>
        </is>
      </c>
      <c r="N327" s="4">
        <f>IF(I327&lt;=H327,1,0)</f>
        <v/>
      </c>
      <c r="O327" s="4">
        <f>IF(J327&lt;=G327,1,0)</f>
        <v/>
      </c>
      <c r="P327" s="4">
        <f>MAX(0,I327-H327)</f>
        <v/>
      </c>
      <c r="Q327" s="4">
        <f>MAX(0,J327-G327)</f>
        <v/>
      </c>
      <c r="R327" s="4">
        <f>IF(AND(N327=1,O327=1),"On Track",IF(O327=0,"Customer Delivery Late","Ship Late"))</f>
        <v/>
      </c>
    </row>
    <row r="328">
      <c r="A328" s="2" t="inlineStr">
        <is>
          <t>ORD-00327</t>
        </is>
      </c>
      <c r="B328" s="2" t="inlineStr">
        <is>
          <t>Customer 27</t>
        </is>
      </c>
      <c r="C328" s="2" t="inlineStr">
        <is>
          <t>Drive</t>
        </is>
      </c>
      <c r="D328" s="2" t="inlineStr">
        <is>
          <t>Plant C</t>
        </is>
      </c>
      <c r="E328" s="2" t="inlineStr">
        <is>
          <t>Export</t>
        </is>
      </c>
      <c r="F328" s="12" t="n">
        <v>46105</v>
      </c>
      <c r="G328" s="12" t="n">
        <v>46122</v>
      </c>
      <c r="H328" s="12" t="n">
        <v>46121</v>
      </c>
      <c r="I328" s="12" t="n">
        <v>46121</v>
      </c>
      <c r="J328" s="12" t="n">
        <v>46122</v>
      </c>
      <c r="K328" s="2" t="n">
        <v>1006</v>
      </c>
      <c r="L328" s="2" t="inlineStr">
        <is>
          <t>Road</t>
        </is>
      </c>
      <c r="M328" s="2" t="inlineStr">
        <is>
          <t>No Delay</t>
        </is>
      </c>
      <c r="N328" s="4">
        <f>IF(I328&lt;=H328,1,0)</f>
        <v/>
      </c>
      <c r="O328" s="4">
        <f>IF(J328&lt;=G328,1,0)</f>
        <v/>
      </c>
      <c r="P328" s="4">
        <f>MAX(0,I328-H328)</f>
        <v/>
      </c>
      <c r="Q328" s="4">
        <f>MAX(0,J328-G328)</f>
        <v/>
      </c>
      <c r="R328" s="4">
        <f>IF(AND(N328=1,O328=1),"On Track",IF(O328=0,"Customer Delivery Late","Ship Late"))</f>
        <v/>
      </c>
    </row>
    <row r="329">
      <c r="A329" s="2" t="inlineStr">
        <is>
          <t>ORD-00328</t>
        </is>
      </c>
      <c r="B329" s="2" t="inlineStr">
        <is>
          <t>Customer 25</t>
        </is>
      </c>
      <c r="C329" s="2" t="inlineStr">
        <is>
          <t>Breaker</t>
        </is>
      </c>
      <c r="D329" s="2" t="inlineStr">
        <is>
          <t>Plant C</t>
        </is>
      </c>
      <c r="E329" s="2" t="inlineStr">
        <is>
          <t>North</t>
        </is>
      </c>
      <c r="F329" s="12" t="n">
        <v>46098</v>
      </c>
      <c r="G329" s="12" t="n">
        <v>46123</v>
      </c>
      <c r="H329" s="12" t="n">
        <v>46121</v>
      </c>
      <c r="I329" s="12" t="n">
        <v>46119</v>
      </c>
      <c r="J329" s="12" t="n">
        <v>46121</v>
      </c>
      <c r="K329" s="2" t="n">
        <v>441</v>
      </c>
      <c r="L329" s="2" t="inlineStr">
        <is>
          <t>Sea</t>
        </is>
      </c>
      <c r="M329" s="2" t="inlineStr">
        <is>
          <t>No Delay</t>
        </is>
      </c>
      <c r="N329" s="4">
        <f>IF(I329&lt;=H329,1,0)</f>
        <v/>
      </c>
      <c r="O329" s="4">
        <f>IF(J329&lt;=G329,1,0)</f>
        <v/>
      </c>
      <c r="P329" s="4">
        <f>MAX(0,I329-H329)</f>
        <v/>
      </c>
      <c r="Q329" s="4">
        <f>MAX(0,J329-G329)</f>
        <v/>
      </c>
      <c r="R329" s="4">
        <f>IF(AND(N329=1,O329=1),"On Track",IF(O329=0,"Customer Delivery Late","Ship Late"))</f>
        <v/>
      </c>
    </row>
    <row r="330">
      <c r="A330" s="2" t="inlineStr">
        <is>
          <t>ORD-00329</t>
        </is>
      </c>
      <c r="B330" s="2" t="inlineStr">
        <is>
          <t>Customer 05</t>
        </is>
      </c>
      <c r="C330" s="2" t="inlineStr">
        <is>
          <t>Breaker</t>
        </is>
      </c>
      <c r="D330" s="2" t="inlineStr">
        <is>
          <t>Plant B</t>
        </is>
      </c>
      <c r="E330" s="2" t="inlineStr">
        <is>
          <t>South</t>
        </is>
      </c>
      <c r="F330" s="12" t="n">
        <v>46184</v>
      </c>
      <c r="G330" s="12" t="n">
        <v>46195</v>
      </c>
      <c r="H330" s="12" t="n">
        <v>46191</v>
      </c>
      <c r="I330" s="12" t="n">
        <v>46189</v>
      </c>
      <c r="J330" s="12" t="n">
        <v>46192</v>
      </c>
      <c r="K330" s="2" t="n">
        <v>87</v>
      </c>
      <c r="L330" s="2" t="inlineStr">
        <is>
          <t>Road</t>
        </is>
      </c>
      <c r="M330" s="2" t="inlineStr">
        <is>
          <t>No Delay</t>
        </is>
      </c>
      <c r="N330" s="4">
        <f>IF(I330&lt;=H330,1,0)</f>
        <v/>
      </c>
      <c r="O330" s="4">
        <f>IF(J330&lt;=G330,1,0)</f>
        <v/>
      </c>
      <c r="P330" s="4">
        <f>MAX(0,I330-H330)</f>
        <v/>
      </c>
      <c r="Q330" s="4">
        <f>MAX(0,J330-G330)</f>
        <v/>
      </c>
      <c r="R330" s="4">
        <f>IF(AND(N330=1,O330=1),"On Track",IF(O330=0,"Customer Delivery Late","Ship Late"))</f>
        <v/>
      </c>
    </row>
    <row r="331">
      <c r="A331" s="2" t="inlineStr">
        <is>
          <t>ORD-00330</t>
        </is>
      </c>
      <c r="B331" s="2" t="inlineStr">
        <is>
          <t>Customer 14</t>
        </is>
      </c>
      <c r="C331" s="2" t="inlineStr">
        <is>
          <t>Power Supply</t>
        </is>
      </c>
      <c r="D331" s="2" t="inlineStr">
        <is>
          <t>Plant B</t>
        </is>
      </c>
      <c r="E331" s="2" t="inlineStr">
        <is>
          <t>Export</t>
        </is>
      </c>
      <c r="F331" s="12" t="n">
        <v>46041</v>
      </c>
      <c r="G331" s="12" t="n">
        <v>46047</v>
      </c>
      <c r="H331" s="12" t="n">
        <v>46045</v>
      </c>
      <c r="I331" s="12" t="n">
        <v>46045</v>
      </c>
      <c r="J331" s="12" t="n">
        <v>46048</v>
      </c>
      <c r="K331" s="2" t="n">
        <v>896</v>
      </c>
      <c r="L331" s="2" t="inlineStr">
        <is>
          <t>Air</t>
        </is>
      </c>
      <c r="M331" s="2" t="inlineStr">
        <is>
          <t>Carrier Delay</t>
        </is>
      </c>
      <c r="N331" s="4">
        <f>IF(I331&lt;=H331,1,0)</f>
        <v/>
      </c>
      <c r="O331" s="4">
        <f>IF(J331&lt;=G331,1,0)</f>
        <v/>
      </c>
      <c r="P331" s="4">
        <f>MAX(0,I331-H331)</f>
        <v/>
      </c>
      <c r="Q331" s="4">
        <f>MAX(0,J331-G331)</f>
        <v/>
      </c>
      <c r="R331" s="4">
        <f>IF(AND(N331=1,O331=1),"On Track",IF(O331=0,"Customer Delivery Late","Ship Late"))</f>
        <v/>
      </c>
    </row>
    <row r="332">
      <c r="A332" s="2" t="inlineStr">
        <is>
          <t>ORD-00331</t>
        </is>
      </c>
      <c r="B332" s="2" t="inlineStr">
        <is>
          <t>Customer 12</t>
        </is>
      </c>
      <c r="C332" s="2" t="inlineStr">
        <is>
          <t>Contactor</t>
        </is>
      </c>
      <c r="D332" s="2" t="inlineStr">
        <is>
          <t>Plant B</t>
        </is>
      </c>
      <c r="E332" s="2" t="inlineStr">
        <is>
          <t>South</t>
        </is>
      </c>
      <c r="F332" s="12" t="n">
        <v>46027</v>
      </c>
      <c r="G332" s="12" t="n">
        <v>46044</v>
      </c>
      <c r="H332" s="12" t="n">
        <v>46043</v>
      </c>
      <c r="I332" s="12" t="n">
        <v>46043</v>
      </c>
      <c r="J332" s="12" t="n">
        <v>46045</v>
      </c>
      <c r="K332" s="2" t="n">
        <v>1252</v>
      </c>
      <c r="L332" s="2" t="inlineStr">
        <is>
          <t>Road</t>
        </is>
      </c>
      <c r="M332" s="2" t="inlineStr">
        <is>
          <t>Material Shortage</t>
        </is>
      </c>
      <c r="N332" s="4">
        <f>IF(I332&lt;=H332,1,0)</f>
        <v/>
      </c>
      <c r="O332" s="4">
        <f>IF(J332&lt;=G332,1,0)</f>
        <v/>
      </c>
      <c r="P332" s="4">
        <f>MAX(0,I332-H332)</f>
        <v/>
      </c>
      <c r="Q332" s="4">
        <f>MAX(0,J332-G332)</f>
        <v/>
      </c>
      <c r="R332" s="4">
        <f>IF(AND(N332=1,O332=1),"On Track",IF(O332=0,"Customer Delivery Late","Ship Late"))</f>
        <v/>
      </c>
    </row>
    <row r="333">
      <c r="A333" s="2" t="inlineStr">
        <is>
          <t>ORD-00332</t>
        </is>
      </c>
      <c r="B333" s="2" t="inlineStr">
        <is>
          <t>Customer 08</t>
        </is>
      </c>
      <c r="C333" s="2" t="inlineStr">
        <is>
          <t>Relay</t>
        </is>
      </c>
      <c r="D333" s="2" t="inlineStr">
        <is>
          <t>Plant C</t>
        </is>
      </c>
      <c r="E333" s="2" t="inlineStr">
        <is>
          <t>Export</t>
        </is>
      </c>
      <c r="F333" s="12" t="n">
        <v>46095</v>
      </c>
      <c r="G333" s="12" t="n">
        <v>46114</v>
      </c>
      <c r="H333" s="12" t="n">
        <v>46110</v>
      </c>
      <c r="I333" s="12" t="n">
        <v>46110</v>
      </c>
      <c r="J333" s="12" t="n">
        <v>46114</v>
      </c>
      <c r="K333" s="2" t="n">
        <v>1127</v>
      </c>
      <c r="L333" s="2" t="inlineStr">
        <is>
          <t>Air</t>
        </is>
      </c>
      <c r="M333" s="2" t="inlineStr">
        <is>
          <t>No Delay</t>
        </is>
      </c>
      <c r="N333" s="4">
        <f>IF(I333&lt;=H333,1,0)</f>
        <v/>
      </c>
      <c r="O333" s="4">
        <f>IF(J333&lt;=G333,1,0)</f>
        <v/>
      </c>
      <c r="P333" s="4">
        <f>MAX(0,I333-H333)</f>
        <v/>
      </c>
      <c r="Q333" s="4">
        <f>MAX(0,J333-G333)</f>
        <v/>
      </c>
      <c r="R333" s="4">
        <f>IF(AND(N333=1,O333=1),"On Track",IF(O333=0,"Customer Delivery Late","Ship Late"))</f>
        <v/>
      </c>
    </row>
    <row r="334">
      <c r="A334" s="2" t="inlineStr">
        <is>
          <t>ORD-00333</t>
        </is>
      </c>
      <c r="B334" s="2" t="inlineStr">
        <is>
          <t>Customer 18</t>
        </is>
      </c>
      <c r="C334" s="2" t="inlineStr">
        <is>
          <t>Relay</t>
        </is>
      </c>
      <c r="D334" s="2" t="inlineStr">
        <is>
          <t>Plant A</t>
        </is>
      </c>
      <c r="E334" s="2" t="inlineStr">
        <is>
          <t>North</t>
        </is>
      </c>
      <c r="F334" s="12" t="n">
        <v>46185</v>
      </c>
      <c r="G334" s="12" t="n">
        <v>46194</v>
      </c>
      <c r="H334" s="12" t="n">
        <v>46191</v>
      </c>
      <c r="I334" s="12" t="n">
        <v>46191</v>
      </c>
      <c r="J334" s="12" t="n">
        <v>46193</v>
      </c>
      <c r="K334" s="2" t="n">
        <v>20</v>
      </c>
      <c r="L334" s="2" t="inlineStr">
        <is>
          <t>Sea</t>
        </is>
      </c>
      <c r="M334" s="2" t="inlineStr">
        <is>
          <t>No Delay</t>
        </is>
      </c>
      <c r="N334" s="4">
        <f>IF(I334&lt;=H334,1,0)</f>
        <v/>
      </c>
      <c r="O334" s="4">
        <f>IF(J334&lt;=G334,1,0)</f>
        <v/>
      </c>
      <c r="P334" s="4">
        <f>MAX(0,I334-H334)</f>
        <v/>
      </c>
      <c r="Q334" s="4">
        <f>MAX(0,J334-G334)</f>
        <v/>
      </c>
      <c r="R334" s="4">
        <f>IF(AND(N334=1,O334=1),"On Track",IF(O334=0,"Customer Delivery Late","Ship Late"))</f>
        <v/>
      </c>
    </row>
    <row r="335">
      <c r="A335" s="2" t="inlineStr">
        <is>
          <t>ORD-00334</t>
        </is>
      </c>
      <c r="B335" s="2" t="inlineStr">
        <is>
          <t>Customer 29</t>
        </is>
      </c>
      <c r="C335" s="2" t="inlineStr">
        <is>
          <t>Drive</t>
        </is>
      </c>
      <c r="D335" s="2" t="inlineStr">
        <is>
          <t>Plant A</t>
        </is>
      </c>
      <c r="E335" s="2" t="inlineStr">
        <is>
          <t>Export</t>
        </is>
      </c>
      <c r="F335" s="12" t="n">
        <v>46175</v>
      </c>
      <c r="G335" s="12" t="n">
        <v>46192</v>
      </c>
      <c r="H335" s="12" t="n">
        <v>46187</v>
      </c>
      <c r="I335" s="12" t="n">
        <v>46185</v>
      </c>
      <c r="J335" s="12" t="n">
        <v>46190</v>
      </c>
      <c r="K335" s="2" t="n">
        <v>1332</v>
      </c>
      <c r="L335" s="2" t="inlineStr">
        <is>
          <t>Sea</t>
        </is>
      </c>
      <c r="M335" s="2" t="inlineStr">
        <is>
          <t>No Delay</t>
        </is>
      </c>
      <c r="N335" s="4">
        <f>IF(I335&lt;=H335,1,0)</f>
        <v/>
      </c>
      <c r="O335" s="4">
        <f>IF(J335&lt;=G335,1,0)</f>
        <v/>
      </c>
      <c r="P335" s="4">
        <f>MAX(0,I335-H335)</f>
        <v/>
      </c>
      <c r="Q335" s="4">
        <f>MAX(0,J335-G335)</f>
        <v/>
      </c>
      <c r="R335" s="4">
        <f>IF(AND(N335=1,O335=1),"On Track",IF(O335=0,"Customer Delivery Late","Ship Late"))</f>
        <v/>
      </c>
    </row>
    <row r="336">
      <c r="A336" s="2" t="inlineStr">
        <is>
          <t>ORD-00335</t>
        </is>
      </c>
      <c r="B336" s="2" t="inlineStr">
        <is>
          <t>Customer 26</t>
        </is>
      </c>
      <c r="C336" s="2" t="inlineStr">
        <is>
          <t>Breaker</t>
        </is>
      </c>
      <c r="D336" s="2" t="inlineStr">
        <is>
          <t>Plant C</t>
        </is>
      </c>
      <c r="E336" s="2" t="inlineStr">
        <is>
          <t>Export</t>
        </is>
      </c>
      <c r="F336" s="12" t="n">
        <v>46059</v>
      </c>
      <c r="G336" s="12" t="n">
        <v>46069</v>
      </c>
      <c r="H336" s="12" t="n">
        <v>46067</v>
      </c>
      <c r="I336" s="12" t="n">
        <v>46066</v>
      </c>
      <c r="J336" s="12" t="n">
        <v>46067</v>
      </c>
      <c r="K336" s="2" t="n">
        <v>1330</v>
      </c>
      <c r="L336" s="2" t="inlineStr">
        <is>
          <t>Sea</t>
        </is>
      </c>
      <c r="M336" s="2" t="inlineStr">
        <is>
          <t>No Delay</t>
        </is>
      </c>
      <c r="N336" s="4">
        <f>IF(I336&lt;=H336,1,0)</f>
        <v/>
      </c>
      <c r="O336" s="4">
        <f>IF(J336&lt;=G336,1,0)</f>
        <v/>
      </c>
      <c r="P336" s="4">
        <f>MAX(0,I336-H336)</f>
        <v/>
      </c>
      <c r="Q336" s="4">
        <f>MAX(0,J336-G336)</f>
        <v/>
      </c>
      <c r="R336" s="4">
        <f>IF(AND(N336=1,O336=1),"On Track",IF(O336=0,"Customer Delivery Late","Ship Late"))</f>
        <v/>
      </c>
    </row>
    <row r="337">
      <c r="A337" s="2" t="inlineStr">
        <is>
          <t>ORD-00336</t>
        </is>
      </c>
      <c r="B337" s="2" t="inlineStr">
        <is>
          <t>Customer 22</t>
        </is>
      </c>
      <c r="C337" s="2" t="inlineStr">
        <is>
          <t>PLC</t>
        </is>
      </c>
      <c r="D337" s="2" t="inlineStr">
        <is>
          <t>Plant A</t>
        </is>
      </c>
      <c r="E337" s="2" t="inlineStr">
        <is>
          <t>South</t>
        </is>
      </c>
      <c r="F337" s="12" t="n">
        <v>46041</v>
      </c>
      <c r="G337" s="12" t="n">
        <v>46055</v>
      </c>
      <c r="H337" s="12" t="n">
        <v>46054</v>
      </c>
      <c r="I337" s="12" t="n">
        <v>46052</v>
      </c>
      <c r="J337" s="12" t="n">
        <v>46053</v>
      </c>
      <c r="K337" s="2" t="n">
        <v>1278</v>
      </c>
      <c r="L337" s="2" t="inlineStr">
        <is>
          <t>Road</t>
        </is>
      </c>
      <c r="M337" s="2" t="inlineStr">
        <is>
          <t>No Delay</t>
        </is>
      </c>
      <c r="N337" s="4">
        <f>IF(I337&lt;=H337,1,0)</f>
        <v/>
      </c>
      <c r="O337" s="4">
        <f>IF(J337&lt;=G337,1,0)</f>
        <v/>
      </c>
      <c r="P337" s="4">
        <f>MAX(0,I337-H337)</f>
        <v/>
      </c>
      <c r="Q337" s="4">
        <f>MAX(0,J337-G337)</f>
        <v/>
      </c>
      <c r="R337" s="4">
        <f>IF(AND(N337=1,O337=1),"On Track",IF(O337=0,"Customer Delivery Late","Ship Late"))</f>
        <v/>
      </c>
    </row>
    <row r="338">
      <c r="A338" s="2" t="inlineStr">
        <is>
          <t>ORD-00337</t>
        </is>
      </c>
      <c r="B338" s="2" t="inlineStr">
        <is>
          <t>Customer 12</t>
        </is>
      </c>
      <c r="C338" s="2" t="inlineStr">
        <is>
          <t>Drive</t>
        </is>
      </c>
      <c r="D338" s="2" t="inlineStr">
        <is>
          <t>Plant B</t>
        </is>
      </c>
      <c r="E338" s="2" t="inlineStr">
        <is>
          <t>Central</t>
        </is>
      </c>
      <c r="F338" s="12" t="n">
        <v>46072</v>
      </c>
      <c r="G338" s="12" t="n">
        <v>46087</v>
      </c>
      <c r="H338" s="12" t="n">
        <v>46083</v>
      </c>
      <c r="I338" s="12" t="n">
        <v>46083</v>
      </c>
      <c r="J338" s="12" t="n">
        <v>46088</v>
      </c>
      <c r="K338" s="2" t="n">
        <v>19</v>
      </c>
      <c r="L338" s="2" t="inlineStr">
        <is>
          <t>Air</t>
        </is>
      </c>
      <c r="M338" s="2" t="inlineStr">
        <is>
          <t>Capacity Constraint</t>
        </is>
      </c>
      <c r="N338" s="4">
        <f>IF(I338&lt;=H338,1,0)</f>
        <v/>
      </c>
      <c r="O338" s="4">
        <f>IF(J338&lt;=G338,1,0)</f>
        <v/>
      </c>
      <c r="P338" s="4">
        <f>MAX(0,I338-H338)</f>
        <v/>
      </c>
      <c r="Q338" s="4">
        <f>MAX(0,J338-G338)</f>
        <v/>
      </c>
      <c r="R338" s="4">
        <f>IF(AND(N338=1,O338=1),"On Track",IF(O338=0,"Customer Delivery Late","Ship Late"))</f>
        <v/>
      </c>
    </row>
    <row r="339">
      <c r="A339" s="2" t="inlineStr">
        <is>
          <t>ORD-00338</t>
        </is>
      </c>
      <c r="B339" s="2" t="inlineStr">
        <is>
          <t>Customer 15</t>
        </is>
      </c>
      <c r="C339" s="2" t="inlineStr">
        <is>
          <t>Switchgear</t>
        </is>
      </c>
      <c r="D339" s="2" t="inlineStr">
        <is>
          <t>Plant B</t>
        </is>
      </c>
      <c r="E339" s="2" t="inlineStr">
        <is>
          <t>South</t>
        </is>
      </c>
      <c r="F339" s="12" t="n">
        <v>46086</v>
      </c>
      <c r="G339" s="12" t="n">
        <v>46098</v>
      </c>
      <c r="H339" s="12" t="n">
        <v>46094</v>
      </c>
      <c r="I339" s="12" t="n">
        <v>46093</v>
      </c>
      <c r="J339" s="12" t="n">
        <v>46097</v>
      </c>
      <c r="K339" s="2" t="n">
        <v>1007</v>
      </c>
      <c r="L339" s="2" t="inlineStr">
        <is>
          <t>Sea</t>
        </is>
      </c>
      <c r="M339" s="2" t="inlineStr">
        <is>
          <t>No Delay</t>
        </is>
      </c>
      <c r="N339" s="4">
        <f>IF(I339&lt;=H339,1,0)</f>
        <v/>
      </c>
      <c r="O339" s="4">
        <f>IF(J339&lt;=G339,1,0)</f>
        <v/>
      </c>
      <c r="P339" s="4">
        <f>MAX(0,I339-H339)</f>
        <v/>
      </c>
      <c r="Q339" s="4">
        <f>MAX(0,J339-G339)</f>
        <v/>
      </c>
      <c r="R339" s="4">
        <f>IF(AND(N339=1,O339=1),"On Track",IF(O339=0,"Customer Delivery Late","Ship Late"))</f>
        <v/>
      </c>
    </row>
    <row r="340">
      <c r="A340" s="2" t="inlineStr">
        <is>
          <t>ORD-00339</t>
        </is>
      </c>
      <c r="B340" s="2" t="inlineStr">
        <is>
          <t>Customer 24</t>
        </is>
      </c>
      <c r="C340" s="2" t="inlineStr">
        <is>
          <t>Contactor</t>
        </is>
      </c>
      <c r="D340" s="2" t="inlineStr">
        <is>
          <t>Plant C</t>
        </is>
      </c>
      <c r="E340" s="2" t="inlineStr">
        <is>
          <t>North</t>
        </is>
      </c>
      <c r="F340" s="12" t="n">
        <v>46050</v>
      </c>
      <c r="G340" s="12" t="n">
        <v>46060</v>
      </c>
      <c r="H340" s="12" t="n">
        <v>46055</v>
      </c>
      <c r="I340" s="12" t="n">
        <v>46054</v>
      </c>
      <c r="J340" s="12" t="n">
        <v>46060</v>
      </c>
      <c r="K340" s="2" t="n">
        <v>48</v>
      </c>
      <c r="L340" s="2" t="inlineStr">
        <is>
          <t>Sea</t>
        </is>
      </c>
      <c r="M340" s="2" t="inlineStr">
        <is>
          <t>No Delay</t>
        </is>
      </c>
      <c r="N340" s="4">
        <f>IF(I340&lt;=H340,1,0)</f>
        <v/>
      </c>
      <c r="O340" s="4">
        <f>IF(J340&lt;=G340,1,0)</f>
        <v/>
      </c>
      <c r="P340" s="4">
        <f>MAX(0,I340-H340)</f>
        <v/>
      </c>
      <c r="Q340" s="4">
        <f>MAX(0,J340-G340)</f>
        <v/>
      </c>
      <c r="R340" s="4">
        <f>IF(AND(N340=1,O340=1),"On Track",IF(O340=0,"Customer Delivery Late","Ship Late"))</f>
        <v/>
      </c>
    </row>
    <row r="341">
      <c r="A341" s="2" t="inlineStr">
        <is>
          <t>ORD-00340</t>
        </is>
      </c>
      <c r="B341" s="2" t="inlineStr">
        <is>
          <t>Customer 18</t>
        </is>
      </c>
      <c r="C341" s="2" t="inlineStr">
        <is>
          <t>Switchgear</t>
        </is>
      </c>
      <c r="D341" s="2" t="inlineStr">
        <is>
          <t>Plant C</t>
        </is>
      </c>
      <c r="E341" s="2" t="inlineStr">
        <is>
          <t>Central</t>
        </is>
      </c>
      <c r="F341" s="12" t="n">
        <v>46184</v>
      </c>
      <c r="G341" s="12" t="n">
        <v>46189</v>
      </c>
      <c r="H341" s="12" t="n">
        <v>46184</v>
      </c>
      <c r="I341" s="12" t="n">
        <v>46184</v>
      </c>
      <c r="J341" s="12" t="n">
        <v>46188</v>
      </c>
      <c r="K341" s="2" t="n">
        <v>759</v>
      </c>
      <c r="L341" s="2" t="inlineStr">
        <is>
          <t>Air</t>
        </is>
      </c>
      <c r="M341" s="2" t="inlineStr">
        <is>
          <t>No Delay</t>
        </is>
      </c>
      <c r="N341" s="4">
        <f>IF(I341&lt;=H341,1,0)</f>
        <v/>
      </c>
      <c r="O341" s="4">
        <f>IF(J341&lt;=G341,1,0)</f>
        <v/>
      </c>
      <c r="P341" s="4">
        <f>MAX(0,I341-H341)</f>
        <v/>
      </c>
      <c r="Q341" s="4">
        <f>MAX(0,J341-G341)</f>
        <v/>
      </c>
      <c r="R341" s="4">
        <f>IF(AND(N341=1,O341=1),"On Track",IF(O341=0,"Customer Delivery Late","Ship Late"))</f>
        <v/>
      </c>
    </row>
    <row r="342">
      <c r="A342" s="2" t="inlineStr">
        <is>
          <t>ORD-00341</t>
        </is>
      </c>
      <c r="B342" s="2" t="inlineStr">
        <is>
          <t>Customer 01</t>
        </is>
      </c>
      <c r="C342" s="2" t="inlineStr">
        <is>
          <t>PLC</t>
        </is>
      </c>
      <c r="D342" s="2" t="inlineStr">
        <is>
          <t>Plant C</t>
        </is>
      </c>
      <c r="E342" s="2" t="inlineStr">
        <is>
          <t>Central</t>
        </is>
      </c>
      <c r="F342" s="12" t="n">
        <v>46080</v>
      </c>
      <c r="G342" s="12" t="n">
        <v>46103</v>
      </c>
      <c r="H342" s="12" t="n">
        <v>46100</v>
      </c>
      <c r="I342" s="12" t="n">
        <v>46100</v>
      </c>
      <c r="J342" s="12" t="n">
        <v>46103</v>
      </c>
      <c r="K342" s="2" t="n">
        <v>1062</v>
      </c>
      <c r="L342" s="2" t="inlineStr">
        <is>
          <t>Road</t>
        </is>
      </c>
      <c r="M342" s="2" t="inlineStr">
        <is>
          <t>No Delay</t>
        </is>
      </c>
      <c r="N342" s="4">
        <f>IF(I342&lt;=H342,1,0)</f>
        <v/>
      </c>
      <c r="O342" s="4">
        <f>IF(J342&lt;=G342,1,0)</f>
        <v/>
      </c>
      <c r="P342" s="4">
        <f>MAX(0,I342-H342)</f>
        <v/>
      </c>
      <c r="Q342" s="4">
        <f>MAX(0,J342-G342)</f>
        <v/>
      </c>
      <c r="R342" s="4">
        <f>IF(AND(N342=1,O342=1),"On Track",IF(O342=0,"Customer Delivery Late","Ship Late"))</f>
        <v/>
      </c>
    </row>
    <row r="343">
      <c r="A343" s="2" t="inlineStr">
        <is>
          <t>ORD-00342</t>
        </is>
      </c>
      <c r="B343" s="2" t="inlineStr">
        <is>
          <t>Customer 02</t>
        </is>
      </c>
      <c r="C343" s="2" t="inlineStr">
        <is>
          <t>PLC</t>
        </is>
      </c>
      <c r="D343" s="2" t="inlineStr">
        <is>
          <t>Plant B</t>
        </is>
      </c>
      <c r="E343" s="2" t="inlineStr">
        <is>
          <t>Central</t>
        </is>
      </c>
      <c r="F343" s="12" t="n">
        <v>46137</v>
      </c>
      <c r="G343" s="12" t="n">
        <v>46147</v>
      </c>
      <c r="H343" s="12" t="n">
        <v>46145</v>
      </c>
      <c r="I343" s="12" t="n">
        <v>46145</v>
      </c>
      <c r="J343" s="12" t="n">
        <v>46147</v>
      </c>
      <c r="K343" s="2" t="n">
        <v>138</v>
      </c>
      <c r="L343" s="2" t="inlineStr">
        <is>
          <t>Air</t>
        </is>
      </c>
      <c r="M343" s="2" t="inlineStr">
        <is>
          <t>No Delay</t>
        </is>
      </c>
      <c r="N343" s="4">
        <f>IF(I343&lt;=H343,1,0)</f>
        <v/>
      </c>
      <c r="O343" s="4">
        <f>IF(J343&lt;=G343,1,0)</f>
        <v/>
      </c>
      <c r="P343" s="4">
        <f>MAX(0,I343-H343)</f>
        <v/>
      </c>
      <c r="Q343" s="4">
        <f>MAX(0,J343-G343)</f>
        <v/>
      </c>
      <c r="R343" s="4">
        <f>IF(AND(N343=1,O343=1),"On Track",IF(O343=0,"Customer Delivery Late","Ship Late"))</f>
        <v/>
      </c>
    </row>
    <row r="344">
      <c r="A344" s="2" t="inlineStr">
        <is>
          <t>ORD-00343</t>
        </is>
      </c>
      <c r="B344" s="2" t="inlineStr">
        <is>
          <t>Customer 15</t>
        </is>
      </c>
      <c r="C344" s="2" t="inlineStr">
        <is>
          <t>Breaker</t>
        </is>
      </c>
      <c r="D344" s="2" t="inlineStr">
        <is>
          <t>Plant A</t>
        </is>
      </c>
      <c r="E344" s="2" t="inlineStr">
        <is>
          <t>South</t>
        </is>
      </c>
      <c r="F344" s="12" t="n">
        <v>46117</v>
      </c>
      <c r="G344" s="12" t="n">
        <v>46129</v>
      </c>
      <c r="H344" s="12" t="n">
        <v>46128</v>
      </c>
      <c r="I344" s="12" t="n">
        <v>46128</v>
      </c>
      <c r="J344" s="12" t="n">
        <v>46129</v>
      </c>
      <c r="K344" s="2" t="n">
        <v>221</v>
      </c>
      <c r="L344" s="2" t="inlineStr">
        <is>
          <t>Sea</t>
        </is>
      </c>
      <c r="M344" s="2" t="inlineStr">
        <is>
          <t>No Delay</t>
        </is>
      </c>
      <c r="N344" s="4">
        <f>IF(I344&lt;=H344,1,0)</f>
        <v/>
      </c>
      <c r="O344" s="4">
        <f>IF(J344&lt;=G344,1,0)</f>
        <v/>
      </c>
      <c r="P344" s="4">
        <f>MAX(0,I344-H344)</f>
        <v/>
      </c>
      <c r="Q344" s="4">
        <f>MAX(0,J344-G344)</f>
        <v/>
      </c>
      <c r="R344" s="4">
        <f>IF(AND(N344=1,O344=1),"On Track",IF(O344=0,"Customer Delivery Late","Ship Late"))</f>
        <v/>
      </c>
    </row>
    <row r="345">
      <c r="A345" s="2" t="inlineStr">
        <is>
          <t>ORD-00344</t>
        </is>
      </c>
      <c r="B345" s="2" t="inlineStr">
        <is>
          <t>Customer 12</t>
        </is>
      </c>
      <c r="C345" s="2" t="inlineStr">
        <is>
          <t>Contactor</t>
        </is>
      </c>
      <c r="D345" s="2" t="inlineStr">
        <is>
          <t>Plant C</t>
        </is>
      </c>
      <c r="E345" s="2" t="inlineStr">
        <is>
          <t>South</t>
        </is>
      </c>
      <c r="F345" s="12" t="n">
        <v>46156</v>
      </c>
      <c r="G345" s="12" t="n">
        <v>46181</v>
      </c>
      <c r="H345" s="12" t="n">
        <v>46178</v>
      </c>
      <c r="I345" s="12" t="n">
        <v>46177</v>
      </c>
      <c r="J345" s="12" t="n">
        <v>46180</v>
      </c>
      <c r="K345" s="2" t="n">
        <v>780</v>
      </c>
      <c r="L345" s="2" t="inlineStr">
        <is>
          <t>Road</t>
        </is>
      </c>
      <c r="M345" s="2" t="inlineStr">
        <is>
          <t>No Delay</t>
        </is>
      </c>
      <c r="N345" s="4">
        <f>IF(I345&lt;=H345,1,0)</f>
        <v/>
      </c>
      <c r="O345" s="4">
        <f>IF(J345&lt;=G345,1,0)</f>
        <v/>
      </c>
      <c r="P345" s="4">
        <f>MAX(0,I345-H345)</f>
        <v/>
      </c>
      <c r="Q345" s="4">
        <f>MAX(0,J345-G345)</f>
        <v/>
      </c>
      <c r="R345" s="4">
        <f>IF(AND(N345=1,O345=1),"On Track",IF(O345=0,"Customer Delivery Late","Ship Late"))</f>
        <v/>
      </c>
    </row>
    <row r="346">
      <c r="A346" s="2" t="inlineStr">
        <is>
          <t>ORD-00345</t>
        </is>
      </c>
      <c r="B346" s="2" t="inlineStr">
        <is>
          <t>Customer 01</t>
        </is>
      </c>
      <c r="C346" s="2" t="inlineStr">
        <is>
          <t>Relay</t>
        </is>
      </c>
      <c r="D346" s="2" t="inlineStr">
        <is>
          <t>Plant B</t>
        </is>
      </c>
      <c r="E346" s="2" t="inlineStr">
        <is>
          <t>Central</t>
        </is>
      </c>
      <c r="F346" s="12" t="n">
        <v>46155</v>
      </c>
      <c r="G346" s="12" t="n">
        <v>46172</v>
      </c>
      <c r="H346" s="12" t="n">
        <v>46169</v>
      </c>
      <c r="I346" s="12" t="n">
        <v>46168</v>
      </c>
      <c r="J346" s="12" t="n">
        <v>46171</v>
      </c>
      <c r="K346" s="2" t="n">
        <v>481</v>
      </c>
      <c r="L346" s="2" t="inlineStr">
        <is>
          <t>Road</t>
        </is>
      </c>
      <c r="M346" s="2" t="inlineStr">
        <is>
          <t>No Delay</t>
        </is>
      </c>
      <c r="N346" s="4">
        <f>IF(I346&lt;=H346,1,0)</f>
        <v/>
      </c>
      <c r="O346" s="4">
        <f>IF(J346&lt;=G346,1,0)</f>
        <v/>
      </c>
      <c r="P346" s="4">
        <f>MAX(0,I346-H346)</f>
        <v/>
      </c>
      <c r="Q346" s="4">
        <f>MAX(0,J346-G346)</f>
        <v/>
      </c>
      <c r="R346" s="4">
        <f>IF(AND(N346=1,O346=1),"On Track",IF(O346=0,"Customer Delivery Late","Ship Late"))</f>
        <v/>
      </c>
    </row>
    <row r="347">
      <c r="A347" s="2" t="inlineStr">
        <is>
          <t>ORD-00346</t>
        </is>
      </c>
      <c r="B347" s="2" t="inlineStr">
        <is>
          <t>Customer 27</t>
        </is>
      </c>
      <c r="C347" s="2" t="inlineStr">
        <is>
          <t>Contactor</t>
        </is>
      </c>
      <c r="D347" s="2" t="inlineStr">
        <is>
          <t>Plant C</t>
        </is>
      </c>
      <c r="E347" s="2" t="inlineStr">
        <is>
          <t>Central</t>
        </is>
      </c>
      <c r="F347" s="12" t="n">
        <v>46154</v>
      </c>
      <c r="G347" s="12" t="n">
        <v>46179</v>
      </c>
      <c r="H347" s="12" t="n">
        <v>46176</v>
      </c>
      <c r="I347" s="12" t="n">
        <v>46174</v>
      </c>
      <c r="J347" s="12" t="n">
        <v>46177</v>
      </c>
      <c r="K347" s="2" t="n">
        <v>859</v>
      </c>
      <c r="L347" s="2" t="inlineStr">
        <is>
          <t>Air</t>
        </is>
      </c>
      <c r="M347" s="2" t="inlineStr">
        <is>
          <t>No Delay</t>
        </is>
      </c>
      <c r="N347" s="4">
        <f>IF(I347&lt;=H347,1,0)</f>
        <v/>
      </c>
      <c r="O347" s="4">
        <f>IF(J347&lt;=G347,1,0)</f>
        <v/>
      </c>
      <c r="P347" s="4">
        <f>MAX(0,I347-H347)</f>
        <v/>
      </c>
      <c r="Q347" s="4">
        <f>MAX(0,J347-G347)</f>
        <v/>
      </c>
      <c r="R347" s="4">
        <f>IF(AND(N347=1,O347=1),"On Track",IF(O347=0,"Customer Delivery Late","Ship Late"))</f>
        <v/>
      </c>
    </row>
    <row r="348">
      <c r="A348" s="2" t="inlineStr">
        <is>
          <t>ORD-00347</t>
        </is>
      </c>
      <c r="B348" s="2" t="inlineStr">
        <is>
          <t>Customer 02</t>
        </is>
      </c>
      <c r="C348" s="2" t="inlineStr">
        <is>
          <t>Relay</t>
        </is>
      </c>
      <c r="D348" s="2" t="inlineStr">
        <is>
          <t>Plant C</t>
        </is>
      </c>
      <c r="E348" s="2" t="inlineStr">
        <is>
          <t>Central</t>
        </is>
      </c>
      <c r="F348" s="12" t="n">
        <v>46052</v>
      </c>
      <c r="G348" s="12" t="n">
        <v>46072</v>
      </c>
      <c r="H348" s="12" t="n">
        <v>46068</v>
      </c>
      <c r="I348" s="12" t="n">
        <v>46068</v>
      </c>
      <c r="J348" s="12" t="n">
        <v>46072</v>
      </c>
      <c r="K348" s="2" t="n">
        <v>285</v>
      </c>
      <c r="L348" s="2" t="inlineStr">
        <is>
          <t>Sea</t>
        </is>
      </c>
      <c r="M348" s="2" t="inlineStr">
        <is>
          <t>No Delay</t>
        </is>
      </c>
      <c r="N348" s="4">
        <f>IF(I348&lt;=H348,1,0)</f>
        <v/>
      </c>
      <c r="O348" s="4">
        <f>IF(J348&lt;=G348,1,0)</f>
        <v/>
      </c>
      <c r="P348" s="4">
        <f>MAX(0,I348-H348)</f>
        <v/>
      </c>
      <c r="Q348" s="4">
        <f>MAX(0,J348-G348)</f>
        <v/>
      </c>
      <c r="R348" s="4">
        <f>IF(AND(N348=1,O348=1),"On Track",IF(O348=0,"Customer Delivery Late","Ship Late"))</f>
        <v/>
      </c>
    </row>
    <row r="349">
      <c r="A349" s="2" t="inlineStr">
        <is>
          <t>ORD-00348</t>
        </is>
      </c>
      <c r="B349" s="2" t="inlineStr">
        <is>
          <t>Customer 13</t>
        </is>
      </c>
      <c r="C349" s="2" t="inlineStr">
        <is>
          <t>Breaker</t>
        </is>
      </c>
      <c r="D349" s="2" t="inlineStr">
        <is>
          <t>Plant C</t>
        </is>
      </c>
      <c r="E349" s="2" t="inlineStr">
        <is>
          <t>South</t>
        </is>
      </c>
      <c r="F349" s="12" t="n">
        <v>46154</v>
      </c>
      <c r="G349" s="12" t="n">
        <v>46160</v>
      </c>
      <c r="H349" s="12" t="n">
        <v>46155</v>
      </c>
      <c r="I349" s="12" t="n">
        <v>46153</v>
      </c>
      <c r="J349" s="12" t="n">
        <v>46158</v>
      </c>
      <c r="K349" s="2" t="n">
        <v>185</v>
      </c>
      <c r="L349" s="2" t="inlineStr">
        <is>
          <t>Road</t>
        </is>
      </c>
      <c r="M349" s="2" t="inlineStr">
        <is>
          <t>No Delay</t>
        </is>
      </c>
      <c r="N349" s="4">
        <f>IF(I349&lt;=H349,1,0)</f>
        <v/>
      </c>
      <c r="O349" s="4">
        <f>IF(J349&lt;=G349,1,0)</f>
        <v/>
      </c>
      <c r="P349" s="4">
        <f>MAX(0,I349-H349)</f>
        <v/>
      </c>
      <c r="Q349" s="4">
        <f>MAX(0,J349-G349)</f>
        <v/>
      </c>
      <c r="R349" s="4">
        <f>IF(AND(N349=1,O349=1),"On Track",IF(O349=0,"Customer Delivery Late","Ship Late"))</f>
        <v/>
      </c>
    </row>
    <row r="350">
      <c r="A350" s="2" t="inlineStr">
        <is>
          <t>ORD-00349</t>
        </is>
      </c>
      <c r="B350" s="2" t="inlineStr">
        <is>
          <t>Customer 26</t>
        </is>
      </c>
      <c r="C350" s="2" t="inlineStr">
        <is>
          <t>Relay</t>
        </is>
      </c>
      <c r="D350" s="2" t="inlineStr">
        <is>
          <t>Plant C</t>
        </is>
      </c>
      <c r="E350" s="2" t="inlineStr">
        <is>
          <t>South</t>
        </is>
      </c>
      <c r="F350" s="12" t="n">
        <v>46137</v>
      </c>
      <c r="G350" s="12" t="n">
        <v>46161</v>
      </c>
      <c r="H350" s="12" t="n">
        <v>46157</v>
      </c>
      <c r="I350" s="12" t="n">
        <v>46155</v>
      </c>
      <c r="J350" s="12" t="n">
        <v>46159</v>
      </c>
      <c r="K350" s="2" t="n">
        <v>353</v>
      </c>
      <c r="L350" s="2" t="inlineStr">
        <is>
          <t>Sea</t>
        </is>
      </c>
      <c r="M350" s="2" t="inlineStr">
        <is>
          <t>No Delay</t>
        </is>
      </c>
      <c r="N350" s="4">
        <f>IF(I350&lt;=H350,1,0)</f>
        <v/>
      </c>
      <c r="O350" s="4">
        <f>IF(J350&lt;=G350,1,0)</f>
        <v/>
      </c>
      <c r="P350" s="4">
        <f>MAX(0,I350-H350)</f>
        <v/>
      </c>
      <c r="Q350" s="4">
        <f>MAX(0,J350-G350)</f>
        <v/>
      </c>
      <c r="R350" s="4">
        <f>IF(AND(N350=1,O350=1),"On Track",IF(O350=0,"Customer Delivery Late","Ship Late"))</f>
        <v/>
      </c>
    </row>
    <row r="351">
      <c r="A351" s="2" t="inlineStr">
        <is>
          <t>ORD-00350</t>
        </is>
      </c>
      <c r="B351" s="2" t="inlineStr">
        <is>
          <t>Customer 04</t>
        </is>
      </c>
      <c r="C351" s="2" t="inlineStr">
        <is>
          <t>Breaker</t>
        </is>
      </c>
      <c r="D351" s="2" t="inlineStr">
        <is>
          <t>Plant A</t>
        </is>
      </c>
      <c r="E351" s="2" t="inlineStr">
        <is>
          <t>Export</t>
        </is>
      </c>
      <c r="F351" s="12" t="n">
        <v>46198</v>
      </c>
      <c r="G351" s="12" t="n">
        <v>46213</v>
      </c>
      <c r="H351" s="12" t="n">
        <v>46209</v>
      </c>
      <c r="I351" s="12" t="n">
        <v>46207</v>
      </c>
      <c r="J351" s="12" t="n">
        <v>46211</v>
      </c>
      <c r="K351" s="2" t="n">
        <v>316</v>
      </c>
      <c r="L351" s="2" t="inlineStr">
        <is>
          <t>Sea</t>
        </is>
      </c>
      <c r="M351" s="2" t="inlineStr">
        <is>
          <t>No Delay</t>
        </is>
      </c>
      <c r="N351" s="4">
        <f>IF(I351&lt;=H351,1,0)</f>
        <v/>
      </c>
      <c r="O351" s="4">
        <f>IF(J351&lt;=G351,1,0)</f>
        <v/>
      </c>
      <c r="P351" s="4">
        <f>MAX(0,I351-H351)</f>
        <v/>
      </c>
      <c r="Q351" s="4">
        <f>MAX(0,J351-G351)</f>
        <v/>
      </c>
      <c r="R351" s="4">
        <f>IF(AND(N351=1,O351=1),"On Track",IF(O351=0,"Customer Delivery Late","Ship Late"))</f>
        <v/>
      </c>
    </row>
    <row r="352">
      <c r="A352" s="2" t="inlineStr">
        <is>
          <t>ORD-00351</t>
        </is>
      </c>
      <c r="B352" s="2" t="inlineStr">
        <is>
          <t>Customer 03</t>
        </is>
      </c>
      <c r="C352" s="2" t="inlineStr">
        <is>
          <t>Switchgear</t>
        </is>
      </c>
      <c r="D352" s="2" t="inlineStr">
        <is>
          <t>Plant C</t>
        </is>
      </c>
      <c r="E352" s="2" t="inlineStr">
        <is>
          <t>Central</t>
        </is>
      </c>
      <c r="F352" s="12" t="n">
        <v>46047</v>
      </c>
      <c r="G352" s="12" t="n">
        <v>46057</v>
      </c>
      <c r="H352" s="12" t="n">
        <v>46053</v>
      </c>
      <c r="I352" s="12" t="n">
        <v>46053</v>
      </c>
      <c r="J352" s="12" t="n">
        <v>46058</v>
      </c>
      <c r="K352" s="2" t="n">
        <v>1245</v>
      </c>
      <c r="L352" s="2" t="inlineStr">
        <is>
          <t>Sea</t>
        </is>
      </c>
      <c r="M352" s="2" t="inlineStr">
        <is>
          <t>Material Shortage</t>
        </is>
      </c>
      <c r="N352" s="4">
        <f>IF(I352&lt;=H352,1,0)</f>
        <v/>
      </c>
      <c r="O352" s="4">
        <f>IF(J352&lt;=G352,1,0)</f>
        <v/>
      </c>
      <c r="P352" s="4">
        <f>MAX(0,I352-H352)</f>
        <v/>
      </c>
      <c r="Q352" s="4">
        <f>MAX(0,J352-G352)</f>
        <v/>
      </c>
      <c r="R352" s="4">
        <f>IF(AND(N352=1,O352=1),"On Track",IF(O352=0,"Customer Delivery Late","Ship Late"))</f>
        <v/>
      </c>
    </row>
    <row r="353">
      <c r="A353" s="2" t="inlineStr">
        <is>
          <t>ORD-00352</t>
        </is>
      </c>
      <c r="B353" s="2" t="inlineStr">
        <is>
          <t>Customer 26</t>
        </is>
      </c>
      <c r="C353" s="2" t="inlineStr">
        <is>
          <t>Switchgear</t>
        </is>
      </c>
      <c r="D353" s="2" t="inlineStr">
        <is>
          <t>Plant B</t>
        </is>
      </c>
      <c r="E353" s="2" t="inlineStr">
        <is>
          <t>South</t>
        </is>
      </c>
      <c r="F353" s="12" t="n">
        <v>46023</v>
      </c>
      <c r="G353" s="12" t="n">
        <v>46048</v>
      </c>
      <c r="H353" s="12" t="n">
        <v>46044</v>
      </c>
      <c r="I353" s="12" t="n">
        <v>46043</v>
      </c>
      <c r="J353" s="12" t="n">
        <v>46048</v>
      </c>
      <c r="K353" s="2" t="n">
        <v>1216</v>
      </c>
      <c r="L353" s="2" t="inlineStr">
        <is>
          <t>Sea</t>
        </is>
      </c>
      <c r="M353" s="2" t="inlineStr">
        <is>
          <t>No Delay</t>
        </is>
      </c>
      <c r="N353" s="4">
        <f>IF(I353&lt;=H353,1,0)</f>
        <v/>
      </c>
      <c r="O353" s="4">
        <f>IF(J353&lt;=G353,1,0)</f>
        <v/>
      </c>
      <c r="P353" s="4">
        <f>MAX(0,I353-H353)</f>
        <v/>
      </c>
      <c r="Q353" s="4">
        <f>MAX(0,J353-G353)</f>
        <v/>
      </c>
      <c r="R353" s="4">
        <f>IF(AND(N353=1,O353=1),"On Track",IF(O353=0,"Customer Delivery Late","Ship Late"))</f>
        <v/>
      </c>
    </row>
    <row r="354">
      <c r="A354" s="2" t="inlineStr">
        <is>
          <t>ORD-00353</t>
        </is>
      </c>
      <c r="B354" s="2" t="inlineStr">
        <is>
          <t>Customer 03</t>
        </is>
      </c>
      <c r="C354" s="2" t="inlineStr">
        <is>
          <t>Sensor</t>
        </is>
      </c>
      <c r="D354" s="2" t="inlineStr">
        <is>
          <t>Plant C</t>
        </is>
      </c>
      <c r="E354" s="2" t="inlineStr">
        <is>
          <t>Export</t>
        </is>
      </c>
      <c r="F354" s="12" t="n">
        <v>46201</v>
      </c>
      <c r="G354" s="12" t="n">
        <v>46224</v>
      </c>
      <c r="H354" s="12" t="n">
        <v>46223</v>
      </c>
      <c r="I354" s="12" t="n">
        <v>46222</v>
      </c>
      <c r="J354" s="12" t="n">
        <v>46223</v>
      </c>
      <c r="K354" s="2" t="n">
        <v>537</v>
      </c>
      <c r="L354" s="2" t="inlineStr">
        <is>
          <t>Road</t>
        </is>
      </c>
      <c r="M354" s="2" t="inlineStr">
        <is>
          <t>No Delay</t>
        </is>
      </c>
      <c r="N354" s="4">
        <f>IF(I354&lt;=H354,1,0)</f>
        <v/>
      </c>
      <c r="O354" s="4">
        <f>IF(J354&lt;=G354,1,0)</f>
        <v/>
      </c>
      <c r="P354" s="4">
        <f>MAX(0,I354-H354)</f>
        <v/>
      </c>
      <c r="Q354" s="4">
        <f>MAX(0,J354-G354)</f>
        <v/>
      </c>
      <c r="R354" s="4">
        <f>IF(AND(N354=1,O354=1),"On Track",IF(O354=0,"Customer Delivery Late","Ship Late"))</f>
        <v/>
      </c>
    </row>
    <row r="355">
      <c r="A355" s="2" t="inlineStr">
        <is>
          <t>ORD-00354</t>
        </is>
      </c>
      <c r="B355" s="2" t="inlineStr">
        <is>
          <t>Customer 23</t>
        </is>
      </c>
      <c r="C355" s="2" t="inlineStr">
        <is>
          <t>Drive</t>
        </is>
      </c>
      <c r="D355" s="2" t="inlineStr">
        <is>
          <t>Plant B</t>
        </is>
      </c>
      <c r="E355" s="2" t="inlineStr">
        <is>
          <t>South</t>
        </is>
      </c>
      <c r="F355" s="12" t="n">
        <v>46024</v>
      </c>
      <c r="G355" s="12" t="n">
        <v>46029</v>
      </c>
      <c r="H355" s="12" t="n">
        <v>46024</v>
      </c>
      <c r="I355" s="12" t="n">
        <v>46024</v>
      </c>
      <c r="J355" s="12" t="n">
        <v>46029</v>
      </c>
      <c r="K355" s="2" t="n">
        <v>228</v>
      </c>
      <c r="L355" s="2" t="inlineStr">
        <is>
          <t>Road</t>
        </is>
      </c>
      <c r="M355" s="2" t="inlineStr">
        <is>
          <t>No Delay</t>
        </is>
      </c>
      <c r="N355" s="4">
        <f>IF(I355&lt;=H355,1,0)</f>
        <v/>
      </c>
      <c r="O355" s="4">
        <f>IF(J355&lt;=G355,1,0)</f>
        <v/>
      </c>
      <c r="P355" s="4">
        <f>MAX(0,I355-H355)</f>
        <v/>
      </c>
      <c r="Q355" s="4">
        <f>MAX(0,J355-G355)</f>
        <v/>
      </c>
      <c r="R355" s="4">
        <f>IF(AND(N355=1,O355=1),"On Track",IF(O355=0,"Customer Delivery Late","Ship Late"))</f>
        <v/>
      </c>
    </row>
    <row r="356">
      <c r="A356" s="2" t="inlineStr">
        <is>
          <t>ORD-00355</t>
        </is>
      </c>
      <c r="B356" s="2" t="inlineStr">
        <is>
          <t>Customer 22</t>
        </is>
      </c>
      <c r="C356" s="2" t="inlineStr">
        <is>
          <t>Power Supply</t>
        </is>
      </c>
      <c r="D356" s="2" t="inlineStr">
        <is>
          <t>Plant A</t>
        </is>
      </c>
      <c r="E356" s="2" t="inlineStr">
        <is>
          <t>Export</t>
        </is>
      </c>
      <c r="F356" s="12" t="n">
        <v>46132</v>
      </c>
      <c r="G356" s="12" t="n">
        <v>46157</v>
      </c>
      <c r="H356" s="12" t="n">
        <v>46152</v>
      </c>
      <c r="I356" s="12" t="n">
        <v>46152</v>
      </c>
      <c r="J356" s="12" t="n">
        <v>46158</v>
      </c>
      <c r="K356" s="2" t="n">
        <v>1140</v>
      </c>
      <c r="L356" s="2" t="inlineStr">
        <is>
          <t>Sea</t>
        </is>
      </c>
      <c r="M356" s="2" t="inlineStr">
        <is>
          <t>Carrier Delay</t>
        </is>
      </c>
      <c r="N356" s="4">
        <f>IF(I356&lt;=H356,1,0)</f>
        <v/>
      </c>
      <c r="O356" s="4">
        <f>IF(J356&lt;=G356,1,0)</f>
        <v/>
      </c>
      <c r="P356" s="4">
        <f>MAX(0,I356-H356)</f>
        <v/>
      </c>
      <c r="Q356" s="4">
        <f>MAX(0,J356-G356)</f>
        <v/>
      </c>
      <c r="R356" s="4">
        <f>IF(AND(N356=1,O356=1),"On Track",IF(O356=0,"Customer Delivery Late","Ship Late"))</f>
        <v/>
      </c>
    </row>
    <row r="357">
      <c r="A357" s="2" t="inlineStr">
        <is>
          <t>ORD-00356</t>
        </is>
      </c>
      <c r="B357" s="2" t="inlineStr">
        <is>
          <t>Customer 25</t>
        </is>
      </c>
      <c r="C357" s="2" t="inlineStr">
        <is>
          <t>Power Supply</t>
        </is>
      </c>
      <c r="D357" s="2" t="inlineStr">
        <is>
          <t>Plant C</t>
        </is>
      </c>
      <c r="E357" s="2" t="inlineStr">
        <is>
          <t>Central</t>
        </is>
      </c>
      <c r="F357" s="12" t="n">
        <v>46146</v>
      </c>
      <c r="G357" s="12" t="n">
        <v>46156</v>
      </c>
      <c r="H357" s="12" t="n">
        <v>46153</v>
      </c>
      <c r="I357" s="12" t="n">
        <v>46152</v>
      </c>
      <c r="J357" s="12" t="n">
        <v>46155</v>
      </c>
      <c r="K357" s="2" t="n">
        <v>1360</v>
      </c>
      <c r="L357" s="2" t="inlineStr">
        <is>
          <t>Road</t>
        </is>
      </c>
      <c r="M357" s="2" t="inlineStr">
        <is>
          <t>No Delay</t>
        </is>
      </c>
      <c r="N357" s="4">
        <f>IF(I357&lt;=H357,1,0)</f>
        <v/>
      </c>
      <c r="O357" s="4">
        <f>IF(J357&lt;=G357,1,0)</f>
        <v/>
      </c>
      <c r="P357" s="4">
        <f>MAX(0,I357-H357)</f>
        <v/>
      </c>
      <c r="Q357" s="4">
        <f>MAX(0,J357-G357)</f>
        <v/>
      </c>
      <c r="R357" s="4">
        <f>IF(AND(N357=1,O357=1),"On Track",IF(O357=0,"Customer Delivery Late","Ship Late"))</f>
        <v/>
      </c>
    </row>
    <row r="358">
      <c r="A358" s="2" t="inlineStr">
        <is>
          <t>ORD-00357</t>
        </is>
      </c>
      <c r="B358" s="2" t="inlineStr">
        <is>
          <t>Customer 20</t>
        </is>
      </c>
      <c r="C358" s="2" t="inlineStr">
        <is>
          <t>Breaker</t>
        </is>
      </c>
      <c r="D358" s="2" t="inlineStr">
        <is>
          <t>Plant A</t>
        </is>
      </c>
      <c r="E358" s="2" t="inlineStr">
        <is>
          <t>Export</t>
        </is>
      </c>
      <c r="F358" s="12" t="n">
        <v>46081</v>
      </c>
      <c r="G358" s="12" t="n">
        <v>46100</v>
      </c>
      <c r="H358" s="12" t="n">
        <v>46098</v>
      </c>
      <c r="I358" s="12" t="n">
        <v>46098</v>
      </c>
      <c r="J358" s="12" t="n">
        <v>46100</v>
      </c>
      <c r="K358" s="2" t="n">
        <v>1312</v>
      </c>
      <c r="L358" s="2" t="inlineStr">
        <is>
          <t>Road</t>
        </is>
      </c>
      <c r="M358" s="2" t="inlineStr">
        <is>
          <t>No Delay</t>
        </is>
      </c>
      <c r="N358" s="4">
        <f>IF(I358&lt;=H358,1,0)</f>
        <v/>
      </c>
      <c r="O358" s="4">
        <f>IF(J358&lt;=G358,1,0)</f>
        <v/>
      </c>
      <c r="P358" s="4">
        <f>MAX(0,I358-H358)</f>
        <v/>
      </c>
      <c r="Q358" s="4">
        <f>MAX(0,J358-G358)</f>
        <v/>
      </c>
      <c r="R358" s="4">
        <f>IF(AND(N358=1,O358=1),"On Track",IF(O358=0,"Customer Delivery Late","Ship Late"))</f>
        <v/>
      </c>
    </row>
    <row r="359">
      <c r="A359" s="2" t="inlineStr">
        <is>
          <t>ORD-00358</t>
        </is>
      </c>
      <c r="B359" s="2" t="inlineStr">
        <is>
          <t>Customer 12</t>
        </is>
      </c>
      <c r="C359" s="2" t="inlineStr">
        <is>
          <t>Contactor</t>
        </is>
      </c>
      <c r="D359" s="2" t="inlineStr">
        <is>
          <t>Plant C</t>
        </is>
      </c>
      <c r="E359" s="2" t="inlineStr">
        <is>
          <t>North</t>
        </is>
      </c>
      <c r="F359" s="12" t="n">
        <v>46046</v>
      </c>
      <c r="G359" s="12" t="n">
        <v>46055</v>
      </c>
      <c r="H359" s="12" t="n">
        <v>46051</v>
      </c>
      <c r="I359" s="12" t="n">
        <v>46050</v>
      </c>
      <c r="J359" s="12" t="n">
        <v>46053</v>
      </c>
      <c r="K359" s="2" t="n">
        <v>1493</v>
      </c>
      <c r="L359" s="2" t="inlineStr">
        <is>
          <t>Air</t>
        </is>
      </c>
      <c r="M359" s="2" t="inlineStr">
        <is>
          <t>No Delay</t>
        </is>
      </c>
      <c r="N359" s="4">
        <f>IF(I359&lt;=H359,1,0)</f>
        <v/>
      </c>
      <c r="O359" s="4">
        <f>IF(J359&lt;=G359,1,0)</f>
        <v/>
      </c>
      <c r="P359" s="4">
        <f>MAX(0,I359-H359)</f>
        <v/>
      </c>
      <c r="Q359" s="4">
        <f>MAX(0,J359-G359)</f>
        <v/>
      </c>
      <c r="R359" s="4">
        <f>IF(AND(N359=1,O359=1),"On Track",IF(O359=0,"Customer Delivery Late","Ship Late"))</f>
        <v/>
      </c>
    </row>
    <row r="360">
      <c r="A360" s="2" t="inlineStr">
        <is>
          <t>ORD-00359</t>
        </is>
      </c>
      <c r="B360" s="2" t="inlineStr">
        <is>
          <t>Customer 15</t>
        </is>
      </c>
      <c r="C360" s="2" t="inlineStr">
        <is>
          <t>Breaker</t>
        </is>
      </c>
      <c r="D360" s="2" t="inlineStr">
        <is>
          <t>Plant A</t>
        </is>
      </c>
      <c r="E360" s="2" t="inlineStr">
        <is>
          <t>South</t>
        </is>
      </c>
      <c r="F360" s="12" t="n">
        <v>46125</v>
      </c>
      <c r="G360" s="12" t="n">
        <v>46149</v>
      </c>
      <c r="H360" s="12" t="n">
        <v>46144</v>
      </c>
      <c r="I360" s="12" t="n">
        <v>46144</v>
      </c>
      <c r="J360" s="12" t="n">
        <v>46149</v>
      </c>
      <c r="K360" s="2" t="n">
        <v>408</v>
      </c>
      <c r="L360" s="2" t="inlineStr">
        <is>
          <t>Road</t>
        </is>
      </c>
      <c r="M360" s="2" t="inlineStr">
        <is>
          <t>No Delay</t>
        </is>
      </c>
      <c r="N360" s="4">
        <f>IF(I360&lt;=H360,1,0)</f>
        <v/>
      </c>
      <c r="O360" s="4">
        <f>IF(J360&lt;=G360,1,0)</f>
        <v/>
      </c>
      <c r="P360" s="4">
        <f>MAX(0,I360-H360)</f>
        <v/>
      </c>
      <c r="Q360" s="4">
        <f>MAX(0,J360-G360)</f>
        <v/>
      </c>
      <c r="R360" s="4">
        <f>IF(AND(N360=1,O360=1),"On Track",IF(O360=0,"Customer Delivery Late","Ship Late"))</f>
        <v/>
      </c>
    </row>
    <row r="361">
      <c r="A361" s="2" t="inlineStr">
        <is>
          <t>ORD-00360</t>
        </is>
      </c>
      <c r="B361" s="2" t="inlineStr">
        <is>
          <t>Customer 21</t>
        </is>
      </c>
      <c r="C361" s="2" t="inlineStr">
        <is>
          <t>Breaker</t>
        </is>
      </c>
      <c r="D361" s="2" t="inlineStr">
        <is>
          <t>Plant A</t>
        </is>
      </c>
      <c r="E361" s="2" t="inlineStr">
        <is>
          <t>North</t>
        </is>
      </c>
      <c r="F361" s="12" t="n">
        <v>46176</v>
      </c>
      <c r="G361" s="12" t="n">
        <v>46197</v>
      </c>
      <c r="H361" s="12" t="n">
        <v>46192</v>
      </c>
      <c r="I361" s="12" t="n">
        <v>46192</v>
      </c>
      <c r="J361" s="12" t="n">
        <v>46196</v>
      </c>
      <c r="K361" s="2" t="n">
        <v>575</v>
      </c>
      <c r="L361" s="2" t="inlineStr">
        <is>
          <t>Air</t>
        </is>
      </c>
      <c r="M361" s="2" t="inlineStr">
        <is>
          <t>No Delay</t>
        </is>
      </c>
      <c r="N361" s="4">
        <f>IF(I361&lt;=H361,1,0)</f>
        <v/>
      </c>
      <c r="O361" s="4">
        <f>IF(J361&lt;=G361,1,0)</f>
        <v/>
      </c>
      <c r="P361" s="4">
        <f>MAX(0,I361-H361)</f>
        <v/>
      </c>
      <c r="Q361" s="4">
        <f>MAX(0,J361-G361)</f>
        <v/>
      </c>
      <c r="R361" s="4">
        <f>IF(AND(N361=1,O361=1),"On Track",IF(O361=0,"Customer Delivery Late","Ship Late"))</f>
        <v/>
      </c>
    </row>
    <row r="362">
      <c r="A362" s="2" t="inlineStr">
        <is>
          <t>ORD-00361</t>
        </is>
      </c>
      <c r="B362" s="2" t="inlineStr">
        <is>
          <t>Customer 18</t>
        </is>
      </c>
      <c r="C362" s="2" t="inlineStr">
        <is>
          <t>Sensor</t>
        </is>
      </c>
      <c r="D362" s="2" t="inlineStr">
        <is>
          <t>Plant C</t>
        </is>
      </c>
      <c r="E362" s="2" t="inlineStr">
        <is>
          <t>South</t>
        </is>
      </c>
      <c r="F362" s="12" t="n">
        <v>46113</v>
      </c>
      <c r="G362" s="12" t="n">
        <v>46130</v>
      </c>
      <c r="H362" s="12" t="n">
        <v>46126</v>
      </c>
      <c r="I362" s="12" t="n">
        <v>46126</v>
      </c>
      <c r="J362" s="12" t="n">
        <v>46129</v>
      </c>
      <c r="K362" s="2" t="n">
        <v>721</v>
      </c>
      <c r="L362" s="2" t="inlineStr">
        <is>
          <t>Air</t>
        </is>
      </c>
      <c r="M362" s="2" t="inlineStr">
        <is>
          <t>No Delay</t>
        </is>
      </c>
      <c r="N362" s="4">
        <f>IF(I362&lt;=H362,1,0)</f>
        <v/>
      </c>
      <c r="O362" s="4">
        <f>IF(J362&lt;=G362,1,0)</f>
        <v/>
      </c>
      <c r="P362" s="4">
        <f>MAX(0,I362-H362)</f>
        <v/>
      </c>
      <c r="Q362" s="4">
        <f>MAX(0,J362-G362)</f>
        <v/>
      </c>
      <c r="R362" s="4">
        <f>IF(AND(N362=1,O362=1),"On Track",IF(O362=0,"Customer Delivery Late","Ship Late"))</f>
        <v/>
      </c>
    </row>
    <row r="363">
      <c r="A363" s="2" t="inlineStr">
        <is>
          <t>ORD-00362</t>
        </is>
      </c>
      <c r="B363" s="2" t="inlineStr">
        <is>
          <t>Customer 17</t>
        </is>
      </c>
      <c r="C363" s="2" t="inlineStr">
        <is>
          <t>Contactor</t>
        </is>
      </c>
      <c r="D363" s="2" t="inlineStr">
        <is>
          <t>Plant C</t>
        </is>
      </c>
      <c r="E363" s="2" t="inlineStr">
        <is>
          <t>North</t>
        </is>
      </c>
      <c r="F363" s="12" t="n">
        <v>46080</v>
      </c>
      <c r="G363" s="12" t="n">
        <v>46104</v>
      </c>
      <c r="H363" s="12" t="n">
        <v>46102</v>
      </c>
      <c r="I363" s="12" t="n">
        <v>46101</v>
      </c>
      <c r="J363" s="12" t="n">
        <v>46103</v>
      </c>
      <c r="K363" s="2" t="n">
        <v>1040</v>
      </c>
      <c r="L363" s="2" t="inlineStr">
        <is>
          <t>Air</t>
        </is>
      </c>
      <c r="M363" s="2" t="inlineStr">
        <is>
          <t>No Delay</t>
        </is>
      </c>
      <c r="N363" s="4">
        <f>IF(I363&lt;=H363,1,0)</f>
        <v/>
      </c>
      <c r="O363" s="4">
        <f>IF(J363&lt;=G363,1,0)</f>
        <v/>
      </c>
      <c r="P363" s="4">
        <f>MAX(0,I363-H363)</f>
        <v/>
      </c>
      <c r="Q363" s="4">
        <f>MAX(0,J363-G363)</f>
        <v/>
      </c>
      <c r="R363" s="4">
        <f>IF(AND(N363=1,O363=1),"On Track",IF(O363=0,"Customer Delivery Late","Ship Late"))</f>
        <v/>
      </c>
    </row>
    <row r="364">
      <c r="A364" s="2" t="inlineStr">
        <is>
          <t>ORD-00363</t>
        </is>
      </c>
      <c r="B364" s="2" t="inlineStr">
        <is>
          <t>Customer 19</t>
        </is>
      </c>
      <c r="C364" s="2" t="inlineStr">
        <is>
          <t>Switchgear</t>
        </is>
      </c>
      <c r="D364" s="2" t="inlineStr">
        <is>
          <t>Plant A</t>
        </is>
      </c>
      <c r="E364" s="2" t="inlineStr">
        <is>
          <t>South</t>
        </is>
      </c>
      <c r="F364" s="12" t="n">
        <v>46110</v>
      </c>
      <c r="G364" s="12" t="n">
        <v>46118</v>
      </c>
      <c r="H364" s="12" t="n">
        <v>46113</v>
      </c>
      <c r="I364" s="12" t="n">
        <v>46113</v>
      </c>
      <c r="J364" s="12" t="n">
        <v>46118</v>
      </c>
      <c r="K364" s="2" t="n">
        <v>949</v>
      </c>
      <c r="L364" s="2" t="inlineStr">
        <is>
          <t>Sea</t>
        </is>
      </c>
      <c r="M364" s="2" t="inlineStr">
        <is>
          <t>No Delay</t>
        </is>
      </c>
      <c r="N364" s="4">
        <f>IF(I364&lt;=H364,1,0)</f>
        <v/>
      </c>
      <c r="O364" s="4">
        <f>IF(J364&lt;=G364,1,0)</f>
        <v/>
      </c>
      <c r="P364" s="4">
        <f>MAX(0,I364-H364)</f>
        <v/>
      </c>
      <c r="Q364" s="4">
        <f>MAX(0,J364-G364)</f>
        <v/>
      </c>
      <c r="R364" s="4">
        <f>IF(AND(N364=1,O364=1),"On Track",IF(O364=0,"Customer Delivery Late","Ship Late"))</f>
        <v/>
      </c>
    </row>
    <row r="365">
      <c r="A365" s="2" t="inlineStr">
        <is>
          <t>ORD-00364</t>
        </is>
      </c>
      <c r="B365" s="2" t="inlineStr">
        <is>
          <t>Customer 08</t>
        </is>
      </c>
      <c r="C365" s="2" t="inlineStr">
        <is>
          <t>PLC</t>
        </is>
      </c>
      <c r="D365" s="2" t="inlineStr">
        <is>
          <t>Plant B</t>
        </is>
      </c>
      <c r="E365" s="2" t="inlineStr">
        <is>
          <t>Export</t>
        </is>
      </c>
      <c r="F365" s="12" t="n">
        <v>46140</v>
      </c>
      <c r="G365" s="12" t="n">
        <v>46163</v>
      </c>
      <c r="H365" s="12" t="n">
        <v>46162</v>
      </c>
      <c r="I365" s="12" t="n">
        <v>46161</v>
      </c>
      <c r="J365" s="12" t="n">
        <v>46162</v>
      </c>
      <c r="K365" s="2" t="n">
        <v>733</v>
      </c>
      <c r="L365" s="2" t="inlineStr">
        <is>
          <t>Sea</t>
        </is>
      </c>
      <c r="M365" s="2" t="inlineStr">
        <is>
          <t>No Delay</t>
        </is>
      </c>
      <c r="N365" s="4">
        <f>IF(I365&lt;=H365,1,0)</f>
        <v/>
      </c>
      <c r="O365" s="4">
        <f>IF(J365&lt;=G365,1,0)</f>
        <v/>
      </c>
      <c r="P365" s="4">
        <f>MAX(0,I365-H365)</f>
        <v/>
      </c>
      <c r="Q365" s="4">
        <f>MAX(0,J365-G365)</f>
        <v/>
      </c>
      <c r="R365" s="4">
        <f>IF(AND(N365=1,O365=1),"On Track",IF(O365=0,"Customer Delivery Late","Ship Late"))</f>
        <v/>
      </c>
    </row>
    <row r="366">
      <c r="A366" s="2" t="inlineStr">
        <is>
          <t>ORD-00365</t>
        </is>
      </c>
      <c r="B366" s="2" t="inlineStr">
        <is>
          <t>Customer 30</t>
        </is>
      </c>
      <c r="C366" s="2" t="inlineStr">
        <is>
          <t>Relay</t>
        </is>
      </c>
      <c r="D366" s="2" t="inlineStr">
        <is>
          <t>Plant B</t>
        </is>
      </c>
      <c r="E366" s="2" t="inlineStr">
        <is>
          <t>South</t>
        </is>
      </c>
      <c r="F366" s="12" t="n">
        <v>46160</v>
      </c>
      <c r="G366" s="12" t="n">
        <v>46165</v>
      </c>
      <c r="H366" s="12" t="n">
        <v>46162</v>
      </c>
      <c r="I366" s="12" t="n">
        <v>46160</v>
      </c>
      <c r="J366" s="12" t="n">
        <v>46163</v>
      </c>
      <c r="K366" s="2" t="n">
        <v>734</v>
      </c>
      <c r="L366" s="2" t="inlineStr">
        <is>
          <t>Road</t>
        </is>
      </c>
      <c r="M366" s="2" t="inlineStr">
        <is>
          <t>No Delay</t>
        </is>
      </c>
      <c r="N366" s="4">
        <f>IF(I366&lt;=H366,1,0)</f>
        <v/>
      </c>
      <c r="O366" s="4">
        <f>IF(J366&lt;=G366,1,0)</f>
        <v/>
      </c>
      <c r="P366" s="4">
        <f>MAX(0,I366-H366)</f>
        <v/>
      </c>
      <c r="Q366" s="4">
        <f>MAX(0,J366-G366)</f>
        <v/>
      </c>
      <c r="R366" s="4">
        <f>IF(AND(N366=1,O366=1),"On Track",IF(O366=0,"Customer Delivery Late","Ship Late"))</f>
        <v/>
      </c>
    </row>
    <row r="367">
      <c r="A367" s="2" t="inlineStr">
        <is>
          <t>ORD-00366</t>
        </is>
      </c>
      <c r="B367" s="2" t="inlineStr">
        <is>
          <t>Customer 08</t>
        </is>
      </c>
      <c r="C367" s="2" t="inlineStr">
        <is>
          <t>PLC</t>
        </is>
      </c>
      <c r="D367" s="2" t="inlineStr">
        <is>
          <t>Plant B</t>
        </is>
      </c>
      <c r="E367" s="2" t="inlineStr">
        <is>
          <t>Central</t>
        </is>
      </c>
      <c r="F367" s="12" t="n">
        <v>46169</v>
      </c>
      <c r="G367" s="12" t="n">
        <v>46182</v>
      </c>
      <c r="H367" s="12" t="n">
        <v>46180</v>
      </c>
      <c r="I367" s="12" t="n">
        <v>46180</v>
      </c>
      <c r="J367" s="12" t="n">
        <v>46182</v>
      </c>
      <c r="K367" s="2" t="n">
        <v>479</v>
      </c>
      <c r="L367" s="2" t="inlineStr">
        <is>
          <t>Road</t>
        </is>
      </c>
      <c r="M367" s="2" t="inlineStr">
        <is>
          <t>No Delay</t>
        </is>
      </c>
      <c r="N367" s="4">
        <f>IF(I367&lt;=H367,1,0)</f>
        <v/>
      </c>
      <c r="O367" s="4">
        <f>IF(J367&lt;=G367,1,0)</f>
        <v/>
      </c>
      <c r="P367" s="4">
        <f>MAX(0,I367-H367)</f>
        <v/>
      </c>
      <c r="Q367" s="4">
        <f>MAX(0,J367-G367)</f>
        <v/>
      </c>
      <c r="R367" s="4">
        <f>IF(AND(N367=1,O367=1),"On Track",IF(O367=0,"Customer Delivery Late","Ship Late"))</f>
        <v/>
      </c>
    </row>
    <row r="368">
      <c r="A368" s="2" t="inlineStr">
        <is>
          <t>ORD-00367</t>
        </is>
      </c>
      <c r="B368" s="2" t="inlineStr">
        <is>
          <t>Customer 22</t>
        </is>
      </c>
      <c r="C368" s="2" t="inlineStr">
        <is>
          <t>Switchgear</t>
        </is>
      </c>
      <c r="D368" s="2" t="inlineStr">
        <is>
          <t>Plant C</t>
        </is>
      </c>
      <c r="E368" s="2" t="inlineStr">
        <is>
          <t>North</t>
        </is>
      </c>
      <c r="F368" s="12" t="n">
        <v>46086</v>
      </c>
      <c r="G368" s="12" t="n">
        <v>46110</v>
      </c>
      <c r="H368" s="12" t="n">
        <v>46107</v>
      </c>
      <c r="I368" s="12" t="n">
        <v>46105</v>
      </c>
      <c r="J368" s="12" t="n">
        <v>46107</v>
      </c>
      <c r="K368" s="2" t="n">
        <v>1118</v>
      </c>
      <c r="L368" s="2" t="inlineStr">
        <is>
          <t>Road</t>
        </is>
      </c>
      <c r="M368" s="2" t="inlineStr">
        <is>
          <t>No Delay</t>
        </is>
      </c>
      <c r="N368" s="4">
        <f>IF(I368&lt;=H368,1,0)</f>
        <v/>
      </c>
      <c r="O368" s="4">
        <f>IF(J368&lt;=G368,1,0)</f>
        <v/>
      </c>
      <c r="P368" s="4">
        <f>MAX(0,I368-H368)</f>
        <v/>
      </c>
      <c r="Q368" s="4">
        <f>MAX(0,J368-G368)</f>
        <v/>
      </c>
      <c r="R368" s="4">
        <f>IF(AND(N368=1,O368=1),"On Track",IF(O368=0,"Customer Delivery Late","Ship Late"))</f>
        <v/>
      </c>
    </row>
    <row r="369">
      <c r="A369" s="2" t="inlineStr">
        <is>
          <t>ORD-00368</t>
        </is>
      </c>
      <c r="B369" s="2" t="inlineStr">
        <is>
          <t>Customer 25</t>
        </is>
      </c>
      <c r="C369" s="2" t="inlineStr">
        <is>
          <t>Sensor</t>
        </is>
      </c>
      <c r="D369" s="2" t="inlineStr">
        <is>
          <t>Plant B</t>
        </is>
      </c>
      <c r="E369" s="2" t="inlineStr">
        <is>
          <t>Central</t>
        </is>
      </c>
      <c r="F369" s="12" t="n">
        <v>46146</v>
      </c>
      <c r="G369" s="12" t="n">
        <v>46162</v>
      </c>
      <c r="H369" s="12" t="n">
        <v>46157</v>
      </c>
      <c r="I369" s="12" t="n">
        <v>46157</v>
      </c>
      <c r="J369" s="12" t="n">
        <v>46162</v>
      </c>
      <c r="K369" s="2" t="n">
        <v>1191</v>
      </c>
      <c r="L369" s="2" t="inlineStr">
        <is>
          <t>Road</t>
        </is>
      </c>
      <c r="M369" s="2" t="inlineStr">
        <is>
          <t>No Delay</t>
        </is>
      </c>
      <c r="N369" s="4">
        <f>IF(I369&lt;=H369,1,0)</f>
        <v/>
      </c>
      <c r="O369" s="4">
        <f>IF(J369&lt;=G369,1,0)</f>
        <v/>
      </c>
      <c r="P369" s="4">
        <f>MAX(0,I369-H369)</f>
        <v/>
      </c>
      <c r="Q369" s="4">
        <f>MAX(0,J369-G369)</f>
        <v/>
      </c>
      <c r="R369" s="4">
        <f>IF(AND(N369=1,O369=1),"On Track",IF(O369=0,"Customer Delivery Late","Ship Late"))</f>
        <v/>
      </c>
    </row>
    <row r="370">
      <c r="A370" s="2" t="inlineStr">
        <is>
          <t>ORD-00369</t>
        </is>
      </c>
      <c r="B370" s="2" t="inlineStr">
        <is>
          <t>Customer 25</t>
        </is>
      </c>
      <c r="C370" s="2" t="inlineStr">
        <is>
          <t>Relay</t>
        </is>
      </c>
      <c r="D370" s="2" t="inlineStr">
        <is>
          <t>Plant B</t>
        </is>
      </c>
      <c r="E370" s="2" t="inlineStr">
        <is>
          <t>North</t>
        </is>
      </c>
      <c r="F370" s="12" t="n">
        <v>46036</v>
      </c>
      <c r="G370" s="12" t="n">
        <v>46057</v>
      </c>
      <c r="H370" s="12" t="n">
        <v>46053</v>
      </c>
      <c r="I370" s="12" t="n">
        <v>46053</v>
      </c>
      <c r="J370" s="12" t="n">
        <v>46058</v>
      </c>
      <c r="K370" s="2" t="n">
        <v>1440</v>
      </c>
      <c r="L370" s="2" t="inlineStr">
        <is>
          <t>Sea</t>
        </is>
      </c>
      <c r="M370" s="2" t="inlineStr">
        <is>
          <t>Customer Change</t>
        </is>
      </c>
      <c r="N370" s="4">
        <f>IF(I370&lt;=H370,1,0)</f>
        <v/>
      </c>
      <c r="O370" s="4">
        <f>IF(J370&lt;=G370,1,0)</f>
        <v/>
      </c>
      <c r="P370" s="4">
        <f>MAX(0,I370-H370)</f>
        <v/>
      </c>
      <c r="Q370" s="4">
        <f>MAX(0,J370-G370)</f>
        <v/>
      </c>
      <c r="R370" s="4">
        <f>IF(AND(N370=1,O370=1),"On Track",IF(O370=0,"Customer Delivery Late","Ship Late"))</f>
        <v/>
      </c>
    </row>
    <row r="371">
      <c r="A371" s="2" t="inlineStr">
        <is>
          <t>ORD-00370</t>
        </is>
      </c>
      <c r="B371" s="2" t="inlineStr">
        <is>
          <t>Customer 12</t>
        </is>
      </c>
      <c r="C371" s="2" t="inlineStr">
        <is>
          <t>Sensor</t>
        </is>
      </c>
      <c r="D371" s="2" t="inlineStr">
        <is>
          <t>Plant A</t>
        </is>
      </c>
      <c r="E371" s="2" t="inlineStr">
        <is>
          <t>South</t>
        </is>
      </c>
      <c r="F371" s="12" t="n">
        <v>46140</v>
      </c>
      <c r="G371" s="12" t="n">
        <v>46155</v>
      </c>
      <c r="H371" s="12" t="n">
        <v>46154</v>
      </c>
      <c r="I371" s="12" t="n">
        <v>46152</v>
      </c>
      <c r="J371" s="12" t="n">
        <v>46154</v>
      </c>
      <c r="K371" s="2" t="n">
        <v>495</v>
      </c>
      <c r="L371" s="2" t="inlineStr">
        <is>
          <t>Air</t>
        </is>
      </c>
      <c r="M371" s="2" t="inlineStr">
        <is>
          <t>No Delay</t>
        </is>
      </c>
      <c r="N371" s="4">
        <f>IF(I371&lt;=H371,1,0)</f>
        <v/>
      </c>
      <c r="O371" s="4">
        <f>IF(J371&lt;=G371,1,0)</f>
        <v/>
      </c>
      <c r="P371" s="4">
        <f>MAX(0,I371-H371)</f>
        <v/>
      </c>
      <c r="Q371" s="4">
        <f>MAX(0,J371-G371)</f>
        <v/>
      </c>
      <c r="R371" s="4">
        <f>IF(AND(N371=1,O371=1),"On Track",IF(O371=0,"Customer Delivery Late","Ship Late"))</f>
        <v/>
      </c>
    </row>
    <row r="372">
      <c r="A372" s="2" t="inlineStr">
        <is>
          <t>ORD-00371</t>
        </is>
      </c>
      <c r="B372" s="2" t="inlineStr">
        <is>
          <t>Customer 25</t>
        </is>
      </c>
      <c r="C372" s="2" t="inlineStr">
        <is>
          <t>Drive</t>
        </is>
      </c>
      <c r="D372" s="2" t="inlineStr">
        <is>
          <t>Plant B</t>
        </is>
      </c>
      <c r="E372" s="2" t="inlineStr">
        <is>
          <t>Export</t>
        </is>
      </c>
      <c r="F372" s="12" t="n">
        <v>46143</v>
      </c>
      <c r="G372" s="12" t="n">
        <v>46167</v>
      </c>
      <c r="H372" s="12" t="n">
        <v>46164</v>
      </c>
      <c r="I372" s="12" t="n">
        <v>46163</v>
      </c>
      <c r="J372" s="12" t="n">
        <v>46166</v>
      </c>
      <c r="K372" s="2" t="n">
        <v>582</v>
      </c>
      <c r="L372" s="2" t="inlineStr">
        <is>
          <t>Air</t>
        </is>
      </c>
      <c r="M372" s="2" t="inlineStr">
        <is>
          <t>No Delay</t>
        </is>
      </c>
      <c r="N372" s="4">
        <f>IF(I372&lt;=H372,1,0)</f>
        <v/>
      </c>
      <c r="O372" s="4">
        <f>IF(J372&lt;=G372,1,0)</f>
        <v/>
      </c>
      <c r="P372" s="4">
        <f>MAX(0,I372-H372)</f>
        <v/>
      </c>
      <c r="Q372" s="4">
        <f>MAX(0,J372-G372)</f>
        <v/>
      </c>
      <c r="R372" s="4">
        <f>IF(AND(N372=1,O372=1),"On Track",IF(O372=0,"Customer Delivery Late","Ship Late"))</f>
        <v/>
      </c>
    </row>
    <row r="373">
      <c r="A373" s="2" t="inlineStr">
        <is>
          <t>ORD-00372</t>
        </is>
      </c>
      <c r="B373" s="2" t="inlineStr">
        <is>
          <t>Customer 14</t>
        </is>
      </c>
      <c r="C373" s="2" t="inlineStr">
        <is>
          <t>Power Supply</t>
        </is>
      </c>
      <c r="D373" s="2" t="inlineStr">
        <is>
          <t>Plant A</t>
        </is>
      </c>
      <c r="E373" s="2" t="inlineStr">
        <is>
          <t>Central</t>
        </is>
      </c>
      <c r="F373" s="12" t="n">
        <v>46069</v>
      </c>
      <c r="G373" s="12" t="n">
        <v>46092</v>
      </c>
      <c r="H373" s="12" t="n">
        <v>46090</v>
      </c>
      <c r="I373" s="12" t="n">
        <v>46094</v>
      </c>
      <c r="J373" s="12" t="n">
        <v>46096</v>
      </c>
      <c r="K373" s="2" t="n">
        <v>316</v>
      </c>
      <c r="L373" s="2" t="inlineStr">
        <is>
          <t>Air</t>
        </is>
      </c>
      <c r="M373" s="2" t="inlineStr">
        <is>
          <t>Capacity Constraint</t>
        </is>
      </c>
      <c r="N373" s="4">
        <f>IF(I373&lt;=H373,1,0)</f>
        <v/>
      </c>
      <c r="O373" s="4">
        <f>IF(J373&lt;=G373,1,0)</f>
        <v/>
      </c>
      <c r="P373" s="4">
        <f>MAX(0,I373-H373)</f>
        <v/>
      </c>
      <c r="Q373" s="4">
        <f>MAX(0,J373-G373)</f>
        <v/>
      </c>
      <c r="R373" s="4">
        <f>IF(AND(N373=1,O373=1),"On Track",IF(O373=0,"Customer Delivery Late","Ship Late"))</f>
        <v/>
      </c>
    </row>
    <row r="374">
      <c r="A374" s="2" t="inlineStr">
        <is>
          <t>ORD-00373</t>
        </is>
      </c>
      <c r="B374" s="2" t="inlineStr">
        <is>
          <t>Customer 18</t>
        </is>
      </c>
      <c r="C374" s="2" t="inlineStr">
        <is>
          <t>Breaker</t>
        </is>
      </c>
      <c r="D374" s="2" t="inlineStr">
        <is>
          <t>Plant B</t>
        </is>
      </c>
      <c r="E374" s="2" t="inlineStr">
        <is>
          <t>North</t>
        </is>
      </c>
      <c r="F374" s="12" t="n">
        <v>46025</v>
      </c>
      <c r="G374" s="12" t="n">
        <v>46035</v>
      </c>
      <c r="H374" s="12" t="n">
        <v>46031</v>
      </c>
      <c r="I374" s="12" t="n">
        <v>46031</v>
      </c>
      <c r="J374" s="12" t="n">
        <v>46035</v>
      </c>
      <c r="K374" s="2" t="n">
        <v>1424</v>
      </c>
      <c r="L374" s="2" t="inlineStr">
        <is>
          <t>Road</t>
        </is>
      </c>
      <c r="M374" s="2" t="inlineStr">
        <is>
          <t>No Delay</t>
        </is>
      </c>
      <c r="N374" s="4">
        <f>IF(I374&lt;=H374,1,0)</f>
        <v/>
      </c>
      <c r="O374" s="4">
        <f>IF(J374&lt;=G374,1,0)</f>
        <v/>
      </c>
      <c r="P374" s="4">
        <f>MAX(0,I374-H374)</f>
        <v/>
      </c>
      <c r="Q374" s="4">
        <f>MAX(0,J374-G374)</f>
        <v/>
      </c>
      <c r="R374" s="4">
        <f>IF(AND(N374=1,O374=1),"On Track",IF(O374=0,"Customer Delivery Late","Ship Late"))</f>
        <v/>
      </c>
    </row>
    <row r="375">
      <c r="A375" s="2" t="inlineStr">
        <is>
          <t>ORD-00374</t>
        </is>
      </c>
      <c r="B375" s="2" t="inlineStr">
        <is>
          <t>Customer 09</t>
        </is>
      </c>
      <c r="C375" s="2" t="inlineStr">
        <is>
          <t>Drive</t>
        </is>
      </c>
      <c r="D375" s="2" t="inlineStr">
        <is>
          <t>Plant B</t>
        </is>
      </c>
      <c r="E375" s="2" t="inlineStr">
        <is>
          <t>South</t>
        </is>
      </c>
      <c r="F375" s="12" t="n">
        <v>46038</v>
      </c>
      <c r="G375" s="12" t="n">
        <v>46049</v>
      </c>
      <c r="H375" s="12" t="n">
        <v>46046</v>
      </c>
      <c r="I375" s="12" t="n">
        <v>46046</v>
      </c>
      <c r="J375" s="12" t="n">
        <v>46049</v>
      </c>
      <c r="K375" s="2" t="n">
        <v>714</v>
      </c>
      <c r="L375" s="2" t="inlineStr">
        <is>
          <t>Road</t>
        </is>
      </c>
      <c r="M375" s="2" t="inlineStr">
        <is>
          <t>No Delay</t>
        </is>
      </c>
      <c r="N375" s="4">
        <f>IF(I375&lt;=H375,1,0)</f>
        <v/>
      </c>
      <c r="O375" s="4">
        <f>IF(J375&lt;=G375,1,0)</f>
        <v/>
      </c>
      <c r="P375" s="4">
        <f>MAX(0,I375-H375)</f>
        <v/>
      </c>
      <c r="Q375" s="4">
        <f>MAX(0,J375-G375)</f>
        <v/>
      </c>
      <c r="R375" s="4">
        <f>IF(AND(N375=1,O375=1),"On Track",IF(O375=0,"Customer Delivery Late","Ship Late"))</f>
        <v/>
      </c>
    </row>
    <row r="376">
      <c r="A376" s="2" t="inlineStr">
        <is>
          <t>ORD-00375</t>
        </is>
      </c>
      <c r="B376" s="2" t="inlineStr">
        <is>
          <t>Customer 18</t>
        </is>
      </c>
      <c r="C376" s="2" t="inlineStr">
        <is>
          <t>Relay</t>
        </is>
      </c>
      <c r="D376" s="2" t="inlineStr">
        <is>
          <t>Plant B</t>
        </is>
      </c>
      <c r="E376" s="2" t="inlineStr">
        <is>
          <t>South</t>
        </is>
      </c>
      <c r="F376" s="12" t="n">
        <v>46128</v>
      </c>
      <c r="G376" s="12" t="n">
        <v>46136</v>
      </c>
      <c r="H376" s="12" t="n">
        <v>46133</v>
      </c>
      <c r="I376" s="12" t="n">
        <v>46133</v>
      </c>
      <c r="J376" s="12" t="n">
        <v>46137</v>
      </c>
      <c r="K376" s="2" t="n">
        <v>675</v>
      </c>
      <c r="L376" s="2" t="inlineStr">
        <is>
          <t>Sea</t>
        </is>
      </c>
      <c r="M376" s="2" t="inlineStr">
        <is>
          <t>Customer Change</t>
        </is>
      </c>
      <c r="N376" s="4">
        <f>IF(I376&lt;=H376,1,0)</f>
        <v/>
      </c>
      <c r="O376" s="4">
        <f>IF(J376&lt;=G376,1,0)</f>
        <v/>
      </c>
      <c r="P376" s="4">
        <f>MAX(0,I376-H376)</f>
        <v/>
      </c>
      <c r="Q376" s="4">
        <f>MAX(0,J376-G376)</f>
        <v/>
      </c>
      <c r="R376" s="4">
        <f>IF(AND(N376=1,O376=1),"On Track",IF(O376=0,"Customer Delivery Late","Ship Late"))</f>
        <v/>
      </c>
    </row>
    <row r="377">
      <c r="A377" s="2" t="inlineStr">
        <is>
          <t>ORD-00376</t>
        </is>
      </c>
      <c r="B377" s="2" t="inlineStr">
        <is>
          <t>Customer 05</t>
        </is>
      </c>
      <c r="C377" s="2" t="inlineStr">
        <is>
          <t>Relay</t>
        </is>
      </c>
      <c r="D377" s="2" t="inlineStr">
        <is>
          <t>Plant C</t>
        </is>
      </c>
      <c r="E377" s="2" t="inlineStr">
        <is>
          <t>South</t>
        </is>
      </c>
      <c r="F377" s="12" t="n">
        <v>46153</v>
      </c>
      <c r="G377" s="12" t="n">
        <v>46173</v>
      </c>
      <c r="H377" s="12" t="n">
        <v>46169</v>
      </c>
      <c r="I377" s="12" t="n">
        <v>46168</v>
      </c>
      <c r="J377" s="12" t="n">
        <v>46172</v>
      </c>
      <c r="K377" s="2" t="n">
        <v>873</v>
      </c>
      <c r="L377" s="2" t="inlineStr">
        <is>
          <t>Sea</t>
        </is>
      </c>
      <c r="M377" s="2" t="inlineStr">
        <is>
          <t>No Delay</t>
        </is>
      </c>
      <c r="N377" s="4">
        <f>IF(I377&lt;=H377,1,0)</f>
        <v/>
      </c>
      <c r="O377" s="4">
        <f>IF(J377&lt;=G377,1,0)</f>
        <v/>
      </c>
      <c r="P377" s="4">
        <f>MAX(0,I377-H377)</f>
        <v/>
      </c>
      <c r="Q377" s="4">
        <f>MAX(0,J377-G377)</f>
        <v/>
      </c>
      <c r="R377" s="4">
        <f>IF(AND(N377=1,O377=1),"On Track",IF(O377=0,"Customer Delivery Late","Ship Late"))</f>
        <v/>
      </c>
    </row>
    <row r="378">
      <c r="A378" s="2" t="inlineStr">
        <is>
          <t>ORD-00377</t>
        </is>
      </c>
      <c r="B378" s="2" t="inlineStr">
        <is>
          <t>Customer 11</t>
        </is>
      </c>
      <c r="C378" s="2" t="inlineStr">
        <is>
          <t>Drive</t>
        </is>
      </c>
      <c r="D378" s="2" t="inlineStr">
        <is>
          <t>Plant C</t>
        </is>
      </c>
      <c r="E378" s="2" t="inlineStr">
        <is>
          <t>South</t>
        </is>
      </c>
      <c r="F378" s="12" t="n">
        <v>46179</v>
      </c>
      <c r="G378" s="12" t="n">
        <v>46202</v>
      </c>
      <c r="H378" s="12" t="n">
        <v>46198</v>
      </c>
      <c r="I378" s="12" t="n">
        <v>46196</v>
      </c>
      <c r="J378" s="12" t="n">
        <v>46200</v>
      </c>
      <c r="K378" s="2" t="n">
        <v>1464</v>
      </c>
      <c r="L378" s="2" t="inlineStr">
        <is>
          <t>Air</t>
        </is>
      </c>
      <c r="M378" s="2" t="inlineStr">
        <is>
          <t>No Delay</t>
        </is>
      </c>
      <c r="N378" s="4">
        <f>IF(I378&lt;=H378,1,0)</f>
        <v/>
      </c>
      <c r="O378" s="4">
        <f>IF(J378&lt;=G378,1,0)</f>
        <v/>
      </c>
      <c r="P378" s="4">
        <f>MAX(0,I378-H378)</f>
        <v/>
      </c>
      <c r="Q378" s="4">
        <f>MAX(0,J378-G378)</f>
        <v/>
      </c>
      <c r="R378" s="4">
        <f>IF(AND(N378=1,O378=1),"On Track",IF(O378=0,"Customer Delivery Late","Ship Late"))</f>
        <v/>
      </c>
    </row>
    <row r="379">
      <c r="A379" s="2" t="inlineStr">
        <is>
          <t>ORD-00378</t>
        </is>
      </c>
      <c r="B379" s="2" t="inlineStr">
        <is>
          <t>Customer 15</t>
        </is>
      </c>
      <c r="C379" s="2" t="inlineStr">
        <is>
          <t>Power Supply</t>
        </is>
      </c>
      <c r="D379" s="2" t="inlineStr">
        <is>
          <t>Plant A</t>
        </is>
      </c>
      <c r="E379" s="2" t="inlineStr">
        <is>
          <t>Central</t>
        </is>
      </c>
      <c r="F379" s="12" t="n">
        <v>46177</v>
      </c>
      <c r="G379" s="12" t="n">
        <v>46202</v>
      </c>
      <c r="H379" s="12" t="n">
        <v>46198</v>
      </c>
      <c r="I379" s="12" t="n">
        <v>46197</v>
      </c>
      <c r="J379" s="12" t="n">
        <v>46202</v>
      </c>
      <c r="K379" s="2" t="n">
        <v>57</v>
      </c>
      <c r="L379" s="2" t="inlineStr">
        <is>
          <t>Road</t>
        </is>
      </c>
      <c r="M379" s="2" t="inlineStr">
        <is>
          <t>No Delay</t>
        </is>
      </c>
      <c r="N379" s="4">
        <f>IF(I379&lt;=H379,1,0)</f>
        <v/>
      </c>
      <c r="O379" s="4">
        <f>IF(J379&lt;=G379,1,0)</f>
        <v/>
      </c>
      <c r="P379" s="4">
        <f>MAX(0,I379-H379)</f>
        <v/>
      </c>
      <c r="Q379" s="4">
        <f>MAX(0,J379-G379)</f>
        <v/>
      </c>
      <c r="R379" s="4">
        <f>IF(AND(N379=1,O379=1),"On Track",IF(O379=0,"Customer Delivery Late","Ship Late"))</f>
        <v/>
      </c>
    </row>
    <row r="380">
      <c r="A380" s="2" t="inlineStr">
        <is>
          <t>ORD-00379</t>
        </is>
      </c>
      <c r="B380" s="2" t="inlineStr">
        <is>
          <t>Customer 29</t>
        </is>
      </c>
      <c r="C380" s="2" t="inlineStr">
        <is>
          <t>Switchgear</t>
        </is>
      </c>
      <c r="D380" s="2" t="inlineStr">
        <is>
          <t>Plant C</t>
        </is>
      </c>
      <c r="E380" s="2" t="inlineStr">
        <is>
          <t>North</t>
        </is>
      </c>
      <c r="F380" s="12" t="n">
        <v>46083</v>
      </c>
      <c r="G380" s="12" t="n">
        <v>46096</v>
      </c>
      <c r="H380" s="12" t="n">
        <v>46095</v>
      </c>
      <c r="I380" s="12" t="n">
        <v>46094</v>
      </c>
      <c r="J380" s="12" t="n">
        <v>46095</v>
      </c>
      <c r="K380" s="2" t="n">
        <v>63</v>
      </c>
      <c r="L380" s="2" t="inlineStr">
        <is>
          <t>Air</t>
        </is>
      </c>
      <c r="M380" s="2" t="inlineStr">
        <is>
          <t>No Delay</t>
        </is>
      </c>
      <c r="N380" s="4">
        <f>IF(I380&lt;=H380,1,0)</f>
        <v/>
      </c>
      <c r="O380" s="4">
        <f>IF(J380&lt;=G380,1,0)</f>
        <v/>
      </c>
      <c r="P380" s="4">
        <f>MAX(0,I380-H380)</f>
        <v/>
      </c>
      <c r="Q380" s="4">
        <f>MAX(0,J380-G380)</f>
        <v/>
      </c>
      <c r="R380" s="4">
        <f>IF(AND(N380=1,O380=1),"On Track",IF(O380=0,"Customer Delivery Late","Ship Late"))</f>
        <v/>
      </c>
    </row>
    <row r="381">
      <c r="A381" s="2" t="inlineStr">
        <is>
          <t>ORD-00380</t>
        </is>
      </c>
      <c r="B381" s="2" t="inlineStr">
        <is>
          <t>Customer 08</t>
        </is>
      </c>
      <c r="C381" s="2" t="inlineStr">
        <is>
          <t>Sensor</t>
        </is>
      </c>
      <c r="D381" s="2" t="inlineStr">
        <is>
          <t>Plant B</t>
        </is>
      </c>
      <c r="E381" s="2" t="inlineStr">
        <is>
          <t>Central</t>
        </is>
      </c>
      <c r="F381" s="12" t="n">
        <v>46157</v>
      </c>
      <c r="G381" s="12" t="n">
        <v>46164</v>
      </c>
      <c r="H381" s="12" t="n">
        <v>46163</v>
      </c>
      <c r="I381" s="12" t="n">
        <v>46161</v>
      </c>
      <c r="J381" s="12" t="n">
        <v>46162</v>
      </c>
      <c r="K381" s="2" t="n">
        <v>278</v>
      </c>
      <c r="L381" s="2" t="inlineStr">
        <is>
          <t>Sea</t>
        </is>
      </c>
      <c r="M381" s="2" t="inlineStr">
        <is>
          <t>No Delay</t>
        </is>
      </c>
      <c r="N381" s="4">
        <f>IF(I381&lt;=H381,1,0)</f>
        <v/>
      </c>
      <c r="O381" s="4">
        <f>IF(J381&lt;=G381,1,0)</f>
        <v/>
      </c>
      <c r="P381" s="4">
        <f>MAX(0,I381-H381)</f>
        <v/>
      </c>
      <c r="Q381" s="4">
        <f>MAX(0,J381-G381)</f>
        <v/>
      </c>
      <c r="R381" s="4">
        <f>IF(AND(N381=1,O381=1),"On Track",IF(O381=0,"Customer Delivery Late","Ship Late"))</f>
        <v/>
      </c>
    </row>
    <row r="382">
      <c r="A382" s="2" t="inlineStr">
        <is>
          <t>ORD-00381</t>
        </is>
      </c>
      <c r="B382" s="2" t="inlineStr">
        <is>
          <t>Customer 18</t>
        </is>
      </c>
      <c r="C382" s="2" t="inlineStr">
        <is>
          <t>Sensor</t>
        </is>
      </c>
      <c r="D382" s="2" t="inlineStr">
        <is>
          <t>Plant C</t>
        </is>
      </c>
      <c r="E382" s="2" t="inlineStr">
        <is>
          <t>Export</t>
        </is>
      </c>
      <c r="F382" s="12" t="n">
        <v>46066</v>
      </c>
      <c r="G382" s="12" t="n">
        <v>46071</v>
      </c>
      <c r="H382" s="12" t="n">
        <v>46070</v>
      </c>
      <c r="I382" s="12" t="n">
        <v>46069</v>
      </c>
      <c r="J382" s="12" t="n">
        <v>46070</v>
      </c>
      <c r="K382" s="2" t="n">
        <v>286</v>
      </c>
      <c r="L382" s="2" t="inlineStr">
        <is>
          <t>Sea</t>
        </is>
      </c>
      <c r="M382" s="2" t="inlineStr">
        <is>
          <t>No Delay</t>
        </is>
      </c>
      <c r="N382" s="4">
        <f>IF(I382&lt;=H382,1,0)</f>
        <v/>
      </c>
      <c r="O382" s="4">
        <f>IF(J382&lt;=G382,1,0)</f>
        <v/>
      </c>
      <c r="P382" s="4">
        <f>MAX(0,I382-H382)</f>
        <v/>
      </c>
      <c r="Q382" s="4">
        <f>MAX(0,J382-G382)</f>
        <v/>
      </c>
      <c r="R382" s="4">
        <f>IF(AND(N382=1,O382=1),"On Track",IF(O382=0,"Customer Delivery Late","Ship Late"))</f>
        <v/>
      </c>
    </row>
    <row r="383">
      <c r="A383" s="2" t="inlineStr">
        <is>
          <t>ORD-00382</t>
        </is>
      </c>
      <c r="B383" s="2" t="inlineStr">
        <is>
          <t>Customer 10</t>
        </is>
      </c>
      <c r="C383" s="2" t="inlineStr">
        <is>
          <t>Drive</t>
        </is>
      </c>
      <c r="D383" s="2" t="inlineStr">
        <is>
          <t>Plant B</t>
        </is>
      </c>
      <c r="E383" s="2" t="inlineStr">
        <is>
          <t>Central</t>
        </is>
      </c>
      <c r="F383" s="12" t="n">
        <v>46161</v>
      </c>
      <c r="G383" s="12" t="n">
        <v>46171</v>
      </c>
      <c r="H383" s="12" t="n">
        <v>46166</v>
      </c>
      <c r="I383" s="12" t="n">
        <v>46166</v>
      </c>
      <c r="J383" s="12" t="n">
        <v>46172</v>
      </c>
      <c r="K383" s="2" t="n">
        <v>193</v>
      </c>
      <c r="L383" s="2" t="inlineStr">
        <is>
          <t>Air</t>
        </is>
      </c>
      <c r="M383" s="2" t="inlineStr">
        <is>
          <t>Capacity Constraint</t>
        </is>
      </c>
      <c r="N383" s="4">
        <f>IF(I383&lt;=H383,1,0)</f>
        <v/>
      </c>
      <c r="O383" s="4">
        <f>IF(J383&lt;=G383,1,0)</f>
        <v/>
      </c>
      <c r="P383" s="4">
        <f>MAX(0,I383-H383)</f>
        <v/>
      </c>
      <c r="Q383" s="4">
        <f>MAX(0,J383-G383)</f>
        <v/>
      </c>
      <c r="R383" s="4">
        <f>IF(AND(N383=1,O383=1),"On Track",IF(O383=0,"Customer Delivery Late","Ship Late"))</f>
        <v/>
      </c>
    </row>
    <row r="384">
      <c r="A384" s="2" t="inlineStr">
        <is>
          <t>ORD-00383</t>
        </is>
      </c>
      <c r="B384" s="2" t="inlineStr">
        <is>
          <t>Customer 25</t>
        </is>
      </c>
      <c r="C384" s="2" t="inlineStr">
        <is>
          <t>Relay</t>
        </is>
      </c>
      <c r="D384" s="2" t="inlineStr">
        <is>
          <t>Plant B</t>
        </is>
      </c>
      <c r="E384" s="2" t="inlineStr">
        <is>
          <t>South</t>
        </is>
      </c>
      <c r="F384" s="12" t="n">
        <v>46101</v>
      </c>
      <c r="G384" s="12" t="n">
        <v>46117</v>
      </c>
      <c r="H384" s="12" t="n">
        <v>46113</v>
      </c>
      <c r="I384" s="12" t="n">
        <v>46112</v>
      </c>
      <c r="J384" s="12" t="n">
        <v>46115</v>
      </c>
      <c r="K384" s="2" t="n">
        <v>970</v>
      </c>
      <c r="L384" s="2" t="inlineStr">
        <is>
          <t>Sea</t>
        </is>
      </c>
      <c r="M384" s="2" t="inlineStr">
        <is>
          <t>No Delay</t>
        </is>
      </c>
      <c r="N384" s="4">
        <f>IF(I384&lt;=H384,1,0)</f>
        <v/>
      </c>
      <c r="O384" s="4">
        <f>IF(J384&lt;=G384,1,0)</f>
        <v/>
      </c>
      <c r="P384" s="4">
        <f>MAX(0,I384-H384)</f>
        <v/>
      </c>
      <c r="Q384" s="4">
        <f>MAX(0,J384-G384)</f>
        <v/>
      </c>
      <c r="R384" s="4">
        <f>IF(AND(N384=1,O384=1),"On Track",IF(O384=0,"Customer Delivery Late","Ship Late"))</f>
        <v/>
      </c>
    </row>
    <row r="385">
      <c r="A385" s="2" t="inlineStr">
        <is>
          <t>ORD-00384</t>
        </is>
      </c>
      <c r="B385" s="2" t="inlineStr">
        <is>
          <t>Customer 01</t>
        </is>
      </c>
      <c r="C385" s="2" t="inlineStr">
        <is>
          <t>Drive</t>
        </is>
      </c>
      <c r="D385" s="2" t="inlineStr">
        <is>
          <t>Plant A</t>
        </is>
      </c>
      <c r="E385" s="2" t="inlineStr">
        <is>
          <t>Export</t>
        </is>
      </c>
      <c r="F385" s="12" t="n">
        <v>46025</v>
      </c>
      <c r="G385" s="12" t="n">
        <v>46045</v>
      </c>
      <c r="H385" s="12" t="n">
        <v>46041</v>
      </c>
      <c r="I385" s="12" t="n">
        <v>46040</v>
      </c>
      <c r="J385" s="12" t="n">
        <v>46045</v>
      </c>
      <c r="K385" s="2" t="n">
        <v>1158</v>
      </c>
      <c r="L385" s="2" t="inlineStr">
        <is>
          <t>Air</t>
        </is>
      </c>
      <c r="M385" s="2" t="inlineStr">
        <is>
          <t>No Delay</t>
        </is>
      </c>
      <c r="N385" s="4">
        <f>IF(I385&lt;=H385,1,0)</f>
        <v/>
      </c>
      <c r="O385" s="4">
        <f>IF(J385&lt;=G385,1,0)</f>
        <v/>
      </c>
      <c r="P385" s="4">
        <f>MAX(0,I385-H385)</f>
        <v/>
      </c>
      <c r="Q385" s="4">
        <f>MAX(0,J385-G385)</f>
        <v/>
      </c>
      <c r="R385" s="4">
        <f>IF(AND(N385=1,O385=1),"On Track",IF(O385=0,"Customer Delivery Late","Ship Late"))</f>
        <v/>
      </c>
    </row>
    <row r="386">
      <c r="A386" s="2" t="inlineStr">
        <is>
          <t>ORD-00385</t>
        </is>
      </c>
      <c r="B386" s="2" t="inlineStr">
        <is>
          <t>Customer 03</t>
        </is>
      </c>
      <c r="C386" s="2" t="inlineStr">
        <is>
          <t>Power Supply</t>
        </is>
      </c>
      <c r="D386" s="2" t="inlineStr">
        <is>
          <t>Plant C</t>
        </is>
      </c>
      <c r="E386" s="2" t="inlineStr">
        <is>
          <t>Central</t>
        </is>
      </c>
      <c r="F386" s="12" t="n">
        <v>46124</v>
      </c>
      <c r="G386" s="12" t="n">
        <v>46136</v>
      </c>
      <c r="H386" s="12" t="n">
        <v>46134</v>
      </c>
      <c r="I386" s="12" t="n">
        <v>46134</v>
      </c>
      <c r="J386" s="12" t="n">
        <v>46136</v>
      </c>
      <c r="K386" s="2" t="n">
        <v>1068</v>
      </c>
      <c r="L386" s="2" t="inlineStr">
        <is>
          <t>Sea</t>
        </is>
      </c>
      <c r="M386" s="2" t="inlineStr">
        <is>
          <t>No Delay</t>
        </is>
      </c>
      <c r="N386" s="4">
        <f>IF(I386&lt;=H386,1,0)</f>
        <v/>
      </c>
      <c r="O386" s="4">
        <f>IF(J386&lt;=G386,1,0)</f>
        <v/>
      </c>
      <c r="P386" s="4">
        <f>MAX(0,I386-H386)</f>
        <v/>
      </c>
      <c r="Q386" s="4">
        <f>MAX(0,J386-G386)</f>
        <v/>
      </c>
      <c r="R386" s="4">
        <f>IF(AND(N386=1,O386=1),"On Track",IF(O386=0,"Customer Delivery Late","Ship Late"))</f>
        <v/>
      </c>
    </row>
    <row r="387">
      <c r="A387" s="2" t="inlineStr">
        <is>
          <t>ORD-00386</t>
        </is>
      </c>
      <c r="B387" s="2" t="inlineStr">
        <is>
          <t>Customer 03</t>
        </is>
      </c>
      <c r="C387" s="2" t="inlineStr">
        <is>
          <t>Relay</t>
        </is>
      </c>
      <c r="D387" s="2" t="inlineStr">
        <is>
          <t>Plant A</t>
        </is>
      </c>
      <c r="E387" s="2" t="inlineStr">
        <is>
          <t>South</t>
        </is>
      </c>
      <c r="F387" s="12" t="n">
        <v>46200</v>
      </c>
      <c r="G387" s="12" t="n">
        <v>46213</v>
      </c>
      <c r="H387" s="12" t="n">
        <v>46210</v>
      </c>
      <c r="I387" s="12" t="n">
        <v>46210</v>
      </c>
      <c r="J387" s="12" t="n">
        <v>46213</v>
      </c>
      <c r="K387" s="2" t="n">
        <v>236</v>
      </c>
      <c r="L387" s="2" t="inlineStr">
        <is>
          <t>Sea</t>
        </is>
      </c>
      <c r="M387" s="2" t="inlineStr">
        <is>
          <t>No Delay</t>
        </is>
      </c>
      <c r="N387" s="4">
        <f>IF(I387&lt;=H387,1,0)</f>
        <v/>
      </c>
      <c r="O387" s="4">
        <f>IF(J387&lt;=G387,1,0)</f>
        <v/>
      </c>
      <c r="P387" s="4">
        <f>MAX(0,I387-H387)</f>
        <v/>
      </c>
      <c r="Q387" s="4">
        <f>MAX(0,J387-G387)</f>
        <v/>
      </c>
      <c r="R387" s="4">
        <f>IF(AND(N387=1,O387=1),"On Track",IF(O387=0,"Customer Delivery Late","Ship Late"))</f>
        <v/>
      </c>
    </row>
    <row r="388">
      <c r="A388" s="2" t="inlineStr">
        <is>
          <t>ORD-00387</t>
        </is>
      </c>
      <c r="B388" s="2" t="inlineStr">
        <is>
          <t>Customer 05</t>
        </is>
      </c>
      <c r="C388" s="2" t="inlineStr">
        <is>
          <t>Breaker</t>
        </is>
      </c>
      <c r="D388" s="2" t="inlineStr">
        <is>
          <t>Plant C</t>
        </is>
      </c>
      <c r="E388" s="2" t="inlineStr">
        <is>
          <t>North</t>
        </is>
      </c>
      <c r="F388" s="12" t="n">
        <v>46139</v>
      </c>
      <c r="G388" s="12" t="n">
        <v>46163</v>
      </c>
      <c r="H388" s="12" t="n">
        <v>46159</v>
      </c>
      <c r="I388" s="12" t="n">
        <v>46159</v>
      </c>
      <c r="J388" s="12" t="n">
        <v>46163</v>
      </c>
      <c r="K388" s="2" t="n">
        <v>390</v>
      </c>
      <c r="L388" s="2" t="inlineStr">
        <is>
          <t>Road</t>
        </is>
      </c>
      <c r="M388" s="2" t="inlineStr">
        <is>
          <t>No Delay</t>
        </is>
      </c>
      <c r="N388" s="4">
        <f>IF(I388&lt;=H388,1,0)</f>
        <v/>
      </c>
      <c r="O388" s="4">
        <f>IF(J388&lt;=G388,1,0)</f>
        <v/>
      </c>
      <c r="P388" s="4">
        <f>MAX(0,I388-H388)</f>
        <v/>
      </c>
      <c r="Q388" s="4">
        <f>MAX(0,J388-G388)</f>
        <v/>
      </c>
      <c r="R388" s="4">
        <f>IF(AND(N388=1,O388=1),"On Track",IF(O388=0,"Customer Delivery Late","Ship Late"))</f>
        <v/>
      </c>
    </row>
    <row r="389">
      <c r="A389" s="2" t="inlineStr">
        <is>
          <t>ORD-00388</t>
        </is>
      </c>
      <c r="B389" s="2" t="inlineStr">
        <is>
          <t>Customer 01</t>
        </is>
      </c>
      <c r="C389" s="2" t="inlineStr">
        <is>
          <t>Switchgear</t>
        </is>
      </c>
      <c r="D389" s="2" t="inlineStr">
        <is>
          <t>Plant A</t>
        </is>
      </c>
      <c r="E389" s="2" t="inlineStr">
        <is>
          <t>South</t>
        </is>
      </c>
      <c r="F389" s="12" t="n">
        <v>46095</v>
      </c>
      <c r="G389" s="12" t="n">
        <v>46108</v>
      </c>
      <c r="H389" s="12" t="n">
        <v>46106</v>
      </c>
      <c r="I389" s="12" t="n">
        <v>46106</v>
      </c>
      <c r="J389" s="12" t="n">
        <v>46108</v>
      </c>
      <c r="K389" s="2" t="n">
        <v>870</v>
      </c>
      <c r="L389" s="2" t="inlineStr">
        <is>
          <t>Air</t>
        </is>
      </c>
      <c r="M389" s="2" t="inlineStr">
        <is>
          <t>No Delay</t>
        </is>
      </c>
      <c r="N389" s="4">
        <f>IF(I389&lt;=H389,1,0)</f>
        <v/>
      </c>
      <c r="O389" s="4">
        <f>IF(J389&lt;=G389,1,0)</f>
        <v/>
      </c>
      <c r="P389" s="4">
        <f>MAX(0,I389-H389)</f>
        <v/>
      </c>
      <c r="Q389" s="4">
        <f>MAX(0,J389-G389)</f>
        <v/>
      </c>
      <c r="R389" s="4">
        <f>IF(AND(N389=1,O389=1),"On Track",IF(O389=0,"Customer Delivery Late","Ship Late"))</f>
        <v/>
      </c>
    </row>
    <row r="390">
      <c r="A390" s="2" t="inlineStr">
        <is>
          <t>ORD-00389</t>
        </is>
      </c>
      <c r="B390" s="2" t="inlineStr">
        <is>
          <t>Customer 05</t>
        </is>
      </c>
      <c r="C390" s="2" t="inlineStr">
        <is>
          <t>Breaker</t>
        </is>
      </c>
      <c r="D390" s="2" t="inlineStr">
        <is>
          <t>Plant B</t>
        </is>
      </c>
      <c r="E390" s="2" t="inlineStr">
        <is>
          <t>Export</t>
        </is>
      </c>
      <c r="F390" s="12" t="n">
        <v>46150</v>
      </c>
      <c r="G390" s="12" t="n">
        <v>46166</v>
      </c>
      <c r="H390" s="12" t="n">
        <v>46162</v>
      </c>
      <c r="I390" s="12" t="n">
        <v>46160</v>
      </c>
      <c r="J390" s="12" t="n">
        <v>46163</v>
      </c>
      <c r="K390" s="2" t="n">
        <v>156</v>
      </c>
      <c r="L390" s="2" t="inlineStr">
        <is>
          <t>Sea</t>
        </is>
      </c>
      <c r="M390" s="2" t="inlineStr">
        <is>
          <t>No Delay</t>
        </is>
      </c>
      <c r="N390" s="4">
        <f>IF(I390&lt;=H390,1,0)</f>
        <v/>
      </c>
      <c r="O390" s="4">
        <f>IF(J390&lt;=G390,1,0)</f>
        <v/>
      </c>
      <c r="P390" s="4">
        <f>MAX(0,I390-H390)</f>
        <v/>
      </c>
      <c r="Q390" s="4">
        <f>MAX(0,J390-G390)</f>
        <v/>
      </c>
      <c r="R390" s="4">
        <f>IF(AND(N390=1,O390=1),"On Track",IF(O390=0,"Customer Delivery Late","Ship Late"))</f>
        <v/>
      </c>
    </row>
    <row r="391">
      <c r="A391" s="2" t="inlineStr">
        <is>
          <t>ORD-00390</t>
        </is>
      </c>
      <c r="B391" s="2" t="inlineStr">
        <is>
          <t>Customer 25</t>
        </is>
      </c>
      <c r="C391" s="2" t="inlineStr">
        <is>
          <t>PLC</t>
        </is>
      </c>
      <c r="D391" s="2" t="inlineStr">
        <is>
          <t>Plant B</t>
        </is>
      </c>
      <c r="E391" s="2" t="inlineStr">
        <is>
          <t>Export</t>
        </is>
      </c>
      <c r="F391" s="12" t="n">
        <v>46143</v>
      </c>
      <c r="G391" s="12" t="n">
        <v>46153</v>
      </c>
      <c r="H391" s="12" t="n">
        <v>46151</v>
      </c>
      <c r="I391" s="12" t="n">
        <v>46150</v>
      </c>
      <c r="J391" s="12" t="n">
        <v>46151</v>
      </c>
      <c r="K391" s="2" t="n">
        <v>516</v>
      </c>
      <c r="L391" s="2" t="inlineStr">
        <is>
          <t>Sea</t>
        </is>
      </c>
      <c r="M391" s="2" t="inlineStr">
        <is>
          <t>No Delay</t>
        </is>
      </c>
      <c r="N391" s="4">
        <f>IF(I391&lt;=H391,1,0)</f>
        <v/>
      </c>
      <c r="O391" s="4">
        <f>IF(J391&lt;=G391,1,0)</f>
        <v/>
      </c>
      <c r="P391" s="4">
        <f>MAX(0,I391-H391)</f>
        <v/>
      </c>
      <c r="Q391" s="4">
        <f>MAX(0,J391-G391)</f>
        <v/>
      </c>
      <c r="R391" s="4">
        <f>IF(AND(N391=1,O391=1),"On Track",IF(O391=0,"Customer Delivery Late","Ship Late"))</f>
        <v/>
      </c>
    </row>
    <row r="392">
      <c r="A392" s="2" t="inlineStr">
        <is>
          <t>ORD-00391</t>
        </is>
      </c>
      <c r="B392" s="2" t="inlineStr">
        <is>
          <t>Customer 10</t>
        </is>
      </c>
      <c r="C392" s="2" t="inlineStr">
        <is>
          <t>Drive</t>
        </is>
      </c>
      <c r="D392" s="2" t="inlineStr">
        <is>
          <t>Plant A</t>
        </is>
      </c>
      <c r="E392" s="2" t="inlineStr">
        <is>
          <t>North</t>
        </is>
      </c>
      <c r="F392" s="12" t="n">
        <v>46031</v>
      </c>
      <c r="G392" s="12" t="n">
        <v>46042</v>
      </c>
      <c r="H392" s="12" t="n">
        <v>46038</v>
      </c>
      <c r="I392" s="12" t="n">
        <v>46036</v>
      </c>
      <c r="J392" s="12" t="n">
        <v>46040</v>
      </c>
      <c r="K392" s="2" t="n">
        <v>1135</v>
      </c>
      <c r="L392" s="2" t="inlineStr">
        <is>
          <t>Sea</t>
        </is>
      </c>
      <c r="M392" s="2" t="inlineStr">
        <is>
          <t>No Delay</t>
        </is>
      </c>
      <c r="N392" s="4">
        <f>IF(I392&lt;=H392,1,0)</f>
        <v/>
      </c>
      <c r="O392" s="4">
        <f>IF(J392&lt;=G392,1,0)</f>
        <v/>
      </c>
      <c r="P392" s="4">
        <f>MAX(0,I392-H392)</f>
        <v/>
      </c>
      <c r="Q392" s="4">
        <f>MAX(0,J392-G392)</f>
        <v/>
      </c>
      <c r="R392" s="4">
        <f>IF(AND(N392=1,O392=1),"On Track",IF(O392=0,"Customer Delivery Late","Ship Late"))</f>
        <v/>
      </c>
    </row>
    <row r="393">
      <c r="A393" s="2" t="inlineStr">
        <is>
          <t>ORD-00392</t>
        </is>
      </c>
      <c r="B393" s="2" t="inlineStr">
        <is>
          <t>Customer 07</t>
        </is>
      </c>
      <c r="C393" s="2" t="inlineStr">
        <is>
          <t>Contactor</t>
        </is>
      </c>
      <c r="D393" s="2" t="inlineStr">
        <is>
          <t>Plant A</t>
        </is>
      </c>
      <c r="E393" s="2" t="inlineStr">
        <is>
          <t>Export</t>
        </is>
      </c>
      <c r="F393" s="12" t="n">
        <v>46054</v>
      </c>
      <c r="G393" s="12" t="n">
        <v>46067</v>
      </c>
      <c r="H393" s="12" t="n">
        <v>46063</v>
      </c>
      <c r="I393" s="12" t="n">
        <v>46061</v>
      </c>
      <c r="J393" s="12" t="n">
        <v>46064</v>
      </c>
      <c r="K393" s="2" t="n">
        <v>674</v>
      </c>
      <c r="L393" s="2" t="inlineStr">
        <is>
          <t>Road</t>
        </is>
      </c>
      <c r="M393" s="2" t="inlineStr">
        <is>
          <t>No Delay</t>
        </is>
      </c>
      <c r="N393" s="4">
        <f>IF(I393&lt;=H393,1,0)</f>
        <v/>
      </c>
      <c r="O393" s="4">
        <f>IF(J393&lt;=G393,1,0)</f>
        <v/>
      </c>
      <c r="P393" s="4">
        <f>MAX(0,I393-H393)</f>
        <v/>
      </c>
      <c r="Q393" s="4">
        <f>MAX(0,J393-G393)</f>
        <v/>
      </c>
      <c r="R393" s="4">
        <f>IF(AND(N393=1,O393=1),"On Track",IF(O393=0,"Customer Delivery Late","Ship Late"))</f>
        <v/>
      </c>
    </row>
    <row r="394">
      <c r="A394" s="2" t="inlineStr">
        <is>
          <t>ORD-00393</t>
        </is>
      </c>
      <c r="B394" s="2" t="inlineStr">
        <is>
          <t>Customer 23</t>
        </is>
      </c>
      <c r="C394" s="2" t="inlineStr">
        <is>
          <t>Switchgear</t>
        </is>
      </c>
      <c r="D394" s="2" t="inlineStr">
        <is>
          <t>Plant C</t>
        </is>
      </c>
      <c r="E394" s="2" t="inlineStr">
        <is>
          <t>Central</t>
        </is>
      </c>
      <c r="F394" s="12" t="n">
        <v>46065</v>
      </c>
      <c r="G394" s="12" t="n">
        <v>46078</v>
      </c>
      <c r="H394" s="12" t="n">
        <v>46073</v>
      </c>
      <c r="I394" s="12" t="n">
        <v>46071</v>
      </c>
      <c r="J394" s="12" t="n">
        <v>46075</v>
      </c>
      <c r="K394" s="2" t="n">
        <v>770</v>
      </c>
      <c r="L394" s="2" t="inlineStr">
        <is>
          <t>Road</t>
        </is>
      </c>
      <c r="M394" s="2" t="inlineStr">
        <is>
          <t>No Delay</t>
        </is>
      </c>
      <c r="N394" s="4">
        <f>IF(I394&lt;=H394,1,0)</f>
        <v/>
      </c>
      <c r="O394" s="4">
        <f>IF(J394&lt;=G394,1,0)</f>
        <v/>
      </c>
      <c r="P394" s="4">
        <f>MAX(0,I394-H394)</f>
        <v/>
      </c>
      <c r="Q394" s="4">
        <f>MAX(0,J394-G394)</f>
        <v/>
      </c>
      <c r="R394" s="4">
        <f>IF(AND(N394=1,O394=1),"On Track",IF(O394=0,"Customer Delivery Late","Ship Late"))</f>
        <v/>
      </c>
    </row>
    <row r="395">
      <c r="A395" s="2" t="inlineStr">
        <is>
          <t>ORD-00394</t>
        </is>
      </c>
      <c r="B395" s="2" t="inlineStr">
        <is>
          <t>Customer 21</t>
        </is>
      </c>
      <c r="C395" s="2" t="inlineStr">
        <is>
          <t>Relay</t>
        </is>
      </c>
      <c r="D395" s="2" t="inlineStr">
        <is>
          <t>Plant C</t>
        </is>
      </c>
      <c r="E395" s="2" t="inlineStr">
        <is>
          <t>North</t>
        </is>
      </c>
      <c r="F395" s="12" t="n">
        <v>46086</v>
      </c>
      <c r="G395" s="12" t="n">
        <v>46096</v>
      </c>
      <c r="H395" s="12" t="n">
        <v>46092</v>
      </c>
      <c r="I395" s="12" t="n">
        <v>46092</v>
      </c>
      <c r="J395" s="12" t="n">
        <v>46095</v>
      </c>
      <c r="K395" s="2" t="n">
        <v>267</v>
      </c>
      <c r="L395" s="2" t="inlineStr">
        <is>
          <t>Air</t>
        </is>
      </c>
      <c r="M395" s="2" t="inlineStr">
        <is>
          <t>No Delay</t>
        </is>
      </c>
      <c r="N395" s="4">
        <f>IF(I395&lt;=H395,1,0)</f>
        <v/>
      </c>
      <c r="O395" s="4">
        <f>IF(J395&lt;=G395,1,0)</f>
        <v/>
      </c>
      <c r="P395" s="4">
        <f>MAX(0,I395-H395)</f>
        <v/>
      </c>
      <c r="Q395" s="4">
        <f>MAX(0,J395-G395)</f>
        <v/>
      </c>
      <c r="R395" s="4">
        <f>IF(AND(N395=1,O395=1),"On Track",IF(O395=0,"Customer Delivery Late","Ship Late"))</f>
        <v/>
      </c>
    </row>
    <row r="396">
      <c r="A396" s="2" t="inlineStr">
        <is>
          <t>ORD-00395</t>
        </is>
      </c>
      <c r="B396" s="2" t="inlineStr">
        <is>
          <t>Customer 13</t>
        </is>
      </c>
      <c r="C396" s="2" t="inlineStr">
        <is>
          <t>Drive</t>
        </is>
      </c>
      <c r="D396" s="2" t="inlineStr">
        <is>
          <t>Plant C</t>
        </is>
      </c>
      <c r="E396" s="2" t="inlineStr">
        <is>
          <t>Central</t>
        </is>
      </c>
      <c r="F396" s="12" t="n">
        <v>46082</v>
      </c>
      <c r="G396" s="12" t="n">
        <v>46097</v>
      </c>
      <c r="H396" s="12" t="n">
        <v>46092</v>
      </c>
      <c r="I396" s="12" t="n">
        <v>46091</v>
      </c>
      <c r="J396" s="12" t="n">
        <v>46096</v>
      </c>
      <c r="K396" s="2" t="n">
        <v>523</v>
      </c>
      <c r="L396" s="2" t="inlineStr">
        <is>
          <t>Road</t>
        </is>
      </c>
      <c r="M396" s="2" t="inlineStr">
        <is>
          <t>No Delay</t>
        </is>
      </c>
      <c r="N396" s="4">
        <f>IF(I396&lt;=H396,1,0)</f>
        <v/>
      </c>
      <c r="O396" s="4">
        <f>IF(J396&lt;=G396,1,0)</f>
        <v/>
      </c>
      <c r="P396" s="4">
        <f>MAX(0,I396-H396)</f>
        <v/>
      </c>
      <c r="Q396" s="4">
        <f>MAX(0,J396-G396)</f>
        <v/>
      </c>
      <c r="R396" s="4">
        <f>IF(AND(N396=1,O396=1),"On Track",IF(O396=0,"Customer Delivery Late","Ship Late"))</f>
        <v/>
      </c>
    </row>
    <row r="397">
      <c r="A397" s="2" t="inlineStr">
        <is>
          <t>ORD-00396</t>
        </is>
      </c>
      <c r="B397" s="2" t="inlineStr">
        <is>
          <t>Customer 18</t>
        </is>
      </c>
      <c r="C397" s="2" t="inlineStr">
        <is>
          <t>Drive</t>
        </is>
      </c>
      <c r="D397" s="2" t="inlineStr">
        <is>
          <t>Plant B</t>
        </is>
      </c>
      <c r="E397" s="2" t="inlineStr">
        <is>
          <t>Export</t>
        </is>
      </c>
      <c r="F397" s="12" t="n">
        <v>46147</v>
      </c>
      <c r="G397" s="12" t="n">
        <v>46166</v>
      </c>
      <c r="H397" s="12" t="n">
        <v>46161</v>
      </c>
      <c r="I397" s="12" t="n">
        <v>46161</v>
      </c>
      <c r="J397" s="12" t="n">
        <v>46166</v>
      </c>
      <c r="K397" s="2" t="n">
        <v>573</v>
      </c>
      <c r="L397" s="2" t="inlineStr">
        <is>
          <t>Sea</t>
        </is>
      </c>
      <c r="M397" s="2" t="inlineStr">
        <is>
          <t>No Delay</t>
        </is>
      </c>
      <c r="N397" s="4">
        <f>IF(I397&lt;=H397,1,0)</f>
        <v/>
      </c>
      <c r="O397" s="4">
        <f>IF(J397&lt;=G397,1,0)</f>
        <v/>
      </c>
      <c r="P397" s="4">
        <f>MAX(0,I397-H397)</f>
        <v/>
      </c>
      <c r="Q397" s="4">
        <f>MAX(0,J397-G397)</f>
        <v/>
      </c>
      <c r="R397" s="4">
        <f>IF(AND(N397=1,O397=1),"On Track",IF(O397=0,"Customer Delivery Late","Ship Late"))</f>
        <v/>
      </c>
    </row>
    <row r="398">
      <c r="A398" s="2" t="inlineStr">
        <is>
          <t>ORD-00397</t>
        </is>
      </c>
      <c r="B398" s="2" t="inlineStr">
        <is>
          <t>Customer 15</t>
        </is>
      </c>
      <c r="C398" s="2" t="inlineStr">
        <is>
          <t>Breaker</t>
        </is>
      </c>
      <c r="D398" s="2" t="inlineStr">
        <is>
          <t>Plant C</t>
        </is>
      </c>
      <c r="E398" s="2" t="inlineStr">
        <is>
          <t>Export</t>
        </is>
      </c>
      <c r="F398" s="12" t="n">
        <v>46164</v>
      </c>
      <c r="G398" s="12" t="n">
        <v>46174</v>
      </c>
      <c r="H398" s="12" t="n">
        <v>46173</v>
      </c>
      <c r="I398" s="12" t="n">
        <v>46172</v>
      </c>
      <c r="J398" s="12" t="n">
        <v>46173</v>
      </c>
      <c r="K398" s="2" t="n">
        <v>389</v>
      </c>
      <c r="L398" s="2" t="inlineStr">
        <is>
          <t>Road</t>
        </is>
      </c>
      <c r="M398" s="2" t="inlineStr">
        <is>
          <t>No Delay</t>
        </is>
      </c>
      <c r="N398" s="4">
        <f>IF(I398&lt;=H398,1,0)</f>
        <v/>
      </c>
      <c r="O398" s="4">
        <f>IF(J398&lt;=G398,1,0)</f>
        <v/>
      </c>
      <c r="P398" s="4">
        <f>MAX(0,I398-H398)</f>
        <v/>
      </c>
      <c r="Q398" s="4">
        <f>MAX(0,J398-G398)</f>
        <v/>
      </c>
      <c r="R398" s="4">
        <f>IF(AND(N398=1,O398=1),"On Track",IF(O398=0,"Customer Delivery Late","Ship Late"))</f>
        <v/>
      </c>
    </row>
    <row r="399">
      <c r="A399" s="2" t="inlineStr">
        <is>
          <t>ORD-00398</t>
        </is>
      </c>
      <c r="B399" s="2" t="inlineStr">
        <is>
          <t>Customer 17</t>
        </is>
      </c>
      <c r="C399" s="2" t="inlineStr">
        <is>
          <t>Switchgear</t>
        </is>
      </c>
      <c r="D399" s="2" t="inlineStr">
        <is>
          <t>Plant C</t>
        </is>
      </c>
      <c r="E399" s="2" t="inlineStr">
        <is>
          <t>Central</t>
        </is>
      </c>
      <c r="F399" s="12" t="n">
        <v>46181</v>
      </c>
      <c r="G399" s="12" t="n">
        <v>46197</v>
      </c>
      <c r="H399" s="12" t="n">
        <v>46192</v>
      </c>
      <c r="I399" s="12" t="n">
        <v>46192</v>
      </c>
      <c r="J399" s="12" t="n">
        <v>46198</v>
      </c>
      <c r="K399" s="2" t="n">
        <v>1265</v>
      </c>
      <c r="L399" s="2" t="inlineStr">
        <is>
          <t>Air</t>
        </is>
      </c>
      <c r="M399" s="2" t="inlineStr">
        <is>
          <t>Production Delay</t>
        </is>
      </c>
      <c r="N399" s="4">
        <f>IF(I399&lt;=H399,1,0)</f>
        <v/>
      </c>
      <c r="O399" s="4">
        <f>IF(J399&lt;=G399,1,0)</f>
        <v/>
      </c>
      <c r="P399" s="4">
        <f>MAX(0,I399-H399)</f>
        <v/>
      </c>
      <c r="Q399" s="4">
        <f>MAX(0,J399-G399)</f>
        <v/>
      </c>
      <c r="R399" s="4">
        <f>IF(AND(N399=1,O399=1),"On Track",IF(O399=0,"Customer Delivery Late","Ship Late"))</f>
        <v/>
      </c>
    </row>
    <row r="400">
      <c r="A400" s="2" t="inlineStr">
        <is>
          <t>ORD-00399</t>
        </is>
      </c>
      <c r="B400" s="2" t="inlineStr">
        <is>
          <t>Customer 05</t>
        </is>
      </c>
      <c r="C400" s="2" t="inlineStr">
        <is>
          <t>Relay</t>
        </is>
      </c>
      <c r="D400" s="2" t="inlineStr">
        <is>
          <t>Plant A</t>
        </is>
      </c>
      <c r="E400" s="2" t="inlineStr">
        <is>
          <t>Central</t>
        </is>
      </c>
      <c r="F400" s="12" t="n">
        <v>46105</v>
      </c>
      <c r="G400" s="12" t="n">
        <v>46123</v>
      </c>
      <c r="H400" s="12" t="n">
        <v>46120</v>
      </c>
      <c r="I400" s="12" t="n">
        <v>46120</v>
      </c>
      <c r="J400" s="12" t="n">
        <v>46122</v>
      </c>
      <c r="K400" s="2" t="n">
        <v>229</v>
      </c>
      <c r="L400" s="2" t="inlineStr">
        <is>
          <t>Air</t>
        </is>
      </c>
      <c r="M400" s="2" t="inlineStr">
        <is>
          <t>No Delay</t>
        </is>
      </c>
      <c r="N400" s="4">
        <f>IF(I400&lt;=H400,1,0)</f>
        <v/>
      </c>
      <c r="O400" s="4">
        <f>IF(J400&lt;=G400,1,0)</f>
        <v/>
      </c>
      <c r="P400" s="4">
        <f>MAX(0,I400-H400)</f>
        <v/>
      </c>
      <c r="Q400" s="4">
        <f>MAX(0,J400-G400)</f>
        <v/>
      </c>
      <c r="R400" s="4">
        <f>IF(AND(N400=1,O400=1),"On Track",IF(O400=0,"Customer Delivery Late","Ship Late"))</f>
        <v/>
      </c>
    </row>
    <row r="401">
      <c r="A401" s="2" t="inlineStr">
        <is>
          <t>ORD-00400</t>
        </is>
      </c>
      <c r="B401" s="2" t="inlineStr">
        <is>
          <t>Customer 19</t>
        </is>
      </c>
      <c r="C401" s="2" t="inlineStr">
        <is>
          <t>Sensor</t>
        </is>
      </c>
      <c r="D401" s="2" t="inlineStr">
        <is>
          <t>Plant A</t>
        </is>
      </c>
      <c r="E401" s="2" t="inlineStr">
        <is>
          <t>South</t>
        </is>
      </c>
      <c r="F401" s="12" t="n">
        <v>46072</v>
      </c>
      <c r="G401" s="12" t="n">
        <v>46080</v>
      </c>
      <c r="H401" s="12" t="n">
        <v>46079</v>
      </c>
      <c r="I401" s="12" t="n">
        <v>46078</v>
      </c>
      <c r="J401" s="12" t="n">
        <v>46080</v>
      </c>
      <c r="K401" s="2" t="n">
        <v>462</v>
      </c>
      <c r="L401" s="2" t="inlineStr">
        <is>
          <t>Sea</t>
        </is>
      </c>
      <c r="M401" s="2" t="inlineStr">
        <is>
          <t>No Delay</t>
        </is>
      </c>
      <c r="N401" s="4">
        <f>IF(I401&lt;=H401,1,0)</f>
        <v/>
      </c>
      <c r="O401" s="4">
        <f>IF(J401&lt;=G401,1,0)</f>
        <v/>
      </c>
      <c r="P401" s="4">
        <f>MAX(0,I401-H401)</f>
        <v/>
      </c>
      <c r="Q401" s="4">
        <f>MAX(0,J401-G401)</f>
        <v/>
      </c>
      <c r="R401" s="4">
        <f>IF(AND(N401=1,O401=1),"On Track",IF(O401=0,"Customer Delivery Late","Ship Late"))</f>
        <v/>
      </c>
    </row>
    <row r="402">
      <c r="A402" s="2" t="inlineStr">
        <is>
          <t>ORD-00401</t>
        </is>
      </c>
      <c r="B402" s="2" t="inlineStr">
        <is>
          <t>Customer 24</t>
        </is>
      </c>
      <c r="C402" s="2" t="inlineStr">
        <is>
          <t>Power Supply</t>
        </is>
      </c>
      <c r="D402" s="2" t="inlineStr">
        <is>
          <t>Plant B</t>
        </is>
      </c>
      <c r="E402" s="2" t="inlineStr">
        <is>
          <t>North</t>
        </is>
      </c>
      <c r="F402" s="12" t="n">
        <v>46041</v>
      </c>
      <c r="G402" s="12" t="n">
        <v>46046</v>
      </c>
      <c r="H402" s="12" t="n">
        <v>46044</v>
      </c>
      <c r="I402" s="12" t="n">
        <v>46042</v>
      </c>
      <c r="J402" s="12" t="n">
        <v>46043</v>
      </c>
      <c r="K402" s="2" t="n">
        <v>1273</v>
      </c>
      <c r="L402" s="2" t="inlineStr">
        <is>
          <t>Air</t>
        </is>
      </c>
      <c r="M402" s="2" t="inlineStr">
        <is>
          <t>No Delay</t>
        </is>
      </c>
      <c r="N402" s="4">
        <f>IF(I402&lt;=H402,1,0)</f>
        <v/>
      </c>
      <c r="O402" s="4">
        <f>IF(J402&lt;=G402,1,0)</f>
        <v/>
      </c>
      <c r="P402" s="4">
        <f>MAX(0,I402-H402)</f>
        <v/>
      </c>
      <c r="Q402" s="4">
        <f>MAX(0,J402-G402)</f>
        <v/>
      </c>
      <c r="R402" s="4">
        <f>IF(AND(N402=1,O402=1),"On Track",IF(O402=0,"Customer Delivery Late","Ship Late"))</f>
        <v/>
      </c>
    </row>
    <row r="403">
      <c r="A403" s="2" t="inlineStr">
        <is>
          <t>ORD-00402</t>
        </is>
      </c>
      <c r="B403" s="2" t="inlineStr">
        <is>
          <t>Customer 24</t>
        </is>
      </c>
      <c r="C403" s="2" t="inlineStr">
        <is>
          <t>PLC</t>
        </is>
      </c>
      <c r="D403" s="2" t="inlineStr">
        <is>
          <t>Plant C</t>
        </is>
      </c>
      <c r="E403" s="2" t="inlineStr">
        <is>
          <t>Export</t>
        </is>
      </c>
      <c r="F403" s="12" t="n">
        <v>46158</v>
      </c>
      <c r="G403" s="12" t="n">
        <v>46164</v>
      </c>
      <c r="H403" s="12" t="n">
        <v>46163</v>
      </c>
      <c r="I403" s="12" t="n">
        <v>46161</v>
      </c>
      <c r="J403" s="12" t="n">
        <v>46163</v>
      </c>
      <c r="K403" s="2" t="n">
        <v>398</v>
      </c>
      <c r="L403" s="2" t="inlineStr">
        <is>
          <t>Road</t>
        </is>
      </c>
      <c r="M403" s="2" t="inlineStr">
        <is>
          <t>No Delay</t>
        </is>
      </c>
      <c r="N403" s="4">
        <f>IF(I403&lt;=H403,1,0)</f>
        <v/>
      </c>
      <c r="O403" s="4">
        <f>IF(J403&lt;=G403,1,0)</f>
        <v/>
      </c>
      <c r="P403" s="4">
        <f>MAX(0,I403-H403)</f>
        <v/>
      </c>
      <c r="Q403" s="4">
        <f>MAX(0,J403-G403)</f>
        <v/>
      </c>
      <c r="R403" s="4">
        <f>IF(AND(N403=1,O403=1),"On Track",IF(O403=0,"Customer Delivery Late","Ship Late"))</f>
        <v/>
      </c>
    </row>
    <row r="404">
      <c r="A404" s="2" t="inlineStr">
        <is>
          <t>ORD-00403</t>
        </is>
      </c>
      <c r="B404" s="2" t="inlineStr">
        <is>
          <t>Customer 19</t>
        </is>
      </c>
      <c r="C404" s="2" t="inlineStr">
        <is>
          <t>Drive</t>
        </is>
      </c>
      <c r="D404" s="2" t="inlineStr">
        <is>
          <t>Plant C</t>
        </is>
      </c>
      <c r="E404" s="2" t="inlineStr">
        <is>
          <t>Export</t>
        </is>
      </c>
      <c r="F404" s="12" t="n">
        <v>46157</v>
      </c>
      <c r="G404" s="12" t="n">
        <v>46169</v>
      </c>
      <c r="H404" s="12" t="n">
        <v>46164</v>
      </c>
      <c r="I404" s="12" t="n">
        <v>46162</v>
      </c>
      <c r="J404" s="12" t="n">
        <v>46166</v>
      </c>
      <c r="K404" s="2" t="n">
        <v>1448</v>
      </c>
      <c r="L404" s="2" t="inlineStr">
        <is>
          <t>Sea</t>
        </is>
      </c>
      <c r="M404" s="2" t="inlineStr">
        <is>
          <t>No Delay</t>
        </is>
      </c>
      <c r="N404" s="4">
        <f>IF(I404&lt;=H404,1,0)</f>
        <v/>
      </c>
      <c r="O404" s="4">
        <f>IF(J404&lt;=G404,1,0)</f>
        <v/>
      </c>
      <c r="P404" s="4">
        <f>MAX(0,I404-H404)</f>
        <v/>
      </c>
      <c r="Q404" s="4">
        <f>MAX(0,J404-G404)</f>
        <v/>
      </c>
      <c r="R404" s="4">
        <f>IF(AND(N404=1,O404=1),"On Track",IF(O404=0,"Customer Delivery Late","Ship Late"))</f>
        <v/>
      </c>
    </row>
    <row r="405">
      <c r="A405" s="2" t="inlineStr">
        <is>
          <t>ORD-00404</t>
        </is>
      </c>
      <c r="B405" s="2" t="inlineStr">
        <is>
          <t>Customer 18</t>
        </is>
      </c>
      <c r="C405" s="2" t="inlineStr">
        <is>
          <t>Switchgear</t>
        </is>
      </c>
      <c r="D405" s="2" t="inlineStr">
        <is>
          <t>Plant B</t>
        </is>
      </c>
      <c r="E405" s="2" t="inlineStr">
        <is>
          <t>South</t>
        </is>
      </c>
      <c r="F405" s="12" t="n">
        <v>46132</v>
      </c>
      <c r="G405" s="12" t="n">
        <v>46140</v>
      </c>
      <c r="H405" s="12" t="n">
        <v>46138</v>
      </c>
      <c r="I405" s="12" t="n">
        <v>46138</v>
      </c>
      <c r="J405" s="12" t="n">
        <v>46141</v>
      </c>
      <c r="K405" s="2" t="n">
        <v>1136</v>
      </c>
      <c r="L405" s="2" t="inlineStr">
        <is>
          <t>Air</t>
        </is>
      </c>
      <c r="M405" s="2" t="inlineStr">
        <is>
          <t>Production Delay</t>
        </is>
      </c>
      <c r="N405" s="4">
        <f>IF(I405&lt;=H405,1,0)</f>
        <v/>
      </c>
      <c r="O405" s="4">
        <f>IF(J405&lt;=G405,1,0)</f>
        <v/>
      </c>
      <c r="P405" s="4">
        <f>MAX(0,I405-H405)</f>
        <v/>
      </c>
      <c r="Q405" s="4">
        <f>MAX(0,J405-G405)</f>
        <v/>
      </c>
      <c r="R405" s="4">
        <f>IF(AND(N405=1,O405=1),"On Track",IF(O405=0,"Customer Delivery Late","Ship Late"))</f>
        <v/>
      </c>
    </row>
    <row r="406">
      <c r="A406" s="2" t="inlineStr">
        <is>
          <t>ORD-00405</t>
        </is>
      </c>
      <c r="B406" s="2" t="inlineStr">
        <is>
          <t>Customer 13</t>
        </is>
      </c>
      <c r="C406" s="2" t="inlineStr">
        <is>
          <t>Sensor</t>
        </is>
      </c>
      <c r="D406" s="2" t="inlineStr">
        <is>
          <t>Plant B</t>
        </is>
      </c>
      <c r="E406" s="2" t="inlineStr">
        <is>
          <t>Export</t>
        </is>
      </c>
      <c r="F406" s="12" t="n">
        <v>46118</v>
      </c>
      <c r="G406" s="12" t="n">
        <v>46136</v>
      </c>
      <c r="H406" s="12" t="n">
        <v>46132</v>
      </c>
      <c r="I406" s="12" t="n">
        <v>46131</v>
      </c>
      <c r="J406" s="12" t="n">
        <v>46136</v>
      </c>
      <c r="K406" s="2" t="n">
        <v>926</v>
      </c>
      <c r="L406" s="2" t="inlineStr">
        <is>
          <t>Air</t>
        </is>
      </c>
      <c r="M406" s="2" t="inlineStr">
        <is>
          <t>No Delay</t>
        </is>
      </c>
      <c r="N406" s="4">
        <f>IF(I406&lt;=H406,1,0)</f>
        <v/>
      </c>
      <c r="O406" s="4">
        <f>IF(J406&lt;=G406,1,0)</f>
        <v/>
      </c>
      <c r="P406" s="4">
        <f>MAX(0,I406-H406)</f>
        <v/>
      </c>
      <c r="Q406" s="4">
        <f>MAX(0,J406-G406)</f>
        <v/>
      </c>
      <c r="R406" s="4">
        <f>IF(AND(N406=1,O406=1),"On Track",IF(O406=0,"Customer Delivery Late","Ship Late"))</f>
        <v/>
      </c>
    </row>
    <row r="407">
      <c r="A407" s="2" t="inlineStr">
        <is>
          <t>ORD-00406</t>
        </is>
      </c>
      <c r="B407" s="2" t="inlineStr">
        <is>
          <t>Customer 28</t>
        </is>
      </c>
      <c r="C407" s="2" t="inlineStr">
        <is>
          <t>Drive</t>
        </is>
      </c>
      <c r="D407" s="2" t="inlineStr">
        <is>
          <t>Plant A</t>
        </is>
      </c>
      <c r="E407" s="2" t="inlineStr">
        <is>
          <t>South</t>
        </is>
      </c>
      <c r="F407" s="12" t="n">
        <v>46023</v>
      </c>
      <c r="G407" s="12" t="n">
        <v>46029</v>
      </c>
      <c r="H407" s="12" t="n">
        <v>46026</v>
      </c>
      <c r="I407" s="12" t="n">
        <v>46026</v>
      </c>
      <c r="J407" s="12" t="n">
        <v>46031</v>
      </c>
      <c r="K407" s="2" t="n">
        <v>1143</v>
      </c>
      <c r="L407" s="2" t="inlineStr">
        <is>
          <t>Sea</t>
        </is>
      </c>
      <c r="M407" s="2" t="inlineStr">
        <is>
          <t>Production Delay</t>
        </is>
      </c>
      <c r="N407" s="4">
        <f>IF(I407&lt;=H407,1,0)</f>
        <v/>
      </c>
      <c r="O407" s="4">
        <f>IF(J407&lt;=G407,1,0)</f>
        <v/>
      </c>
      <c r="P407" s="4">
        <f>MAX(0,I407-H407)</f>
        <v/>
      </c>
      <c r="Q407" s="4">
        <f>MAX(0,J407-G407)</f>
        <v/>
      </c>
      <c r="R407" s="4">
        <f>IF(AND(N407=1,O407=1),"On Track",IF(O407=0,"Customer Delivery Late","Ship Late"))</f>
        <v/>
      </c>
    </row>
    <row r="408">
      <c r="A408" s="2" t="inlineStr">
        <is>
          <t>ORD-00407</t>
        </is>
      </c>
      <c r="B408" s="2" t="inlineStr">
        <is>
          <t>Customer 09</t>
        </is>
      </c>
      <c r="C408" s="2" t="inlineStr">
        <is>
          <t>Drive</t>
        </is>
      </c>
      <c r="D408" s="2" t="inlineStr">
        <is>
          <t>Plant C</t>
        </is>
      </c>
      <c r="E408" s="2" t="inlineStr">
        <is>
          <t>Central</t>
        </is>
      </c>
      <c r="F408" s="12" t="n">
        <v>46165</v>
      </c>
      <c r="G408" s="12" t="n">
        <v>46188</v>
      </c>
      <c r="H408" s="12" t="n">
        <v>46183</v>
      </c>
      <c r="I408" s="12" t="n">
        <v>46181</v>
      </c>
      <c r="J408" s="12" t="n">
        <v>46186</v>
      </c>
      <c r="K408" s="2" t="n">
        <v>487</v>
      </c>
      <c r="L408" s="2" t="inlineStr">
        <is>
          <t>Air</t>
        </is>
      </c>
      <c r="M408" s="2" t="inlineStr">
        <is>
          <t>No Delay</t>
        </is>
      </c>
      <c r="N408" s="4">
        <f>IF(I408&lt;=H408,1,0)</f>
        <v/>
      </c>
      <c r="O408" s="4">
        <f>IF(J408&lt;=G408,1,0)</f>
        <v/>
      </c>
      <c r="P408" s="4">
        <f>MAX(0,I408-H408)</f>
        <v/>
      </c>
      <c r="Q408" s="4">
        <f>MAX(0,J408-G408)</f>
        <v/>
      </c>
      <c r="R408" s="4">
        <f>IF(AND(N408=1,O408=1),"On Track",IF(O408=0,"Customer Delivery Late","Ship Late"))</f>
        <v/>
      </c>
    </row>
    <row r="409">
      <c r="A409" s="2" t="inlineStr">
        <is>
          <t>ORD-00408</t>
        </is>
      </c>
      <c r="B409" s="2" t="inlineStr">
        <is>
          <t>Customer 06</t>
        </is>
      </c>
      <c r="C409" s="2" t="inlineStr">
        <is>
          <t>Switchgear</t>
        </is>
      </c>
      <c r="D409" s="2" t="inlineStr">
        <is>
          <t>Plant C</t>
        </is>
      </c>
      <c r="E409" s="2" t="inlineStr">
        <is>
          <t>North</t>
        </is>
      </c>
      <c r="F409" s="12" t="n">
        <v>46099</v>
      </c>
      <c r="G409" s="12" t="n">
        <v>46106</v>
      </c>
      <c r="H409" s="12" t="n">
        <v>46101</v>
      </c>
      <c r="I409" s="12" t="n">
        <v>46099</v>
      </c>
      <c r="J409" s="12" t="n">
        <v>46104</v>
      </c>
      <c r="K409" s="2" t="n">
        <v>1229</v>
      </c>
      <c r="L409" s="2" t="inlineStr">
        <is>
          <t>Sea</t>
        </is>
      </c>
      <c r="M409" s="2" t="inlineStr">
        <is>
          <t>No Delay</t>
        </is>
      </c>
      <c r="N409" s="4">
        <f>IF(I409&lt;=H409,1,0)</f>
        <v/>
      </c>
      <c r="O409" s="4">
        <f>IF(J409&lt;=G409,1,0)</f>
        <v/>
      </c>
      <c r="P409" s="4">
        <f>MAX(0,I409-H409)</f>
        <v/>
      </c>
      <c r="Q409" s="4">
        <f>MAX(0,J409-G409)</f>
        <v/>
      </c>
      <c r="R409" s="4">
        <f>IF(AND(N409=1,O409=1),"On Track",IF(O409=0,"Customer Delivery Late","Ship Late"))</f>
        <v/>
      </c>
    </row>
    <row r="410">
      <c r="A410" s="2" t="inlineStr">
        <is>
          <t>ORD-00409</t>
        </is>
      </c>
      <c r="B410" s="2" t="inlineStr">
        <is>
          <t>Customer 14</t>
        </is>
      </c>
      <c r="C410" s="2" t="inlineStr">
        <is>
          <t>Power Supply</t>
        </is>
      </c>
      <c r="D410" s="2" t="inlineStr">
        <is>
          <t>Plant A</t>
        </is>
      </c>
      <c r="E410" s="2" t="inlineStr">
        <is>
          <t>Central</t>
        </is>
      </c>
      <c r="F410" s="12" t="n">
        <v>46099</v>
      </c>
      <c r="G410" s="12" t="n">
        <v>46105</v>
      </c>
      <c r="H410" s="12" t="n">
        <v>46100</v>
      </c>
      <c r="I410" s="12" t="n">
        <v>46098</v>
      </c>
      <c r="J410" s="12" t="n">
        <v>46103</v>
      </c>
      <c r="K410" s="2" t="n">
        <v>1346</v>
      </c>
      <c r="L410" s="2" t="inlineStr">
        <is>
          <t>Sea</t>
        </is>
      </c>
      <c r="M410" s="2" t="inlineStr">
        <is>
          <t>No Delay</t>
        </is>
      </c>
      <c r="N410" s="4">
        <f>IF(I410&lt;=H410,1,0)</f>
        <v/>
      </c>
      <c r="O410" s="4">
        <f>IF(J410&lt;=G410,1,0)</f>
        <v/>
      </c>
      <c r="P410" s="4">
        <f>MAX(0,I410-H410)</f>
        <v/>
      </c>
      <c r="Q410" s="4">
        <f>MAX(0,J410-G410)</f>
        <v/>
      </c>
      <c r="R410" s="4">
        <f>IF(AND(N410=1,O410=1),"On Track",IF(O410=0,"Customer Delivery Late","Ship Late"))</f>
        <v/>
      </c>
    </row>
    <row r="411">
      <c r="A411" s="2" t="inlineStr">
        <is>
          <t>ORD-00410</t>
        </is>
      </c>
      <c r="B411" s="2" t="inlineStr">
        <is>
          <t>Customer 05</t>
        </is>
      </c>
      <c r="C411" s="2" t="inlineStr">
        <is>
          <t>Drive</t>
        </is>
      </c>
      <c r="D411" s="2" t="inlineStr">
        <is>
          <t>Plant C</t>
        </is>
      </c>
      <c r="E411" s="2" t="inlineStr">
        <is>
          <t>Central</t>
        </is>
      </c>
      <c r="F411" s="12" t="n">
        <v>46025</v>
      </c>
      <c r="G411" s="12" t="n">
        <v>46050</v>
      </c>
      <c r="H411" s="12" t="n">
        <v>46046</v>
      </c>
      <c r="I411" s="12" t="n">
        <v>46046</v>
      </c>
      <c r="J411" s="12" t="n">
        <v>46050</v>
      </c>
      <c r="K411" s="2" t="n">
        <v>323</v>
      </c>
      <c r="L411" s="2" t="inlineStr">
        <is>
          <t>Road</t>
        </is>
      </c>
      <c r="M411" s="2" t="inlineStr">
        <is>
          <t>No Delay</t>
        </is>
      </c>
      <c r="N411" s="4">
        <f>IF(I411&lt;=H411,1,0)</f>
        <v/>
      </c>
      <c r="O411" s="4">
        <f>IF(J411&lt;=G411,1,0)</f>
        <v/>
      </c>
      <c r="P411" s="4">
        <f>MAX(0,I411-H411)</f>
        <v/>
      </c>
      <c r="Q411" s="4">
        <f>MAX(0,J411-G411)</f>
        <v/>
      </c>
      <c r="R411" s="4">
        <f>IF(AND(N411=1,O411=1),"On Track",IF(O411=0,"Customer Delivery Late","Ship Late"))</f>
        <v/>
      </c>
    </row>
    <row r="412">
      <c r="A412" s="2" t="inlineStr">
        <is>
          <t>ORD-00411</t>
        </is>
      </c>
      <c r="B412" s="2" t="inlineStr">
        <is>
          <t>Customer 26</t>
        </is>
      </c>
      <c r="C412" s="2" t="inlineStr">
        <is>
          <t>Power Supply</t>
        </is>
      </c>
      <c r="D412" s="2" t="inlineStr">
        <is>
          <t>Plant A</t>
        </is>
      </c>
      <c r="E412" s="2" t="inlineStr">
        <is>
          <t>Central</t>
        </is>
      </c>
      <c r="F412" s="12" t="n">
        <v>46195</v>
      </c>
      <c r="G412" s="12" t="n">
        <v>46212</v>
      </c>
      <c r="H412" s="12" t="n">
        <v>46208</v>
      </c>
      <c r="I412" s="12" t="n">
        <v>46208</v>
      </c>
      <c r="J412" s="12" t="n">
        <v>46212</v>
      </c>
      <c r="K412" s="2" t="n">
        <v>698</v>
      </c>
      <c r="L412" s="2" t="inlineStr">
        <is>
          <t>Road</t>
        </is>
      </c>
      <c r="M412" s="2" t="inlineStr">
        <is>
          <t>No Delay</t>
        </is>
      </c>
      <c r="N412" s="4">
        <f>IF(I412&lt;=H412,1,0)</f>
        <v/>
      </c>
      <c r="O412" s="4">
        <f>IF(J412&lt;=G412,1,0)</f>
        <v/>
      </c>
      <c r="P412" s="4">
        <f>MAX(0,I412-H412)</f>
        <v/>
      </c>
      <c r="Q412" s="4">
        <f>MAX(0,J412-G412)</f>
        <v/>
      </c>
      <c r="R412" s="4">
        <f>IF(AND(N412=1,O412=1),"On Track",IF(O412=0,"Customer Delivery Late","Ship Late"))</f>
        <v/>
      </c>
    </row>
    <row r="413">
      <c r="A413" s="2" t="inlineStr">
        <is>
          <t>ORD-00412</t>
        </is>
      </c>
      <c r="B413" s="2" t="inlineStr">
        <is>
          <t>Customer 25</t>
        </is>
      </c>
      <c r="C413" s="2" t="inlineStr">
        <is>
          <t>Relay</t>
        </is>
      </c>
      <c r="D413" s="2" t="inlineStr">
        <is>
          <t>Plant A</t>
        </is>
      </c>
      <c r="E413" s="2" t="inlineStr">
        <is>
          <t>Export</t>
        </is>
      </c>
      <c r="F413" s="12" t="n">
        <v>46144</v>
      </c>
      <c r="G413" s="12" t="n">
        <v>46167</v>
      </c>
      <c r="H413" s="12" t="n">
        <v>46166</v>
      </c>
      <c r="I413" s="12" t="n">
        <v>46165</v>
      </c>
      <c r="J413" s="12" t="n">
        <v>46166</v>
      </c>
      <c r="K413" s="2" t="n">
        <v>1155</v>
      </c>
      <c r="L413" s="2" t="inlineStr">
        <is>
          <t>Road</t>
        </is>
      </c>
      <c r="M413" s="2" t="inlineStr">
        <is>
          <t>No Delay</t>
        </is>
      </c>
      <c r="N413" s="4">
        <f>IF(I413&lt;=H413,1,0)</f>
        <v/>
      </c>
      <c r="O413" s="4">
        <f>IF(J413&lt;=G413,1,0)</f>
        <v/>
      </c>
      <c r="P413" s="4">
        <f>MAX(0,I413-H413)</f>
        <v/>
      </c>
      <c r="Q413" s="4">
        <f>MAX(0,J413-G413)</f>
        <v/>
      </c>
      <c r="R413" s="4">
        <f>IF(AND(N413=1,O413=1),"On Track",IF(O413=0,"Customer Delivery Late","Ship Late"))</f>
        <v/>
      </c>
    </row>
    <row r="414">
      <c r="A414" s="2" t="inlineStr">
        <is>
          <t>ORD-00413</t>
        </is>
      </c>
      <c r="B414" s="2" t="inlineStr">
        <is>
          <t>Customer 25</t>
        </is>
      </c>
      <c r="C414" s="2" t="inlineStr">
        <is>
          <t>Power Supply</t>
        </is>
      </c>
      <c r="D414" s="2" t="inlineStr">
        <is>
          <t>Plant B</t>
        </is>
      </c>
      <c r="E414" s="2" t="inlineStr">
        <is>
          <t>North</t>
        </is>
      </c>
      <c r="F414" s="12" t="n">
        <v>46147</v>
      </c>
      <c r="G414" s="12" t="n">
        <v>46164</v>
      </c>
      <c r="H414" s="12" t="n">
        <v>46159</v>
      </c>
      <c r="I414" s="12" t="n">
        <v>46159</v>
      </c>
      <c r="J414" s="12" t="n">
        <v>46164</v>
      </c>
      <c r="K414" s="2" t="n">
        <v>240</v>
      </c>
      <c r="L414" s="2" t="inlineStr">
        <is>
          <t>Sea</t>
        </is>
      </c>
      <c r="M414" s="2" t="inlineStr">
        <is>
          <t>No Delay</t>
        </is>
      </c>
      <c r="N414" s="4">
        <f>IF(I414&lt;=H414,1,0)</f>
        <v/>
      </c>
      <c r="O414" s="4">
        <f>IF(J414&lt;=G414,1,0)</f>
        <v/>
      </c>
      <c r="P414" s="4">
        <f>MAX(0,I414-H414)</f>
        <v/>
      </c>
      <c r="Q414" s="4">
        <f>MAX(0,J414-G414)</f>
        <v/>
      </c>
      <c r="R414" s="4">
        <f>IF(AND(N414=1,O414=1),"On Track",IF(O414=0,"Customer Delivery Late","Ship Late"))</f>
        <v/>
      </c>
    </row>
    <row r="415">
      <c r="A415" s="2" t="inlineStr">
        <is>
          <t>ORD-00414</t>
        </is>
      </c>
      <c r="B415" s="2" t="inlineStr">
        <is>
          <t>Customer 25</t>
        </is>
      </c>
      <c r="C415" s="2" t="inlineStr">
        <is>
          <t>Sensor</t>
        </is>
      </c>
      <c r="D415" s="2" t="inlineStr">
        <is>
          <t>Plant A</t>
        </is>
      </c>
      <c r="E415" s="2" t="inlineStr">
        <is>
          <t>South</t>
        </is>
      </c>
      <c r="F415" s="12" t="n">
        <v>46128</v>
      </c>
      <c r="G415" s="12" t="n">
        <v>46146</v>
      </c>
      <c r="H415" s="12" t="n">
        <v>46143</v>
      </c>
      <c r="I415" s="12" t="n">
        <v>46142</v>
      </c>
      <c r="J415" s="12" t="n">
        <v>46146</v>
      </c>
      <c r="K415" s="2" t="n">
        <v>1272</v>
      </c>
      <c r="L415" s="2" t="inlineStr">
        <is>
          <t>Air</t>
        </is>
      </c>
      <c r="M415" s="2" t="inlineStr">
        <is>
          <t>No Delay</t>
        </is>
      </c>
      <c r="N415" s="4">
        <f>IF(I415&lt;=H415,1,0)</f>
        <v/>
      </c>
      <c r="O415" s="4">
        <f>IF(J415&lt;=G415,1,0)</f>
        <v/>
      </c>
      <c r="P415" s="4">
        <f>MAX(0,I415-H415)</f>
        <v/>
      </c>
      <c r="Q415" s="4">
        <f>MAX(0,J415-G415)</f>
        <v/>
      </c>
      <c r="R415" s="4">
        <f>IF(AND(N415=1,O415=1),"On Track",IF(O415=0,"Customer Delivery Late","Ship Late"))</f>
        <v/>
      </c>
    </row>
    <row r="416">
      <c r="A416" s="2" t="inlineStr">
        <is>
          <t>ORD-00415</t>
        </is>
      </c>
      <c r="B416" s="2" t="inlineStr">
        <is>
          <t>Customer 24</t>
        </is>
      </c>
      <c r="C416" s="2" t="inlineStr">
        <is>
          <t>Contactor</t>
        </is>
      </c>
      <c r="D416" s="2" t="inlineStr">
        <is>
          <t>Plant A</t>
        </is>
      </c>
      <c r="E416" s="2" t="inlineStr">
        <is>
          <t>North</t>
        </is>
      </c>
      <c r="F416" s="12" t="n">
        <v>46182</v>
      </c>
      <c r="G416" s="12" t="n">
        <v>46191</v>
      </c>
      <c r="H416" s="12" t="n">
        <v>46187</v>
      </c>
      <c r="I416" s="12" t="n">
        <v>46185</v>
      </c>
      <c r="J416" s="12" t="n">
        <v>46189</v>
      </c>
      <c r="K416" s="2" t="n">
        <v>507</v>
      </c>
      <c r="L416" s="2" t="inlineStr">
        <is>
          <t>Sea</t>
        </is>
      </c>
      <c r="M416" s="2" t="inlineStr">
        <is>
          <t>No Delay</t>
        </is>
      </c>
      <c r="N416" s="4">
        <f>IF(I416&lt;=H416,1,0)</f>
        <v/>
      </c>
      <c r="O416" s="4">
        <f>IF(J416&lt;=G416,1,0)</f>
        <v/>
      </c>
      <c r="P416" s="4">
        <f>MAX(0,I416-H416)</f>
        <v/>
      </c>
      <c r="Q416" s="4">
        <f>MAX(0,J416-G416)</f>
        <v/>
      </c>
      <c r="R416" s="4">
        <f>IF(AND(N416=1,O416=1),"On Track",IF(O416=0,"Customer Delivery Late","Ship Late"))</f>
        <v/>
      </c>
    </row>
    <row r="417">
      <c r="A417" s="2" t="inlineStr">
        <is>
          <t>ORD-00416</t>
        </is>
      </c>
      <c r="B417" s="2" t="inlineStr">
        <is>
          <t>Customer 11</t>
        </is>
      </c>
      <c r="C417" s="2" t="inlineStr">
        <is>
          <t>PLC</t>
        </is>
      </c>
      <c r="D417" s="2" t="inlineStr">
        <is>
          <t>Plant C</t>
        </is>
      </c>
      <c r="E417" s="2" t="inlineStr">
        <is>
          <t>Central</t>
        </is>
      </c>
      <c r="F417" s="12" t="n">
        <v>46060</v>
      </c>
      <c r="G417" s="12" t="n">
        <v>46074</v>
      </c>
      <c r="H417" s="12" t="n">
        <v>46073</v>
      </c>
      <c r="I417" s="12" t="n">
        <v>46071</v>
      </c>
      <c r="J417" s="12" t="n">
        <v>46072</v>
      </c>
      <c r="K417" s="2" t="n">
        <v>427</v>
      </c>
      <c r="L417" s="2" t="inlineStr">
        <is>
          <t>Sea</t>
        </is>
      </c>
      <c r="M417" s="2" t="inlineStr">
        <is>
          <t>No Delay</t>
        </is>
      </c>
      <c r="N417" s="4">
        <f>IF(I417&lt;=H417,1,0)</f>
        <v/>
      </c>
      <c r="O417" s="4">
        <f>IF(J417&lt;=G417,1,0)</f>
        <v/>
      </c>
      <c r="P417" s="4">
        <f>MAX(0,I417-H417)</f>
        <v/>
      </c>
      <c r="Q417" s="4">
        <f>MAX(0,J417-G417)</f>
        <v/>
      </c>
      <c r="R417" s="4">
        <f>IF(AND(N417=1,O417=1),"On Track",IF(O417=0,"Customer Delivery Late","Ship Late"))</f>
        <v/>
      </c>
    </row>
    <row r="418">
      <c r="A418" s="2" t="inlineStr">
        <is>
          <t>ORD-00417</t>
        </is>
      </c>
      <c r="B418" s="2" t="inlineStr">
        <is>
          <t>Customer 29</t>
        </is>
      </c>
      <c r="C418" s="2" t="inlineStr">
        <is>
          <t>Breaker</t>
        </is>
      </c>
      <c r="D418" s="2" t="inlineStr">
        <is>
          <t>Plant B</t>
        </is>
      </c>
      <c r="E418" s="2" t="inlineStr">
        <is>
          <t>Central</t>
        </is>
      </c>
      <c r="F418" s="12" t="n">
        <v>46156</v>
      </c>
      <c r="G418" s="12" t="n">
        <v>46169</v>
      </c>
      <c r="H418" s="12" t="n">
        <v>46164</v>
      </c>
      <c r="I418" s="12" t="n">
        <v>46164</v>
      </c>
      <c r="J418" s="12" t="n">
        <v>46168</v>
      </c>
      <c r="K418" s="2" t="n">
        <v>133</v>
      </c>
      <c r="L418" s="2" t="inlineStr">
        <is>
          <t>Air</t>
        </is>
      </c>
      <c r="M418" s="2" t="inlineStr">
        <is>
          <t>No Delay</t>
        </is>
      </c>
      <c r="N418" s="4">
        <f>IF(I418&lt;=H418,1,0)</f>
        <v/>
      </c>
      <c r="O418" s="4">
        <f>IF(J418&lt;=G418,1,0)</f>
        <v/>
      </c>
      <c r="P418" s="4">
        <f>MAX(0,I418-H418)</f>
        <v/>
      </c>
      <c r="Q418" s="4">
        <f>MAX(0,J418-G418)</f>
        <v/>
      </c>
      <c r="R418" s="4">
        <f>IF(AND(N418=1,O418=1),"On Track",IF(O418=0,"Customer Delivery Late","Ship Late"))</f>
        <v/>
      </c>
    </row>
    <row r="419">
      <c r="A419" s="2" t="inlineStr">
        <is>
          <t>ORD-00418</t>
        </is>
      </c>
      <c r="B419" s="2" t="inlineStr">
        <is>
          <t>Customer 09</t>
        </is>
      </c>
      <c r="C419" s="2" t="inlineStr">
        <is>
          <t>Drive</t>
        </is>
      </c>
      <c r="D419" s="2" t="inlineStr">
        <is>
          <t>Plant A</t>
        </is>
      </c>
      <c r="E419" s="2" t="inlineStr">
        <is>
          <t>North</t>
        </is>
      </c>
      <c r="F419" s="12" t="n">
        <v>46074</v>
      </c>
      <c r="G419" s="12" t="n">
        <v>46098</v>
      </c>
      <c r="H419" s="12" t="n">
        <v>46095</v>
      </c>
      <c r="I419" s="12" t="n">
        <v>46095</v>
      </c>
      <c r="J419" s="12" t="n">
        <v>46097</v>
      </c>
      <c r="K419" s="2" t="n">
        <v>609</v>
      </c>
      <c r="L419" s="2" t="inlineStr">
        <is>
          <t>Sea</t>
        </is>
      </c>
      <c r="M419" s="2" t="inlineStr">
        <is>
          <t>No Delay</t>
        </is>
      </c>
      <c r="N419" s="4">
        <f>IF(I419&lt;=H419,1,0)</f>
        <v/>
      </c>
      <c r="O419" s="4">
        <f>IF(J419&lt;=G419,1,0)</f>
        <v/>
      </c>
      <c r="P419" s="4">
        <f>MAX(0,I419-H419)</f>
        <v/>
      </c>
      <c r="Q419" s="4">
        <f>MAX(0,J419-G419)</f>
        <v/>
      </c>
      <c r="R419" s="4">
        <f>IF(AND(N419=1,O419=1),"On Track",IF(O419=0,"Customer Delivery Late","Ship Late"))</f>
        <v/>
      </c>
    </row>
    <row r="420">
      <c r="A420" s="2" t="inlineStr">
        <is>
          <t>ORD-00419</t>
        </is>
      </c>
      <c r="B420" s="2" t="inlineStr">
        <is>
          <t>Customer 20</t>
        </is>
      </c>
      <c r="C420" s="2" t="inlineStr">
        <is>
          <t>Contactor</t>
        </is>
      </c>
      <c r="D420" s="2" t="inlineStr">
        <is>
          <t>Plant A</t>
        </is>
      </c>
      <c r="E420" s="2" t="inlineStr">
        <is>
          <t>Central</t>
        </is>
      </c>
      <c r="F420" s="12" t="n">
        <v>46121</v>
      </c>
      <c r="G420" s="12" t="n">
        <v>46133</v>
      </c>
      <c r="H420" s="12" t="n">
        <v>46129</v>
      </c>
      <c r="I420" s="12" t="n">
        <v>46129</v>
      </c>
      <c r="J420" s="12" t="n">
        <v>46133</v>
      </c>
      <c r="K420" s="2" t="n">
        <v>1035</v>
      </c>
      <c r="L420" s="2" t="inlineStr">
        <is>
          <t>Air</t>
        </is>
      </c>
      <c r="M420" s="2" t="inlineStr">
        <is>
          <t>No Delay</t>
        </is>
      </c>
      <c r="N420" s="4">
        <f>IF(I420&lt;=H420,1,0)</f>
        <v/>
      </c>
      <c r="O420" s="4">
        <f>IF(J420&lt;=G420,1,0)</f>
        <v/>
      </c>
      <c r="P420" s="4">
        <f>MAX(0,I420-H420)</f>
        <v/>
      </c>
      <c r="Q420" s="4">
        <f>MAX(0,J420-G420)</f>
        <v/>
      </c>
      <c r="R420" s="4">
        <f>IF(AND(N420=1,O420=1),"On Track",IF(O420=0,"Customer Delivery Late","Ship Late"))</f>
        <v/>
      </c>
    </row>
    <row r="421">
      <c r="A421" s="2" t="inlineStr">
        <is>
          <t>ORD-00420</t>
        </is>
      </c>
      <c r="B421" s="2" t="inlineStr">
        <is>
          <t>Customer 24</t>
        </is>
      </c>
      <c r="C421" s="2" t="inlineStr">
        <is>
          <t>Relay</t>
        </is>
      </c>
      <c r="D421" s="2" t="inlineStr">
        <is>
          <t>Plant A</t>
        </is>
      </c>
      <c r="E421" s="2" t="inlineStr">
        <is>
          <t>South</t>
        </is>
      </c>
      <c r="F421" s="12" t="n">
        <v>46166</v>
      </c>
      <c r="G421" s="12" t="n">
        <v>46171</v>
      </c>
      <c r="H421" s="12" t="n">
        <v>46170</v>
      </c>
      <c r="I421" s="12" t="n">
        <v>46170</v>
      </c>
      <c r="J421" s="12" t="n">
        <v>46171</v>
      </c>
      <c r="K421" s="2" t="n">
        <v>1411</v>
      </c>
      <c r="L421" s="2" t="inlineStr">
        <is>
          <t>Air</t>
        </is>
      </c>
      <c r="M421" s="2" t="inlineStr">
        <is>
          <t>No Delay</t>
        </is>
      </c>
      <c r="N421" s="4">
        <f>IF(I421&lt;=H421,1,0)</f>
        <v/>
      </c>
      <c r="O421" s="4">
        <f>IF(J421&lt;=G421,1,0)</f>
        <v/>
      </c>
      <c r="P421" s="4">
        <f>MAX(0,I421-H421)</f>
        <v/>
      </c>
      <c r="Q421" s="4">
        <f>MAX(0,J421-G421)</f>
        <v/>
      </c>
      <c r="R421" s="4">
        <f>IF(AND(N421=1,O421=1),"On Track",IF(O421=0,"Customer Delivery Late","Ship Late"))</f>
        <v/>
      </c>
    </row>
    <row r="422">
      <c r="A422" s="2" t="inlineStr">
        <is>
          <t>ORD-00421</t>
        </is>
      </c>
      <c r="B422" s="2" t="inlineStr">
        <is>
          <t>Customer 29</t>
        </is>
      </c>
      <c r="C422" s="2" t="inlineStr">
        <is>
          <t>Power Supply</t>
        </is>
      </c>
      <c r="D422" s="2" t="inlineStr">
        <is>
          <t>Plant A</t>
        </is>
      </c>
      <c r="E422" s="2" t="inlineStr">
        <is>
          <t>South</t>
        </is>
      </c>
      <c r="F422" s="12" t="n">
        <v>46113</v>
      </c>
      <c r="G422" s="12" t="n">
        <v>46138</v>
      </c>
      <c r="H422" s="12" t="n">
        <v>46135</v>
      </c>
      <c r="I422" s="12" t="n">
        <v>46135</v>
      </c>
      <c r="J422" s="12" t="n">
        <v>46137</v>
      </c>
      <c r="K422" s="2" t="n">
        <v>471</v>
      </c>
      <c r="L422" s="2" t="inlineStr">
        <is>
          <t>Road</t>
        </is>
      </c>
      <c r="M422" s="2" t="inlineStr">
        <is>
          <t>No Delay</t>
        </is>
      </c>
      <c r="N422" s="4">
        <f>IF(I422&lt;=H422,1,0)</f>
        <v/>
      </c>
      <c r="O422" s="4">
        <f>IF(J422&lt;=G422,1,0)</f>
        <v/>
      </c>
      <c r="P422" s="4">
        <f>MAX(0,I422-H422)</f>
        <v/>
      </c>
      <c r="Q422" s="4">
        <f>MAX(0,J422-G422)</f>
        <v/>
      </c>
      <c r="R422" s="4">
        <f>IF(AND(N422=1,O422=1),"On Track",IF(O422=0,"Customer Delivery Late","Ship Late"))</f>
        <v/>
      </c>
    </row>
    <row r="423">
      <c r="A423" s="2" t="inlineStr">
        <is>
          <t>ORD-00422</t>
        </is>
      </c>
      <c r="B423" s="2" t="inlineStr">
        <is>
          <t>Customer 05</t>
        </is>
      </c>
      <c r="C423" s="2" t="inlineStr">
        <is>
          <t>Power Supply</t>
        </is>
      </c>
      <c r="D423" s="2" t="inlineStr">
        <is>
          <t>Plant B</t>
        </is>
      </c>
      <c r="E423" s="2" t="inlineStr">
        <is>
          <t>South</t>
        </is>
      </c>
      <c r="F423" s="12" t="n">
        <v>46110</v>
      </c>
      <c r="G423" s="12" t="n">
        <v>46127</v>
      </c>
      <c r="H423" s="12" t="n">
        <v>46125</v>
      </c>
      <c r="I423" s="12" t="n">
        <v>46124</v>
      </c>
      <c r="J423" s="12" t="n">
        <v>46126</v>
      </c>
      <c r="K423" s="2" t="n">
        <v>929</v>
      </c>
      <c r="L423" s="2" t="inlineStr">
        <is>
          <t>Sea</t>
        </is>
      </c>
      <c r="M423" s="2" t="inlineStr">
        <is>
          <t>No Delay</t>
        </is>
      </c>
      <c r="N423" s="4">
        <f>IF(I423&lt;=H423,1,0)</f>
        <v/>
      </c>
      <c r="O423" s="4">
        <f>IF(J423&lt;=G423,1,0)</f>
        <v/>
      </c>
      <c r="P423" s="4">
        <f>MAX(0,I423-H423)</f>
        <v/>
      </c>
      <c r="Q423" s="4">
        <f>MAX(0,J423-G423)</f>
        <v/>
      </c>
      <c r="R423" s="4">
        <f>IF(AND(N423=1,O423=1),"On Track",IF(O423=0,"Customer Delivery Late","Ship Late"))</f>
        <v/>
      </c>
    </row>
    <row r="424">
      <c r="A424" s="2" t="inlineStr">
        <is>
          <t>ORD-00423</t>
        </is>
      </c>
      <c r="B424" s="2" t="inlineStr">
        <is>
          <t>Customer 23</t>
        </is>
      </c>
      <c r="C424" s="2" t="inlineStr">
        <is>
          <t>Relay</t>
        </is>
      </c>
      <c r="D424" s="2" t="inlineStr">
        <is>
          <t>Plant B</t>
        </is>
      </c>
      <c r="E424" s="2" t="inlineStr">
        <is>
          <t>Central</t>
        </is>
      </c>
      <c r="F424" s="12" t="n">
        <v>46056</v>
      </c>
      <c r="G424" s="12" t="n">
        <v>46067</v>
      </c>
      <c r="H424" s="12" t="n">
        <v>46065</v>
      </c>
      <c r="I424" s="12" t="n">
        <v>46065</v>
      </c>
      <c r="J424" s="12" t="n">
        <v>46067</v>
      </c>
      <c r="K424" s="2" t="n">
        <v>1353</v>
      </c>
      <c r="L424" s="2" t="inlineStr">
        <is>
          <t>Sea</t>
        </is>
      </c>
      <c r="M424" s="2" t="inlineStr">
        <is>
          <t>No Delay</t>
        </is>
      </c>
      <c r="N424" s="4">
        <f>IF(I424&lt;=H424,1,0)</f>
        <v/>
      </c>
      <c r="O424" s="4">
        <f>IF(J424&lt;=G424,1,0)</f>
        <v/>
      </c>
      <c r="P424" s="4">
        <f>MAX(0,I424-H424)</f>
        <v/>
      </c>
      <c r="Q424" s="4">
        <f>MAX(0,J424-G424)</f>
        <v/>
      </c>
      <c r="R424" s="4">
        <f>IF(AND(N424=1,O424=1),"On Track",IF(O424=0,"Customer Delivery Late","Ship Late"))</f>
        <v/>
      </c>
    </row>
    <row r="425">
      <c r="A425" s="2" t="inlineStr">
        <is>
          <t>ORD-00424</t>
        </is>
      </c>
      <c r="B425" s="2" t="inlineStr">
        <is>
          <t>Customer 29</t>
        </is>
      </c>
      <c r="C425" s="2" t="inlineStr">
        <is>
          <t>Relay</t>
        </is>
      </c>
      <c r="D425" s="2" t="inlineStr">
        <is>
          <t>Plant C</t>
        </is>
      </c>
      <c r="E425" s="2" t="inlineStr">
        <is>
          <t>North</t>
        </is>
      </c>
      <c r="F425" s="12" t="n">
        <v>46063</v>
      </c>
      <c r="G425" s="12" t="n">
        <v>46078</v>
      </c>
      <c r="H425" s="12" t="n">
        <v>46077</v>
      </c>
      <c r="I425" s="12" t="n">
        <v>46077</v>
      </c>
      <c r="J425" s="12" t="n">
        <v>46078</v>
      </c>
      <c r="K425" s="2" t="n">
        <v>662</v>
      </c>
      <c r="L425" s="2" t="inlineStr">
        <is>
          <t>Air</t>
        </is>
      </c>
      <c r="M425" s="2" t="inlineStr">
        <is>
          <t>No Delay</t>
        </is>
      </c>
      <c r="N425" s="4">
        <f>IF(I425&lt;=H425,1,0)</f>
        <v/>
      </c>
      <c r="O425" s="4">
        <f>IF(J425&lt;=G425,1,0)</f>
        <v/>
      </c>
      <c r="P425" s="4">
        <f>MAX(0,I425-H425)</f>
        <v/>
      </c>
      <c r="Q425" s="4">
        <f>MAX(0,J425-G425)</f>
        <v/>
      </c>
      <c r="R425" s="4">
        <f>IF(AND(N425=1,O425=1),"On Track",IF(O425=0,"Customer Delivery Late","Ship Late"))</f>
        <v/>
      </c>
    </row>
    <row r="426">
      <c r="A426" s="2" t="inlineStr">
        <is>
          <t>ORD-00425</t>
        </is>
      </c>
      <c r="B426" s="2" t="inlineStr">
        <is>
          <t>Customer 04</t>
        </is>
      </c>
      <c r="C426" s="2" t="inlineStr">
        <is>
          <t>Relay</t>
        </is>
      </c>
      <c r="D426" s="2" t="inlineStr">
        <is>
          <t>Plant A</t>
        </is>
      </c>
      <c r="E426" s="2" t="inlineStr">
        <is>
          <t>North</t>
        </is>
      </c>
      <c r="F426" s="12" t="n">
        <v>46128</v>
      </c>
      <c r="G426" s="12" t="n">
        <v>46142</v>
      </c>
      <c r="H426" s="12" t="n">
        <v>46138</v>
      </c>
      <c r="I426" s="12" t="n">
        <v>46138</v>
      </c>
      <c r="J426" s="12" t="n">
        <v>46142</v>
      </c>
      <c r="K426" s="2" t="n">
        <v>1263</v>
      </c>
      <c r="L426" s="2" t="inlineStr">
        <is>
          <t>Sea</t>
        </is>
      </c>
      <c r="M426" s="2" t="inlineStr">
        <is>
          <t>No Delay</t>
        </is>
      </c>
      <c r="N426" s="4">
        <f>IF(I426&lt;=H426,1,0)</f>
        <v/>
      </c>
      <c r="O426" s="4">
        <f>IF(J426&lt;=G426,1,0)</f>
        <v/>
      </c>
      <c r="P426" s="4">
        <f>MAX(0,I426-H426)</f>
        <v/>
      </c>
      <c r="Q426" s="4">
        <f>MAX(0,J426-G426)</f>
        <v/>
      </c>
      <c r="R426" s="4">
        <f>IF(AND(N426=1,O426=1),"On Track",IF(O426=0,"Customer Delivery Late","Ship Late"))</f>
        <v/>
      </c>
    </row>
    <row r="427">
      <c r="A427" s="2" t="inlineStr">
        <is>
          <t>ORD-00426</t>
        </is>
      </c>
      <c r="B427" s="2" t="inlineStr">
        <is>
          <t>Customer 12</t>
        </is>
      </c>
      <c r="C427" s="2" t="inlineStr">
        <is>
          <t>Contactor</t>
        </is>
      </c>
      <c r="D427" s="2" t="inlineStr">
        <is>
          <t>Plant C</t>
        </is>
      </c>
      <c r="E427" s="2" t="inlineStr">
        <is>
          <t>Export</t>
        </is>
      </c>
      <c r="F427" s="12" t="n">
        <v>46091</v>
      </c>
      <c r="G427" s="12" t="n">
        <v>46115</v>
      </c>
      <c r="H427" s="12" t="n">
        <v>46110</v>
      </c>
      <c r="I427" s="12" t="n">
        <v>46110</v>
      </c>
      <c r="J427" s="12" t="n">
        <v>46115</v>
      </c>
      <c r="K427" s="2" t="n">
        <v>284</v>
      </c>
      <c r="L427" s="2" t="inlineStr">
        <is>
          <t>Sea</t>
        </is>
      </c>
      <c r="M427" s="2" t="inlineStr">
        <is>
          <t>No Delay</t>
        </is>
      </c>
      <c r="N427" s="4">
        <f>IF(I427&lt;=H427,1,0)</f>
        <v/>
      </c>
      <c r="O427" s="4">
        <f>IF(J427&lt;=G427,1,0)</f>
        <v/>
      </c>
      <c r="P427" s="4">
        <f>MAX(0,I427-H427)</f>
        <v/>
      </c>
      <c r="Q427" s="4">
        <f>MAX(0,J427-G427)</f>
        <v/>
      </c>
      <c r="R427" s="4">
        <f>IF(AND(N427=1,O427=1),"On Track",IF(O427=0,"Customer Delivery Late","Ship Late"))</f>
        <v/>
      </c>
    </row>
    <row r="428">
      <c r="A428" s="2" t="inlineStr">
        <is>
          <t>ORD-00427</t>
        </is>
      </c>
      <c r="B428" s="2" t="inlineStr">
        <is>
          <t>Customer 07</t>
        </is>
      </c>
      <c r="C428" s="2" t="inlineStr">
        <is>
          <t>PLC</t>
        </is>
      </c>
      <c r="D428" s="2" t="inlineStr">
        <is>
          <t>Plant A</t>
        </is>
      </c>
      <c r="E428" s="2" t="inlineStr">
        <is>
          <t>Export</t>
        </is>
      </c>
      <c r="F428" s="12" t="n">
        <v>46177</v>
      </c>
      <c r="G428" s="12" t="n">
        <v>46197</v>
      </c>
      <c r="H428" s="12" t="n">
        <v>46194</v>
      </c>
      <c r="I428" s="12" t="n">
        <v>46193</v>
      </c>
      <c r="J428" s="12" t="n">
        <v>46196</v>
      </c>
      <c r="K428" s="2" t="n">
        <v>40</v>
      </c>
      <c r="L428" s="2" t="inlineStr">
        <is>
          <t>Air</t>
        </is>
      </c>
      <c r="M428" s="2" t="inlineStr">
        <is>
          <t>No Delay</t>
        </is>
      </c>
      <c r="N428" s="4">
        <f>IF(I428&lt;=H428,1,0)</f>
        <v/>
      </c>
      <c r="O428" s="4">
        <f>IF(J428&lt;=G428,1,0)</f>
        <v/>
      </c>
      <c r="P428" s="4">
        <f>MAX(0,I428-H428)</f>
        <v/>
      </c>
      <c r="Q428" s="4">
        <f>MAX(0,J428-G428)</f>
        <v/>
      </c>
      <c r="R428" s="4">
        <f>IF(AND(N428=1,O428=1),"On Track",IF(O428=0,"Customer Delivery Late","Ship Late"))</f>
        <v/>
      </c>
    </row>
    <row r="429">
      <c r="A429" s="2" t="inlineStr">
        <is>
          <t>ORD-00428</t>
        </is>
      </c>
      <c r="B429" s="2" t="inlineStr">
        <is>
          <t>Customer 16</t>
        </is>
      </c>
      <c r="C429" s="2" t="inlineStr">
        <is>
          <t>Drive</t>
        </is>
      </c>
      <c r="D429" s="2" t="inlineStr">
        <is>
          <t>Plant B</t>
        </is>
      </c>
      <c r="E429" s="2" t="inlineStr">
        <is>
          <t>Central</t>
        </is>
      </c>
      <c r="F429" s="12" t="n">
        <v>46128</v>
      </c>
      <c r="G429" s="12" t="n">
        <v>46140</v>
      </c>
      <c r="H429" s="12" t="n">
        <v>46138</v>
      </c>
      <c r="I429" s="12" t="n">
        <v>46136</v>
      </c>
      <c r="J429" s="12" t="n">
        <v>46138</v>
      </c>
      <c r="K429" s="2" t="n">
        <v>885</v>
      </c>
      <c r="L429" s="2" t="inlineStr">
        <is>
          <t>Air</t>
        </is>
      </c>
      <c r="M429" s="2" t="inlineStr">
        <is>
          <t>No Delay</t>
        </is>
      </c>
      <c r="N429" s="4">
        <f>IF(I429&lt;=H429,1,0)</f>
        <v/>
      </c>
      <c r="O429" s="4">
        <f>IF(J429&lt;=G429,1,0)</f>
        <v/>
      </c>
      <c r="P429" s="4">
        <f>MAX(0,I429-H429)</f>
        <v/>
      </c>
      <c r="Q429" s="4">
        <f>MAX(0,J429-G429)</f>
        <v/>
      </c>
      <c r="R429" s="4">
        <f>IF(AND(N429=1,O429=1),"On Track",IF(O429=0,"Customer Delivery Late","Ship Late"))</f>
        <v/>
      </c>
    </row>
    <row r="430">
      <c r="A430" s="2" t="inlineStr">
        <is>
          <t>ORD-00429</t>
        </is>
      </c>
      <c r="B430" s="2" t="inlineStr">
        <is>
          <t>Customer 15</t>
        </is>
      </c>
      <c r="C430" s="2" t="inlineStr">
        <is>
          <t>Breaker</t>
        </is>
      </c>
      <c r="D430" s="2" t="inlineStr">
        <is>
          <t>Plant A</t>
        </is>
      </c>
      <c r="E430" s="2" t="inlineStr">
        <is>
          <t>Export</t>
        </is>
      </c>
      <c r="F430" s="12" t="n">
        <v>46033</v>
      </c>
      <c r="G430" s="12" t="n">
        <v>46057</v>
      </c>
      <c r="H430" s="12" t="n">
        <v>46053</v>
      </c>
      <c r="I430" s="12" t="n">
        <v>46052</v>
      </c>
      <c r="J430" s="12" t="n">
        <v>46057</v>
      </c>
      <c r="K430" s="2" t="n">
        <v>90</v>
      </c>
      <c r="L430" s="2" t="inlineStr">
        <is>
          <t>Sea</t>
        </is>
      </c>
      <c r="M430" s="2" t="inlineStr">
        <is>
          <t>No Delay</t>
        </is>
      </c>
      <c r="N430" s="4">
        <f>IF(I430&lt;=H430,1,0)</f>
        <v/>
      </c>
      <c r="O430" s="4">
        <f>IF(J430&lt;=G430,1,0)</f>
        <v/>
      </c>
      <c r="P430" s="4">
        <f>MAX(0,I430-H430)</f>
        <v/>
      </c>
      <c r="Q430" s="4">
        <f>MAX(0,J430-G430)</f>
        <v/>
      </c>
      <c r="R430" s="4">
        <f>IF(AND(N430=1,O430=1),"On Track",IF(O430=0,"Customer Delivery Late","Ship Late"))</f>
        <v/>
      </c>
    </row>
    <row r="431">
      <c r="A431" s="2" t="inlineStr">
        <is>
          <t>ORD-00430</t>
        </is>
      </c>
      <c r="B431" s="2" t="inlineStr">
        <is>
          <t>Customer 10</t>
        </is>
      </c>
      <c r="C431" s="2" t="inlineStr">
        <is>
          <t>Switchgear</t>
        </is>
      </c>
      <c r="D431" s="2" t="inlineStr">
        <is>
          <t>Plant A</t>
        </is>
      </c>
      <c r="E431" s="2" t="inlineStr">
        <is>
          <t>Export</t>
        </is>
      </c>
      <c r="F431" s="12" t="n">
        <v>46122</v>
      </c>
      <c r="G431" s="12" t="n">
        <v>46143</v>
      </c>
      <c r="H431" s="12" t="n">
        <v>46142</v>
      </c>
      <c r="I431" s="12" t="n">
        <v>46141</v>
      </c>
      <c r="J431" s="12" t="n">
        <v>46142</v>
      </c>
      <c r="K431" s="2" t="n">
        <v>612</v>
      </c>
      <c r="L431" s="2" t="inlineStr">
        <is>
          <t>Sea</t>
        </is>
      </c>
      <c r="M431" s="2" t="inlineStr">
        <is>
          <t>No Delay</t>
        </is>
      </c>
      <c r="N431" s="4">
        <f>IF(I431&lt;=H431,1,0)</f>
        <v/>
      </c>
      <c r="O431" s="4">
        <f>IF(J431&lt;=G431,1,0)</f>
        <v/>
      </c>
      <c r="P431" s="4">
        <f>MAX(0,I431-H431)</f>
        <v/>
      </c>
      <c r="Q431" s="4">
        <f>MAX(0,J431-G431)</f>
        <v/>
      </c>
      <c r="R431" s="4">
        <f>IF(AND(N431=1,O431=1),"On Track",IF(O431=0,"Customer Delivery Late","Ship Late"))</f>
        <v/>
      </c>
    </row>
    <row r="432">
      <c r="A432" s="2" t="inlineStr">
        <is>
          <t>ORD-00431</t>
        </is>
      </c>
      <c r="B432" s="2" t="inlineStr">
        <is>
          <t>Customer 04</t>
        </is>
      </c>
      <c r="C432" s="2" t="inlineStr">
        <is>
          <t>Relay</t>
        </is>
      </c>
      <c r="D432" s="2" t="inlineStr">
        <is>
          <t>Plant C</t>
        </is>
      </c>
      <c r="E432" s="2" t="inlineStr">
        <is>
          <t>Central</t>
        </is>
      </c>
      <c r="F432" s="12" t="n">
        <v>46036</v>
      </c>
      <c r="G432" s="12" t="n">
        <v>46057</v>
      </c>
      <c r="H432" s="12" t="n">
        <v>46055</v>
      </c>
      <c r="I432" s="12" t="n">
        <v>46055</v>
      </c>
      <c r="J432" s="12" t="n">
        <v>46056</v>
      </c>
      <c r="K432" s="2" t="n">
        <v>815</v>
      </c>
      <c r="L432" s="2" t="inlineStr">
        <is>
          <t>Air</t>
        </is>
      </c>
      <c r="M432" s="2" t="inlineStr">
        <is>
          <t>No Delay</t>
        </is>
      </c>
      <c r="N432" s="4">
        <f>IF(I432&lt;=H432,1,0)</f>
        <v/>
      </c>
      <c r="O432" s="4">
        <f>IF(J432&lt;=G432,1,0)</f>
        <v/>
      </c>
      <c r="P432" s="4">
        <f>MAX(0,I432-H432)</f>
        <v/>
      </c>
      <c r="Q432" s="4">
        <f>MAX(0,J432-G432)</f>
        <v/>
      </c>
      <c r="R432" s="4">
        <f>IF(AND(N432=1,O432=1),"On Track",IF(O432=0,"Customer Delivery Late","Ship Late"))</f>
        <v/>
      </c>
    </row>
    <row r="433">
      <c r="A433" s="2" t="inlineStr">
        <is>
          <t>ORD-00432</t>
        </is>
      </c>
      <c r="B433" s="2" t="inlineStr">
        <is>
          <t>Customer 11</t>
        </is>
      </c>
      <c r="C433" s="2" t="inlineStr">
        <is>
          <t>Relay</t>
        </is>
      </c>
      <c r="D433" s="2" t="inlineStr">
        <is>
          <t>Plant C</t>
        </is>
      </c>
      <c r="E433" s="2" t="inlineStr">
        <is>
          <t>North</t>
        </is>
      </c>
      <c r="F433" s="12" t="n">
        <v>46105</v>
      </c>
      <c r="G433" s="12" t="n">
        <v>46124</v>
      </c>
      <c r="H433" s="12" t="n">
        <v>46123</v>
      </c>
      <c r="I433" s="12" t="n">
        <v>46123</v>
      </c>
      <c r="J433" s="12" t="n">
        <v>46124</v>
      </c>
      <c r="K433" s="2" t="n">
        <v>196</v>
      </c>
      <c r="L433" s="2" t="inlineStr">
        <is>
          <t>Road</t>
        </is>
      </c>
      <c r="M433" s="2" t="inlineStr">
        <is>
          <t>No Delay</t>
        </is>
      </c>
      <c r="N433" s="4">
        <f>IF(I433&lt;=H433,1,0)</f>
        <v/>
      </c>
      <c r="O433" s="4">
        <f>IF(J433&lt;=G433,1,0)</f>
        <v/>
      </c>
      <c r="P433" s="4">
        <f>MAX(0,I433-H433)</f>
        <v/>
      </c>
      <c r="Q433" s="4">
        <f>MAX(0,J433-G433)</f>
        <v/>
      </c>
      <c r="R433" s="4">
        <f>IF(AND(N433=1,O433=1),"On Track",IF(O433=0,"Customer Delivery Late","Ship Late"))</f>
        <v/>
      </c>
    </row>
    <row r="434">
      <c r="A434" s="2" t="inlineStr">
        <is>
          <t>ORD-00433</t>
        </is>
      </c>
      <c r="B434" s="2" t="inlineStr">
        <is>
          <t>Customer 13</t>
        </is>
      </c>
      <c r="C434" s="2" t="inlineStr">
        <is>
          <t>Power Supply</t>
        </is>
      </c>
      <c r="D434" s="2" t="inlineStr">
        <is>
          <t>Plant A</t>
        </is>
      </c>
      <c r="E434" s="2" t="inlineStr">
        <is>
          <t>Central</t>
        </is>
      </c>
      <c r="F434" s="12" t="n">
        <v>46203</v>
      </c>
      <c r="G434" s="12" t="n">
        <v>46222</v>
      </c>
      <c r="H434" s="12" t="n">
        <v>46219</v>
      </c>
      <c r="I434" s="12" t="n">
        <v>46219</v>
      </c>
      <c r="J434" s="12" t="n">
        <v>46223</v>
      </c>
      <c r="K434" s="2" t="n">
        <v>696</v>
      </c>
      <c r="L434" s="2" t="inlineStr">
        <is>
          <t>Sea</t>
        </is>
      </c>
      <c r="M434" s="2" t="inlineStr">
        <is>
          <t>Production Delay</t>
        </is>
      </c>
      <c r="N434" s="4">
        <f>IF(I434&lt;=H434,1,0)</f>
        <v/>
      </c>
      <c r="O434" s="4">
        <f>IF(J434&lt;=G434,1,0)</f>
        <v/>
      </c>
      <c r="P434" s="4">
        <f>MAX(0,I434-H434)</f>
        <v/>
      </c>
      <c r="Q434" s="4">
        <f>MAX(0,J434-G434)</f>
        <v/>
      </c>
      <c r="R434" s="4">
        <f>IF(AND(N434=1,O434=1),"On Track",IF(O434=0,"Customer Delivery Late","Ship Late"))</f>
        <v/>
      </c>
    </row>
    <row r="435">
      <c r="A435" s="2" t="inlineStr">
        <is>
          <t>ORD-00434</t>
        </is>
      </c>
      <c r="B435" s="2" t="inlineStr">
        <is>
          <t>Customer 24</t>
        </is>
      </c>
      <c r="C435" s="2" t="inlineStr">
        <is>
          <t>Switchgear</t>
        </is>
      </c>
      <c r="D435" s="2" t="inlineStr">
        <is>
          <t>Plant B</t>
        </is>
      </c>
      <c r="E435" s="2" t="inlineStr">
        <is>
          <t>Central</t>
        </is>
      </c>
      <c r="F435" s="12" t="n">
        <v>46191</v>
      </c>
      <c r="G435" s="12" t="n">
        <v>46200</v>
      </c>
      <c r="H435" s="12" t="n">
        <v>46198</v>
      </c>
      <c r="I435" s="12" t="n">
        <v>46196</v>
      </c>
      <c r="J435" s="12" t="n">
        <v>46198</v>
      </c>
      <c r="K435" s="2" t="n">
        <v>250</v>
      </c>
      <c r="L435" s="2" t="inlineStr">
        <is>
          <t>Road</t>
        </is>
      </c>
      <c r="M435" s="2" t="inlineStr">
        <is>
          <t>No Delay</t>
        </is>
      </c>
      <c r="N435" s="4">
        <f>IF(I435&lt;=H435,1,0)</f>
        <v/>
      </c>
      <c r="O435" s="4">
        <f>IF(J435&lt;=G435,1,0)</f>
        <v/>
      </c>
      <c r="P435" s="4">
        <f>MAX(0,I435-H435)</f>
        <v/>
      </c>
      <c r="Q435" s="4">
        <f>MAX(0,J435-G435)</f>
        <v/>
      </c>
      <c r="R435" s="4">
        <f>IF(AND(N435=1,O435=1),"On Track",IF(O435=0,"Customer Delivery Late","Ship Late"))</f>
        <v/>
      </c>
    </row>
    <row r="436">
      <c r="A436" s="2" t="inlineStr">
        <is>
          <t>ORD-00435</t>
        </is>
      </c>
      <c r="B436" s="2" t="inlineStr">
        <is>
          <t>Customer 18</t>
        </is>
      </c>
      <c r="C436" s="2" t="inlineStr">
        <is>
          <t>Breaker</t>
        </is>
      </c>
      <c r="D436" s="2" t="inlineStr">
        <is>
          <t>Plant C</t>
        </is>
      </c>
      <c r="E436" s="2" t="inlineStr">
        <is>
          <t>Export</t>
        </is>
      </c>
      <c r="F436" s="12" t="n">
        <v>46074</v>
      </c>
      <c r="G436" s="12" t="n">
        <v>46079</v>
      </c>
      <c r="H436" s="12" t="n">
        <v>46074</v>
      </c>
      <c r="I436" s="12" t="n">
        <v>46072</v>
      </c>
      <c r="J436" s="12" t="n">
        <v>46077</v>
      </c>
      <c r="K436" s="2" t="n">
        <v>497</v>
      </c>
      <c r="L436" s="2" t="inlineStr">
        <is>
          <t>Road</t>
        </is>
      </c>
      <c r="M436" s="2" t="inlineStr">
        <is>
          <t>No Delay</t>
        </is>
      </c>
      <c r="N436" s="4">
        <f>IF(I436&lt;=H436,1,0)</f>
        <v/>
      </c>
      <c r="O436" s="4">
        <f>IF(J436&lt;=G436,1,0)</f>
        <v/>
      </c>
      <c r="P436" s="4">
        <f>MAX(0,I436-H436)</f>
        <v/>
      </c>
      <c r="Q436" s="4">
        <f>MAX(0,J436-G436)</f>
        <v/>
      </c>
      <c r="R436" s="4">
        <f>IF(AND(N436=1,O436=1),"On Track",IF(O436=0,"Customer Delivery Late","Ship Late"))</f>
        <v/>
      </c>
    </row>
    <row r="437">
      <c r="A437" s="2" t="inlineStr">
        <is>
          <t>ORD-00436</t>
        </is>
      </c>
      <c r="B437" s="2" t="inlineStr">
        <is>
          <t>Customer 09</t>
        </is>
      </c>
      <c r="C437" s="2" t="inlineStr">
        <is>
          <t>PLC</t>
        </is>
      </c>
      <c r="D437" s="2" t="inlineStr">
        <is>
          <t>Plant A</t>
        </is>
      </c>
      <c r="E437" s="2" t="inlineStr">
        <is>
          <t>Central</t>
        </is>
      </c>
      <c r="F437" s="12" t="n">
        <v>46173</v>
      </c>
      <c r="G437" s="12" t="n">
        <v>46193</v>
      </c>
      <c r="H437" s="12" t="n">
        <v>46189</v>
      </c>
      <c r="I437" s="12" t="n">
        <v>46187</v>
      </c>
      <c r="J437" s="12" t="n">
        <v>46191</v>
      </c>
      <c r="K437" s="2" t="n">
        <v>313</v>
      </c>
      <c r="L437" s="2" t="inlineStr">
        <is>
          <t>Road</t>
        </is>
      </c>
      <c r="M437" s="2" t="inlineStr">
        <is>
          <t>No Delay</t>
        </is>
      </c>
      <c r="N437" s="4">
        <f>IF(I437&lt;=H437,1,0)</f>
        <v/>
      </c>
      <c r="O437" s="4">
        <f>IF(J437&lt;=G437,1,0)</f>
        <v/>
      </c>
      <c r="P437" s="4">
        <f>MAX(0,I437-H437)</f>
        <v/>
      </c>
      <c r="Q437" s="4">
        <f>MAX(0,J437-G437)</f>
        <v/>
      </c>
      <c r="R437" s="4">
        <f>IF(AND(N437=1,O437=1),"On Track",IF(O437=0,"Customer Delivery Late","Ship Late"))</f>
        <v/>
      </c>
    </row>
    <row r="438">
      <c r="A438" s="2" t="inlineStr">
        <is>
          <t>ORD-00437</t>
        </is>
      </c>
      <c r="B438" s="2" t="inlineStr">
        <is>
          <t>Customer 02</t>
        </is>
      </c>
      <c r="C438" s="2" t="inlineStr">
        <is>
          <t>Contactor</t>
        </is>
      </c>
      <c r="D438" s="2" t="inlineStr">
        <is>
          <t>Plant B</t>
        </is>
      </c>
      <c r="E438" s="2" t="inlineStr">
        <is>
          <t>Central</t>
        </is>
      </c>
      <c r="F438" s="12" t="n">
        <v>46190</v>
      </c>
      <c r="G438" s="12" t="n">
        <v>46206</v>
      </c>
      <c r="H438" s="12" t="n">
        <v>46205</v>
      </c>
      <c r="I438" s="12" t="n">
        <v>46203</v>
      </c>
      <c r="J438" s="12" t="n">
        <v>46204</v>
      </c>
      <c r="K438" s="2" t="n">
        <v>340</v>
      </c>
      <c r="L438" s="2" t="inlineStr">
        <is>
          <t>Sea</t>
        </is>
      </c>
      <c r="M438" s="2" t="inlineStr">
        <is>
          <t>No Delay</t>
        </is>
      </c>
      <c r="N438" s="4">
        <f>IF(I438&lt;=H438,1,0)</f>
        <v/>
      </c>
      <c r="O438" s="4">
        <f>IF(J438&lt;=G438,1,0)</f>
        <v/>
      </c>
      <c r="P438" s="4">
        <f>MAX(0,I438-H438)</f>
        <v/>
      </c>
      <c r="Q438" s="4">
        <f>MAX(0,J438-G438)</f>
        <v/>
      </c>
      <c r="R438" s="4">
        <f>IF(AND(N438=1,O438=1),"On Track",IF(O438=0,"Customer Delivery Late","Ship Late"))</f>
        <v/>
      </c>
    </row>
    <row r="439">
      <c r="A439" s="2" t="inlineStr">
        <is>
          <t>ORD-00438</t>
        </is>
      </c>
      <c r="B439" s="2" t="inlineStr">
        <is>
          <t>Customer 12</t>
        </is>
      </c>
      <c r="C439" s="2" t="inlineStr">
        <is>
          <t>Breaker</t>
        </is>
      </c>
      <c r="D439" s="2" t="inlineStr">
        <is>
          <t>Plant A</t>
        </is>
      </c>
      <c r="E439" s="2" t="inlineStr">
        <is>
          <t>South</t>
        </is>
      </c>
      <c r="F439" s="12" t="n">
        <v>46095</v>
      </c>
      <c r="G439" s="12" t="n">
        <v>46119</v>
      </c>
      <c r="H439" s="12" t="n">
        <v>46114</v>
      </c>
      <c r="I439" s="12" t="n">
        <v>46114</v>
      </c>
      <c r="J439" s="12" t="n">
        <v>46119</v>
      </c>
      <c r="K439" s="2" t="n">
        <v>671</v>
      </c>
      <c r="L439" s="2" t="inlineStr">
        <is>
          <t>Air</t>
        </is>
      </c>
      <c r="M439" s="2" t="inlineStr">
        <is>
          <t>No Delay</t>
        </is>
      </c>
      <c r="N439" s="4">
        <f>IF(I439&lt;=H439,1,0)</f>
        <v/>
      </c>
      <c r="O439" s="4">
        <f>IF(J439&lt;=G439,1,0)</f>
        <v/>
      </c>
      <c r="P439" s="4">
        <f>MAX(0,I439-H439)</f>
        <v/>
      </c>
      <c r="Q439" s="4">
        <f>MAX(0,J439-G439)</f>
        <v/>
      </c>
      <c r="R439" s="4">
        <f>IF(AND(N439=1,O439=1),"On Track",IF(O439=0,"Customer Delivery Late","Ship Late"))</f>
        <v/>
      </c>
    </row>
    <row r="440">
      <c r="A440" s="2" t="inlineStr">
        <is>
          <t>ORD-00439</t>
        </is>
      </c>
      <c r="B440" s="2" t="inlineStr">
        <is>
          <t>Customer 23</t>
        </is>
      </c>
      <c r="C440" s="2" t="inlineStr">
        <is>
          <t>Sensor</t>
        </is>
      </c>
      <c r="D440" s="2" t="inlineStr">
        <is>
          <t>Plant B</t>
        </is>
      </c>
      <c r="E440" s="2" t="inlineStr">
        <is>
          <t>Export</t>
        </is>
      </c>
      <c r="F440" s="12" t="n">
        <v>46120</v>
      </c>
      <c r="G440" s="12" t="n">
        <v>46127</v>
      </c>
      <c r="H440" s="12" t="n">
        <v>46123</v>
      </c>
      <c r="I440" s="12" t="n">
        <v>46121</v>
      </c>
      <c r="J440" s="12" t="n">
        <v>46125</v>
      </c>
      <c r="K440" s="2" t="n">
        <v>1084</v>
      </c>
      <c r="L440" s="2" t="inlineStr">
        <is>
          <t>Road</t>
        </is>
      </c>
      <c r="M440" s="2" t="inlineStr">
        <is>
          <t>No Delay</t>
        </is>
      </c>
      <c r="N440" s="4">
        <f>IF(I440&lt;=H440,1,0)</f>
        <v/>
      </c>
      <c r="O440" s="4">
        <f>IF(J440&lt;=G440,1,0)</f>
        <v/>
      </c>
      <c r="P440" s="4">
        <f>MAX(0,I440-H440)</f>
        <v/>
      </c>
      <c r="Q440" s="4">
        <f>MAX(0,J440-G440)</f>
        <v/>
      </c>
      <c r="R440" s="4">
        <f>IF(AND(N440=1,O440=1),"On Track",IF(O440=0,"Customer Delivery Late","Ship Late"))</f>
        <v/>
      </c>
    </row>
    <row r="441">
      <c r="A441" s="2" t="inlineStr">
        <is>
          <t>ORD-00440</t>
        </is>
      </c>
      <c r="B441" s="2" t="inlineStr">
        <is>
          <t>Customer 20</t>
        </is>
      </c>
      <c r="C441" s="2" t="inlineStr">
        <is>
          <t>Sensor</t>
        </is>
      </c>
      <c r="D441" s="2" t="inlineStr">
        <is>
          <t>Plant B</t>
        </is>
      </c>
      <c r="E441" s="2" t="inlineStr">
        <is>
          <t>South</t>
        </is>
      </c>
      <c r="F441" s="12" t="n">
        <v>46201</v>
      </c>
      <c r="G441" s="12" t="n">
        <v>46212</v>
      </c>
      <c r="H441" s="12" t="n">
        <v>46207</v>
      </c>
      <c r="I441" s="12" t="n">
        <v>46207</v>
      </c>
      <c r="J441" s="12" t="n">
        <v>46212</v>
      </c>
      <c r="K441" s="2" t="n">
        <v>541</v>
      </c>
      <c r="L441" s="2" t="inlineStr">
        <is>
          <t>Sea</t>
        </is>
      </c>
      <c r="M441" s="2" t="inlineStr">
        <is>
          <t>No Delay</t>
        </is>
      </c>
      <c r="N441" s="4">
        <f>IF(I441&lt;=H441,1,0)</f>
        <v/>
      </c>
      <c r="O441" s="4">
        <f>IF(J441&lt;=G441,1,0)</f>
        <v/>
      </c>
      <c r="P441" s="4">
        <f>MAX(0,I441-H441)</f>
        <v/>
      </c>
      <c r="Q441" s="4">
        <f>MAX(0,J441-G441)</f>
        <v/>
      </c>
      <c r="R441" s="4">
        <f>IF(AND(N441=1,O441=1),"On Track",IF(O441=0,"Customer Delivery Late","Ship Late"))</f>
        <v/>
      </c>
    </row>
    <row r="442">
      <c r="A442" s="2" t="inlineStr">
        <is>
          <t>ORD-00441</t>
        </is>
      </c>
      <c r="B442" s="2" t="inlineStr">
        <is>
          <t>Customer 16</t>
        </is>
      </c>
      <c r="C442" s="2" t="inlineStr">
        <is>
          <t>Relay</t>
        </is>
      </c>
      <c r="D442" s="2" t="inlineStr">
        <is>
          <t>Plant C</t>
        </is>
      </c>
      <c r="E442" s="2" t="inlineStr">
        <is>
          <t>Central</t>
        </is>
      </c>
      <c r="F442" s="12" t="n">
        <v>46170</v>
      </c>
      <c r="G442" s="12" t="n">
        <v>46194</v>
      </c>
      <c r="H442" s="12" t="n">
        <v>46191</v>
      </c>
      <c r="I442" s="12" t="n">
        <v>46191</v>
      </c>
      <c r="J442" s="12" t="n">
        <v>46195</v>
      </c>
      <c r="K442" s="2" t="n">
        <v>1461</v>
      </c>
      <c r="L442" s="2" t="inlineStr">
        <is>
          <t>Air</t>
        </is>
      </c>
      <c r="M442" s="2" t="inlineStr">
        <is>
          <t>Documentation Issue</t>
        </is>
      </c>
      <c r="N442" s="4">
        <f>IF(I442&lt;=H442,1,0)</f>
        <v/>
      </c>
      <c r="O442" s="4">
        <f>IF(J442&lt;=G442,1,0)</f>
        <v/>
      </c>
      <c r="P442" s="4">
        <f>MAX(0,I442-H442)</f>
        <v/>
      </c>
      <c r="Q442" s="4">
        <f>MAX(0,J442-G442)</f>
        <v/>
      </c>
      <c r="R442" s="4">
        <f>IF(AND(N442=1,O442=1),"On Track",IF(O442=0,"Customer Delivery Late","Ship Late"))</f>
        <v/>
      </c>
    </row>
    <row r="443">
      <c r="A443" s="2" t="inlineStr">
        <is>
          <t>ORD-00442</t>
        </is>
      </c>
      <c r="B443" s="2" t="inlineStr">
        <is>
          <t>Customer 14</t>
        </is>
      </c>
      <c r="C443" s="2" t="inlineStr">
        <is>
          <t>Power Supply</t>
        </is>
      </c>
      <c r="D443" s="2" t="inlineStr">
        <is>
          <t>Plant A</t>
        </is>
      </c>
      <c r="E443" s="2" t="inlineStr">
        <is>
          <t>South</t>
        </is>
      </c>
      <c r="F443" s="12" t="n">
        <v>46072</v>
      </c>
      <c r="G443" s="12" t="n">
        <v>46077</v>
      </c>
      <c r="H443" s="12" t="n">
        <v>46076</v>
      </c>
      <c r="I443" s="12" t="n">
        <v>46076</v>
      </c>
      <c r="J443" s="12" t="n">
        <v>46077</v>
      </c>
      <c r="K443" s="2" t="n">
        <v>726</v>
      </c>
      <c r="L443" s="2" t="inlineStr">
        <is>
          <t>Sea</t>
        </is>
      </c>
      <c r="M443" s="2" t="inlineStr">
        <is>
          <t>No Delay</t>
        </is>
      </c>
      <c r="N443" s="4">
        <f>IF(I443&lt;=H443,1,0)</f>
        <v/>
      </c>
      <c r="O443" s="4">
        <f>IF(J443&lt;=G443,1,0)</f>
        <v/>
      </c>
      <c r="P443" s="4">
        <f>MAX(0,I443-H443)</f>
        <v/>
      </c>
      <c r="Q443" s="4">
        <f>MAX(0,J443-G443)</f>
        <v/>
      </c>
      <c r="R443" s="4">
        <f>IF(AND(N443=1,O443=1),"On Track",IF(O443=0,"Customer Delivery Late","Ship Late"))</f>
        <v/>
      </c>
    </row>
    <row r="444">
      <c r="A444" s="2" t="inlineStr">
        <is>
          <t>ORD-00443</t>
        </is>
      </c>
      <c r="B444" s="2" t="inlineStr">
        <is>
          <t>Customer 10</t>
        </is>
      </c>
      <c r="C444" s="2" t="inlineStr">
        <is>
          <t>Sensor</t>
        </is>
      </c>
      <c r="D444" s="2" t="inlineStr">
        <is>
          <t>Plant C</t>
        </is>
      </c>
      <c r="E444" s="2" t="inlineStr">
        <is>
          <t>South</t>
        </is>
      </c>
      <c r="F444" s="12" t="n">
        <v>46186</v>
      </c>
      <c r="G444" s="12" t="n">
        <v>46197</v>
      </c>
      <c r="H444" s="12" t="n">
        <v>46196</v>
      </c>
      <c r="I444" s="12" t="n">
        <v>46196</v>
      </c>
      <c r="J444" s="12" t="n">
        <v>46197</v>
      </c>
      <c r="K444" s="2" t="n">
        <v>22</v>
      </c>
      <c r="L444" s="2" t="inlineStr">
        <is>
          <t>Road</t>
        </is>
      </c>
      <c r="M444" s="2" t="inlineStr">
        <is>
          <t>No Delay</t>
        </is>
      </c>
      <c r="N444" s="4">
        <f>IF(I444&lt;=H444,1,0)</f>
        <v/>
      </c>
      <c r="O444" s="4">
        <f>IF(J444&lt;=G444,1,0)</f>
        <v/>
      </c>
      <c r="P444" s="4">
        <f>MAX(0,I444-H444)</f>
        <v/>
      </c>
      <c r="Q444" s="4">
        <f>MAX(0,J444-G444)</f>
        <v/>
      </c>
      <c r="R444" s="4">
        <f>IF(AND(N444=1,O444=1),"On Track",IF(O444=0,"Customer Delivery Late","Ship Late"))</f>
        <v/>
      </c>
    </row>
    <row r="445">
      <c r="A445" s="2" t="inlineStr">
        <is>
          <t>ORD-00444</t>
        </is>
      </c>
      <c r="B445" s="2" t="inlineStr">
        <is>
          <t>Customer 27</t>
        </is>
      </c>
      <c r="C445" s="2" t="inlineStr">
        <is>
          <t>Drive</t>
        </is>
      </c>
      <c r="D445" s="2" t="inlineStr">
        <is>
          <t>Plant C</t>
        </is>
      </c>
      <c r="E445" s="2" t="inlineStr">
        <is>
          <t>Export</t>
        </is>
      </c>
      <c r="F445" s="12" t="n">
        <v>46198</v>
      </c>
      <c r="G445" s="12" t="n">
        <v>46213</v>
      </c>
      <c r="H445" s="12" t="n">
        <v>46210</v>
      </c>
      <c r="I445" s="12" t="n">
        <v>46210</v>
      </c>
      <c r="J445" s="12" t="n">
        <v>46213</v>
      </c>
      <c r="K445" s="2" t="n">
        <v>981</v>
      </c>
      <c r="L445" s="2" t="inlineStr">
        <is>
          <t>Road</t>
        </is>
      </c>
      <c r="M445" s="2" t="inlineStr">
        <is>
          <t>No Delay</t>
        </is>
      </c>
      <c r="N445" s="4">
        <f>IF(I445&lt;=H445,1,0)</f>
        <v/>
      </c>
      <c r="O445" s="4">
        <f>IF(J445&lt;=G445,1,0)</f>
        <v/>
      </c>
      <c r="P445" s="4">
        <f>MAX(0,I445-H445)</f>
        <v/>
      </c>
      <c r="Q445" s="4">
        <f>MAX(0,J445-G445)</f>
        <v/>
      </c>
      <c r="R445" s="4">
        <f>IF(AND(N445=1,O445=1),"On Track",IF(O445=0,"Customer Delivery Late","Ship Late"))</f>
        <v/>
      </c>
    </row>
    <row r="446">
      <c r="A446" s="2" t="inlineStr">
        <is>
          <t>ORD-00445</t>
        </is>
      </c>
      <c r="B446" s="2" t="inlineStr">
        <is>
          <t>Customer 14</t>
        </is>
      </c>
      <c r="C446" s="2" t="inlineStr">
        <is>
          <t>Breaker</t>
        </is>
      </c>
      <c r="D446" s="2" t="inlineStr">
        <is>
          <t>Plant C</t>
        </is>
      </c>
      <c r="E446" s="2" t="inlineStr">
        <is>
          <t>South</t>
        </is>
      </c>
      <c r="F446" s="12" t="n">
        <v>46188</v>
      </c>
      <c r="G446" s="12" t="n">
        <v>46197</v>
      </c>
      <c r="H446" s="12" t="n">
        <v>46193</v>
      </c>
      <c r="I446" s="12" t="n">
        <v>46192</v>
      </c>
      <c r="J446" s="12" t="n">
        <v>46196</v>
      </c>
      <c r="K446" s="2" t="n">
        <v>1167</v>
      </c>
      <c r="L446" s="2" t="inlineStr">
        <is>
          <t>Sea</t>
        </is>
      </c>
      <c r="M446" s="2" t="inlineStr">
        <is>
          <t>No Delay</t>
        </is>
      </c>
      <c r="N446" s="4">
        <f>IF(I446&lt;=H446,1,0)</f>
        <v/>
      </c>
      <c r="O446" s="4">
        <f>IF(J446&lt;=G446,1,0)</f>
        <v/>
      </c>
      <c r="P446" s="4">
        <f>MAX(0,I446-H446)</f>
        <v/>
      </c>
      <c r="Q446" s="4">
        <f>MAX(0,J446-G446)</f>
        <v/>
      </c>
      <c r="R446" s="4">
        <f>IF(AND(N446=1,O446=1),"On Track",IF(O446=0,"Customer Delivery Late","Ship Late"))</f>
        <v/>
      </c>
    </row>
    <row r="447">
      <c r="A447" s="2" t="inlineStr">
        <is>
          <t>ORD-00446</t>
        </is>
      </c>
      <c r="B447" s="2" t="inlineStr">
        <is>
          <t>Customer 05</t>
        </is>
      </c>
      <c r="C447" s="2" t="inlineStr">
        <is>
          <t>Sensor</t>
        </is>
      </c>
      <c r="D447" s="2" t="inlineStr">
        <is>
          <t>Plant A</t>
        </is>
      </c>
      <c r="E447" s="2" t="inlineStr">
        <is>
          <t>South</t>
        </is>
      </c>
      <c r="F447" s="12" t="n">
        <v>46196</v>
      </c>
      <c r="G447" s="12" t="n">
        <v>46211</v>
      </c>
      <c r="H447" s="12" t="n">
        <v>46206</v>
      </c>
      <c r="I447" s="12" t="n">
        <v>46204</v>
      </c>
      <c r="J447" s="12" t="n">
        <v>46209</v>
      </c>
      <c r="K447" s="2" t="n">
        <v>778</v>
      </c>
      <c r="L447" s="2" t="inlineStr">
        <is>
          <t>Sea</t>
        </is>
      </c>
      <c r="M447" s="2" t="inlineStr">
        <is>
          <t>No Delay</t>
        </is>
      </c>
      <c r="N447" s="4">
        <f>IF(I447&lt;=H447,1,0)</f>
        <v/>
      </c>
      <c r="O447" s="4">
        <f>IF(J447&lt;=G447,1,0)</f>
        <v/>
      </c>
      <c r="P447" s="4">
        <f>MAX(0,I447-H447)</f>
        <v/>
      </c>
      <c r="Q447" s="4">
        <f>MAX(0,J447-G447)</f>
        <v/>
      </c>
      <c r="R447" s="4">
        <f>IF(AND(N447=1,O447=1),"On Track",IF(O447=0,"Customer Delivery Late","Ship Late"))</f>
        <v/>
      </c>
    </row>
    <row r="448">
      <c r="A448" s="2" t="inlineStr">
        <is>
          <t>ORD-00447</t>
        </is>
      </c>
      <c r="B448" s="2" t="inlineStr">
        <is>
          <t>Customer 11</t>
        </is>
      </c>
      <c r="C448" s="2" t="inlineStr">
        <is>
          <t>Breaker</t>
        </is>
      </c>
      <c r="D448" s="2" t="inlineStr">
        <is>
          <t>Plant B</t>
        </is>
      </c>
      <c r="E448" s="2" t="inlineStr">
        <is>
          <t>Export</t>
        </is>
      </c>
      <c r="F448" s="12" t="n">
        <v>46159</v>
      </c>
      <c r="G448" s="12" t="n">
        <v>46169</v>
      </c>
      <c r="H448" s="12" t="n">
        <v>46164</v>
      </c>
      <c r="I448" s="12" t="n">
        <v>46162</v>
      </c>
      <c r="J448" s="12" t="n">
        <v>46167</v>
      </c>
      <c r="K448" s="2" t="n">
        <v>187</v>
      </c>
      <c r="L448" s="2" t="inlineStr">
        <is>
          <t>Air</t>
        </is>
      </c>
      <c r="M448" s="2" t="inlineStr">
        <is>
          <t>No Delay</t>
        </is>
      </c>
      <c r="N448" s="4">
        <f>IF(I448&lt;=H448,1,0)</f>
        <v/>
      </c>
      <c r="O448" s="4">
        <f>IF(J448&lt;=G448,1,0)</f>
        <v/>
      </c>
      <c r="P448" s="4">
        <f>MAX(0,I448-H448)</f>
        <v/>
      </c>
      <c r="Q448" s="4">
        <f>MAX(0,J448-G448)</f>
        <v/>
      </c>
      <c r="R448" s="4">
        <f>IF(AND(N448=1,O448=1),"On Track",IF(O448=0,"Customer Delivery Late","Ship Late"))</f>
        <v/>
      </c>
    </row>
    <row r="449">
      <c r="A449" s="2" t="inlineStr">
        <is>
          <t>ORD-00448</t>
        </is>
      </c>
      <c r="B449" s="2" t="inlineStr">
        <is>
          <t>Customer 04</t>
        </is>
      </c>
      <c r="C449" s="2" t="inlineStr">
        <is>
          <t>Drive</t>
        </is>
      </c>
      <c r="D449" s="2" t="inlineStr">
        <is>
          <t>Plant A</t>
        </is>
      </c>
      <c r="E449" s="2" t="inlineStr">
        <is>
          <t>Central</t>
        </is>
      </c>
      <c r="F449" s="12" t="n">
        <v>46083</v>
      </c>
      <c r="G449" s="12" t="n">
        <v>46099</v>
      </c>
      <c r="H449" s="12" t="n">
        <v>46095</v>
      </c>
      <c r="I449" s="12" t="n">
        <v>46094</v>
      </c>
      <c r="J449" s="12" t="n">
        <v>46099</v>
      </c>
      <c r="K449" s="2" t="n">
        <v>199</v>
      </c>
      <c r="L449" s="2" t="inlineStr">
        <is>
          <t>Air</t>
        </is>
      </c>
      <c r="M449" s="2" t="inlineStr">
        <is>
          <t>No Delay</t>
        </is>
      </c>
      <c r="N449" s="4">
        <f>IF(I449&lt;=H449,1,0)</f>
        <v/>
      </c>
      <c r="O449" s="4">
        <f>IF(J449&lt;=G449,1,0)</f>
        <v/>
      </c>
      <c r="P449" s="4">
        <f>MAX(0,I449-H449)</f>
        <v/>
      </c>
      <c r="Q449" s="4">
        <f>MAX(0,J449-G449)</f>
        <v/>
      </c>
      <c r="R449" s="4">
        <f>IF(AND(N449=1,O449=1),"On Track",IF(O449=0,"Customer Delivery Late","Ship Late"))</f>
        <v/>
      </c>
    </row>
    <row r="450">
      <c r="A450" s="2" t="inlineStr">
        <is>
          <t>ORD-00449</t>
        </is>
      </c>
      <c r="B450" s="2" t="inlineStr">
        <is>
          <t>Customer 24</t>
        </is>
      </c>
      <c r="C450" s="2" t="inlineStr">
        <is>
          <t>Sensor</t>
        </is>
      </c>
      <c r="D450" s="2" t="inlineStr">
        <is>
          <t>Plant B</t>
        </is>
      </c>
      <c r="E450" s="2" t="inlineStr">
        <is>
          <t>Central</t>
        </is>
      </c>
      <c r="F450" s="12" t="n">
        <v>46152</v>
      </c>
      <c r="G450" s="12" t="n">
        <v>46157</v>
      </c>
      <c r="H450" s="12" t="n">
        <v>46153</v>
      </c>
      <c r="I450" s="12" t="n">
        <v>46151</v>
      </c>
      <c r="J450" s="12" t="n">
        <v>46155</v>
      </c>
      <c r="K450" s="2" t="n">
        <v>211</v>
      </c>
      <c r="L450" s="2" t="inlineStr">
        <is>
          <t>Sea</t>
        </is>
      </c>
      <c r="M450" s="2" t="inlineStr">
        <is>
          <t>No Delay</t>
        </is>
      </c>
      <c r="N450" s="4">
        <f>IF(I450&lt;=H450,1,0)</f>
        <v/>
      </c>
      <c r="O450" s="4">
        <f>IF(J450&lt;=G450,1,0)</f>
        <v/>
      </c>
      <c r="P450" s="4">
        <f>MAX(0,I450-H450)</f>
        <v/>
      </c>
      <c r="Q450" s="4">
        <f>MAX(0,J450-G450)</f>
        <v/>
      </c>
      <c r="R450" s="4">
        <f>IF(AND(N450=1,O450=1),"On Track",IF(O450=0,"Customer Delivery Late","Ship Late"))</f>
        <v/>
      </c>
    </row>
    <row r="451">
      <c r="A451" s="2" t="inlineStr">
        <is>
          <t>ORD-00450</t>
        </is>
      </c>
      <c r="B451" s="2" t="inlineStr">
        <is>
          <t>Customer 10</t>
        </is>
      </c>
      <c r="C451" s="2" t="inlineStr">
        <is>
          <t>Breaker</t>
        </is>
      </c>
      <c r="D451" s="2" t="inlineStr">
        <is>
          <t>Plant C</t>
        </is>
      </c>
      <c r="E451" s="2" t="inlineStr">
        <is>
          <t>North</t>
        </is>
      </c>
      <c r="F451" s="12" t="n">
        <v>46196</v>
      </c>
      <c r="G451" s="12" t="n">
        <v>46205</v>
      </c>
      <c r="H451" s="12" t="n">
        <v>46203</v>
      </c>
      <c r="I451" s="12" t="n">
        <v>46202</v>
      </c>
      <c r="J451" s="12" t="n">
        <v>46205</v>
      </c>
      <c r="K451" s="2" t="n">
        <v>692</v>
      </c>
      <c r="L451" s="2" t="inlineStr">
        <is>
          <t>Air</t>
        </is>
      </c>
      <c r="M451" s="2" t="inlineStr">
        <is>
          <t>No Delay</t>
        </is>
      </c>
      <c r="N451" s="4">
        <f>IF(I451&lt;=H451,1,0)</f>
        <v/>
      </c>
      <c r="O451" s="4">
        <f>IF(J451&lt;=G451,1,0)</f>
        <v/>
      </c>
      <c r="P451" s="4">
        <f>MAX(0,I451-H451)</f>
        <v/>
      </c>
      <c r="Q451" s="4">
        <f>MAX(0,J451-G451)</f>
        <v/>
      </c>
      <c r="R451" s="4">
        <f>IF(AND(N451=1,O451=1),"On Track",IF(O451=0,"Customer Delivery Late","Ship Late"))</f>
        <v/>
      </c>
    </row>
    <row r="452">
      <c r="A452" s="2" t="inlineStr">
        <is>
          <t>ORD-00451</t>
        </is>
      </c>
      <c r="B452" s="2" t="inlineStr">
        <is>
          <t>Customer 10</t>
        </is>
      </c>
      <c r="C452" s="2" t="inlineStr">
        <is>
          <t>PLC</t>
        </is>
      </c>
      <c r="D452" s="2" t="inlineStr">
        <is>
          <t>Plant B</t>
        </is>
      </c>
      <c r="E452" s="2" t="inlineStr">
        <is>
          <t>Central</t>
        </is>
      </c>
      <c r="F452" s="12" t="n">
        <v>46034</v>
      </c>
      <c r="G452" s="12" t="n">
        <v>46042</v>
      </c>
      <c r="H452" s="12" t="n">
        <v>46037</v>
      </c>
      <c r="I452" s="12" t="n">
        <v>46037</v>
      </c>
      <c r="J452" s="12" t="n">
        <v>46041</v>
      </c>
      <c r="K452" s="2" t="n">
        <v>404</v>
      </c>
      <c r="L452" s="2" t="inlineStr">
        <is>
          <t>Air</t>
        </is>
      </c>
      <c r="M452" s="2" t="inlineStr">
        <is>
          <t>No Delay</t>
        </is>
      </c>
      <c r="N452" s="4">
        <f>IF(I452&lt;=H452,1,0)</f>
        <v/>
      </c>
      <c r="O452" s="4">
        <f>IF(J452&lt;=G452,1,0)</f>
        <v/>
      </c>
      <c r="P452" s="4">
        <f>MAX(0,I452-H452)</f>
        <v/>
      </c>
      <c r="Q452" s="4">
        <f>MAX(0,J452-G452)</f>
        <v/>
      </c>
      <c r="R452" s="4">
        <f>IF(AND(N452=1,O452=1),"On Track",IF(O452=0,"Customer Delivery Late","Ship Late"))</f>
        <v/>
      </c>
    </row>
    <row r="453">
      <c r="A453" s="2" t="inlineStr">
        <is>
          <t>ORD-00452</t>
        </is>
      </c>
      <c r="B453" s="2" t="inlineStr">
        <is>
          <t>Customer 09</t>
        </is>
      </c>
      <c r="C453" s="2" t="inlineStr">
        <is>
          <t>Contactor</t>
        </is>
      </c>
      <c r="D453" s="2" t="inlineStr">
        <is>
          <t>Plant A</t>
        </is>
      </c>
      <c r="E453" s="2" t="inlineStr">
        <is>
          <t>North</t>
        </is>
      </c>
      <c r="F453" s="12" t="n">
        <v>46093</v>
      </c>
      <c r="G453" s="12" t="n">
        <v>46115</v>
      </c>
      <c r="H453" s="12" t="n">
        <v>46112</v>
      </c>
      <c r="I453" s="12" t="n">
        <v>46112</v>
      </c>
      <c r="J453" s="12" t="n">
        <v>46115</v>
      </c>
      <c r="K453" s="2" t="n">
        <v>433</v>
      </c>
      <c r="L453" s="2" t="inlineStr">
        <is>
          <t>Sea</t>
        </is>
      </c>
      <c r="M453" s="2" t="inlineStr">
        <is>
          <t>No Delay</t>
        </is>
      </c>
      <c r="N453" s="4">
        <f>IF(I453&lt;=H453,1,0)</f>
        <v/>
      </c>
      <c r="O453" s="4">
        <f>IF(J453&lt;=G453,1,0)</f>
        <v/>
      </c>
      <c r="P453" s="4">
        <f>MAX(0,I453-H453)</f>
        <v/>
      </c>
      <c r="Q453" s="4">
        <f>MAX(0,J453-G453)</f>
        <v/>
      </c>
      <c r="R453" s="4">
        <f>IF(AND(N453=1,O453=1),"On Track",IF(O453=0,"Customer Delivery Late","Ship Late"))</f>
        <v/>
      </c>
    </row>
    <row r="454">
      <c r="A454" s="2" t="inlineStr">
        <is>
          <t>ORD-00453</t>
        </is>
      </c>
      <c r="B454" s="2" t="inlineStr">
        <is>
          <t>Customer 10</t>
        </is>
      </c>
      <c r="C454" s="2" t="inlineStr">
        <is>
          <t>Drive</t>
        </is>
      </c>
      <c r="D454" s="2" t="inlineStr">
        <is>
          <t>Plant C</t>
        </is>
      </c>
      <c r="E454" s="2" t="inlineStr">
        <is>
          <t>Export</t>
        </is>
      </c>
      <c r="F454" s="12" t="n">
        <v>46112</v>
      </c>
      <c r="G454" s="12" t="n">
        <v>46134</v>
      </c>
      <c r="H454" s="12" t="n">
        <v>46131</v>
      </c>
      <c r="I454" s="12" t="n">
        <v>46131</v>
      </c>
      <c r="J454" s="12" t="n">
        <v>46135</v>
      </c>
      <c r="K454" s="2" t="n">
        <v>113</v>
      </c>
      <c r="L454" s="2" t="inlineStr">
        <is>
          <t>Road</t>
        </is>
      </c>
      <c r="M454" s="2" t="inlineStr">
        <is>
          <t>Material Shortage</t>
        </is>
      </c>
      <c r="N454" s="4">
        <f>IF(I454&lt;=H454,1,0)</f>
        <v/>
      </c>
      <c r="O454" s="4">
        <f>IF(J454&lt;=G454,1,0)</f>
        <v/>
      </c>
      <c r="P454" s="4">
        <f>MAX(0,I454-H454)</f>
        <v/>
      </c>
      <c r="Q454" s="4">
        <f>MAX(0,J454-G454)</f>
        <v/>
      </c>
      <c r="R454" s="4">
        <f>IF(AND(N454=1,O454=1),"On Track",IF(O454=0,"Customer Delivery Late","Ship Late"))</f>
        <v/>
      </c>
    </row>
    <row r="455">
      <c r="A455" s="2" t="inlineStr">
        <is>
          <t>ORD-00454</t>
        </is>
      </c>
      <c r="B455" s="2" t="inlineStr">
        <is>
          <t>Customer 23</t>
        </is>
      </c>
      <c r="C455" s="2" t="inlineStr">
        <is>
          <t>Switchgear</t>
        </is>
      </c>
      <c r="D455" s="2" t="inlineStr">
        <is>
          <t>Plant C</t>
        </is>
      </c>
      <c r="E455" s="2" t="inlineStr">
        <is>
          <t>South</t>
        </is>
      </c>
      <c r="F455" s="12" t="n">
        <v>46030</v>
      </c>
      <c r="G455" s="12" t="n">
        <v>46050</v>
      </c>
      <c r="H455" s="12" t="n">
        <v>46049</v>
      </c>
      <c r="I455" s="12" t="n">
        <v>46047</v>
      </c>
      <c r="J455" s="12" t="n">
        <v>46048</v>
      </c>
      <c r="K455" s="2" t="n">
        <v>649</v>
      </c>
      <c r="L455" s="2" t="inlineStr">
        <is>
          <t>Air</t>
        </is>
      </c>
      <c r="M455" s="2" t="inlineStr">
        <is>
          <t>No Delay</t>
        </is>
      </c>
      <c r="N455" s="4">
        <f>IF(I455&lt;=H455,1,0)</f>
        <v/>
      </c>
      <c r="O455" s="4">
        <f>IF(J455&lt;=G455,1,0)</f>
        <v/>
      </c>
      <c r="P455" s="4">
        <f>MAX(0,I455-H455)</f>
        <v/>
      </c>
      <c r="Q455" s="4">
        <f>MAX(0,J455-G455)</f>
        <v/>
      </c>
      <c r="R455" s="4">
        <f>IF(AND(N455=1,O455=1),"On Track",IF(O455=0,"Customer Delivery Late","Ship Late"))</f>
        <v/>
      </c>
    </row>
    <row r="456">
      <c r="A456" s="2" t="inlineStr">
        <is>
          <t>ORD-00455</t>
        </is>
      </c>
      <c r="B456" s="2" t="inlineStr">
        <is>
          <t>Customer 15</t>
        </is>
      </c>
      <c r="C456" s="2" t="inlineStr">
        <is>
          <t>Contactor</t>
        </is>
      </c>
      <c r="D456" s="2" t="inlineStr">
        <is>
          <t>Plant B</t>
        </is>
      </c>
      <c r="E456" s="2" t="inlineStr">
        <is>
          <t>South</t>
        </is>
      </c>
      <c r="F456" s="12" t="n">
        <v>46073</v>
      </c>
      <c r="G456" s="12" t="n">
        <v>46095</v>
      </c>
      <c r="H456" s="12" t="n">
        <v>46094</v>
      </c>
      <c r="I456" s="12" t="n">
        <v>46102</v>
      </c>
      <c r="J456" s="12" t="n">
        <v>46103</v>
      </c>
      <c r="K456" s="2" t="n">
        <v>1411</v>
      </c>
      <c r="L456" s="2" t="inlineStr">
        <is>
          <t>Sea</t>
        </is>
      </c>
      <c r="M456" s="2" t="inlineStr">
        <is>
          <t>Customer Change</t>
        </is>
      </c>
      <c r="N456" s="4">
        <f>IF(I456&lt;=H456,1,0)</f>
        <v/>
      </c>
      <c r="O456" s="4">
        <f>IF(J456&lt;=G456,1,0)</f>
        <v/>
      </c>
      <c r="P456" s="4">
        <f>MAX(0,I456-H456)</f>
        <v/>
      </c>
      <c r="Q456" s="4">
        <f>MAX(0,J456-G456)</f>
        <v/>
      </c>
      <c r="R456" s="4">
        <f>IF(AND(N456=1,O456=1),"On Track",IF(O456=0,"Customer Delivery Late","Ship Late"))</f>
        <v/>
      </c>
    </row>
    <row r="457">
      <c r="A457" s="2" t="inlineStr">
        <is>
          <t>ORD-00456</t>
        </is>
      </c>
      <c r="B457" s="2" t="inlineStr">
        <is>
          <t>Customer 23</t>
        </is>
      </c>
      <c r="C457" s="2" t="inlineStr">
        <is>
          <t>Drive</t>
        </is>
      </c>
      <c r="D457" s="2" t="inlineStr">
        <is>
          <t>Plant B</t>
        </is>
      </c>
      <c r="E457" s="2" t="inlineStr">
        <is>
          <t>Export</t>
        </is>
      </c>
      <c r="F457" s="12" t="n">
        <v>46142</v>
      </c>
      <c r="G457" s="12" t="n">
        <v>46162</v>
      </c>
      <c r="H457" s="12" t="n">
        <v>46160</v>
      </c>
      <c r="I457" s="12" t="n">
        <v>46158</v>
      </c>
      <c r="J457" s="12" t="n">
        <v>46160</v>
      </c>
      <c r="K457" s="2" t="n">
        <v>1008</v>
      </c>
      <c r="L457" s="2" t="inlineStr">
        <is>
          <t>Road</t>
        </is>
      </c>
      <c r="M457" s="2" t="inlineStr">
        <is>
          <t>No Delay</t>
        </is>
      </c>
      <c r="N457" s="4">
        <f>IF(I457&lt;=H457,1,0)</f>
        <v/>
      </c>
      <c r="O457" s="4">
        <f>IF(J457&lt;=G457,1,0)</f>
        <v/>
      </c>
      <c r="P457" s="4">
        <f>MAX(0,I457-H457)</f>
        <v/>
      </c>
      <c r="Q457" s="4">
        <f>MAX(0,J457-G457)</f>
        <v/>
      </c>
      <c r="R457" s="4">
        <f>IF(AND(N457=1,O457=1),"On Track",IF(O457=0,"Customer Delivery Late","Ship Late"))</f>
        <v/>
      </c>
    </row>
    <row r="458">
      <c r="A458" s="2" t="inlineStr">
        <is>
          <t>ORD-00457</t>
        </is>
      </c>
      <c r="B458" s="2" t="inlineStr">
        <is>
          <t>Customer 20</t>
        </is>
      </c>
      <c r="C458" s="2" t="inlineStr">
        <is>
          <t>Relay</t>
        </is>
      </c>
      <c r="D458" s="2" t="inlineStr">
        <is>
          <t>Plant C</t>
        </is>
      </c>
      <c r="E458" s="2" t="inlineStr">
        <is>
          <t>North</t>
        </is>
      </c>
      <c r="F458" s="12" t="n">
        <v>46039</v>
      </c>
      <c r="G458" s="12" t="n">
        <v>46059</v>
      </c>
      <c r="H458" s="12" t="n">
        <v>46058</v>
      </c>
      <c r="I458" s="12" t="n">
        <v>46057</v>
      </c>
      <c r="J458" s="12" t="n">
        <v>46058</v>
      </c>
      <c r="K458" s="2" t="n">
        <v>840</v>
      </c>
      <c r="L458" s="2" t="inlineStr">
        <is>
          <t>Sea</t>
        </is>
      </c>
      <c r="M458" s="2" t="inlineStr">
        <is>
          <t>No Delay</t>
        </is>
      </c>
      <c r="N458" s="4">
        <f>IF(I458&lt;=H458,1,0)</f>
        <v/>
      </c>
      <c r="O458" s="4">
        <f>IF(J458&lt;=G458,1,0)</f>
        <v/>
      </c>
      <c r="P458" s="4">
        <f>MAX(0,I458-H458)</f>
        <v/>
      </c>
      <c r="Q458" s="4">
        <f>MAX(0,J458-G458)</f>
        <v/>
      </c>
      <c r="R458" s="4">
        <f>IF(AND(N458=1,O458=1),"On Track",IF(O458=0,"Customer Delivery Late","Ship Late"))</f>
        <v/>
      </c>
    </row>
    <row r="459">
      <c r="A459" s="2" t="inlineStr">
        <is>
          <t>ORD-00458</t>
        </is>
      </c>
      <c r="B459" s="2" t="inlineStr">
        <is>
          <t>Customer 08</t>
        </is>
      </c>
      <c r="C459" s="2" t="inlineStr">
        <is>
          <t>PLC</t>
        </is>
      </c>
      <c r="D459" s="2" t="inlineStr">
        <is>
          <t>Plant C</t>
        </is>
      </c>
      <c r="E459" s="2" t="inlineStr">
        <is>
          <t>Central</t>
        </is>
      </c>
      <c r="F459" s="12" t="n">
        <v>46050</v>
      </c>
      <c r="G459" s="12" t="n">
        <v>46065</v>
      </c>
      <c r="H459" s="12" t="n">
        <v>46060</v>
      </c>
      <c r="I459" s="12" t="n">
        <v>46059</v>
      </c>
      <c r="J459" s="12" t="n">
        <v>46064</v>
      </c>
      <c r="K459" s="2" t="n">
        <v>997</v>
      </c>
      <c r="L459" s="2" t="inlineStr">
        <is>
          <t>Air</t>
        </is>
      </c>
      <c r="M459" s="2" t="inlineStr">
        <is>
          <t>No Delay</t>
        </is>
      </c>
      <c r="N459" s="4">
        <f>IF(I459&lt;=H459,1,0)</f>
        <v/>
      </c>
      <c r="O459" s="4">
        <f>IF(J459&lt;=G459,1,0)</f>
        <v/>
      </c>
      <c r="P459" s="4">
        <f>MAX(0,I459-H459)</f>
        <v/>
      </c>
      <c r="Q459" s="4">
        <f>MAX(0,J459-G459)</f>
        <v/>
      </c>
      <c r="R459" s="4">
        <f>IF(AND(N459=1,O459=1),"On Track",IF(O459=0,"Customer Delivery Late","Ship Late"))</f>
        <v/>
      </c>
    </row>
    <row r="460">
      <c r="A460" s="2" t="inlineStr">
        <is>
          <t>ORD-00459</t>
        </is>
      </c>
      <c r="B460" s="2" t="inlineStr">
        <is>
          <t>Customer 11</t>
        </is>
      </c>
      <c r="C460" s="2" t="inlineStr">
        <is>
          <t>PLC</t>
        </is>
      </c>
      <c r="D460" s="2" t="inlineStr">
        <is>
          <t>Plant A</t>
        </is>
      </c>
      <c r="E460" s="2" t="inlineStr">
        <is>
          <t>North</t>
        </is>
      </c>
      <c r="F460" s="12" t="n">
        <v>46039</v>
      </c>
      <c r="G460" s="12" t="n">
        <v>46054</v>
      </c>
      <c r="H460" s="12" t="n">
        <v>46052</v>
      </c>
      <c r="I460" s="12" t="n">
        <v>46052</v>
      </c>
      <c r="J460" s="12" t="n">
        <v>46054</v>
      </c>
      <c r="K460" s="2" t="n">
        <v>1467</v>
      </c>
      <c r="L460" s="2" t="inlineStr">
        <is>
          <t>Sea</t>
        </is>
      </c>
      <c r="M460" s="2" t="inlineStr">
        <is>
          <t>No Delay</t>
        </is>
      </c>
      <c r="N460" s="4">
        <f>IF(I460&lt;=H460,1,0)</f>
        <v/>
      </c>
      <c r="O460" s="4">
        <f>IF(J460&lt;=G460,1,0)</f>
        <v/>
      </c>
      <c r="P460" s="4">
        <f>MAX(0,I460-H460)</f>
        <v/>
      </c>
      <c r="Q460" s="4">
        <f>MAX(0,J460-G460)</f>
        <v/>
      </c>
      <c r="R460" s="4">
        <f>IF(AND(N460=1,O460=1),"On Track",IF(O460=0,"Customer Delivery Late","Ship Late"))</f>
        <v/>
      </c>
    </row>
    <row r="461">
      <c r="A461" s="2" t="inlineStr">
        <is>
          <t>ORD-00460</t>
        </is>
      </c>
      <c r="B461" s="2" t="inlineStr">
        <is>
          <t>Customer 13</t>
        </is>
      </c>
      <c r="C461" s="2" t="inlineStr">
        <is>
          <t>Contactor</t>
        </is>
      </c>
      <c r="D461" s="2" t="inlineStr">
        <is>
          <t>Plant C</t>
        </is>
      </c>
      <c r="E461" s="2" t="inlineStr">
        <is>
          <t>North</t>
        </is>
      </c>
      <c r="F461" s="12" t="n">
        <v>46147</v>
      </c>
      <c r="G461" s="12" t="n">
        <v>46155</v>
      </c>
      <c r="H461" s="12" t="n">
        <v>46150</v>
      </c>
      <c r="I461" s="12" t="n">
        <v>46149</v>
      </c>
      <c r="J461" s="12" t="n">
        <v>46154</v>
      </c>
      <c r="K461" s="2" t="n">
        <v>1413</v>
      </c>
      <c r="L461" s="2" t="inlineStr">
        <is>
          <t>Sea</t>
        </is>
      </c>
      <c r="M461" s="2" t="inlineStr">
        <is>
          <t>No Delay</t>
        </is>
      </c>
      <c r="N461" s="4">
        <f>IF(I461&lt;=H461,1,0)</f>
        <v/>
      </c>
      <c r="O461" s="4">
        <f>IF(J461&lt;=G461,1,0)</f>
        <v/>
      </c>
      <c r="P461" s="4">
        <f>MAX(0,I461-H461)</f>
        <v/>
      </c>
      <c r="Q461" s="4">
        <f>MAX(0,J461-G461)</f>
        <v/>
      </c>
      <c r="R461" s="4">
        <f>IF(AND(N461=1,O461=1),"On Track",IF(O461=0,"Customer Delivery Late","Ship Late"))</f>
        <v/>
      </c>
    </row>
    <row r="462">
      <c r="A462" s="2" t="inlineStr">
        <is>
          <t>ORD-00461</t>
        </is>
      </c>
      <c r="B462" s="2" t="inlineStr">
        <is>
          <t>Customer 29</t>
        </is>
      </c>
      <c r="C462" s="2" t="inlineStr">
        <is>
          <t>Breaker</t>
        </is>
      </c>
      <c r="D462" s="2" t="inlineStr">
        <is>
          <t>Plant A</t>
        </is>
      </c>
      <c r="E462" s="2" t="inlineStr">
        <is>
          <t>Central</t>
        </is>
      </c>
      <c r="F462" s="12" t="n">
        <v>46120</v>
      </c>
      <c r="G462" s="12" t="n">
        <v>46135</v>
      </c>
      <c r="H462" s="12" t="n">
        <v>46131</v>
      </c>
      <c r="I462" s="12" t="n">
        <v>46129</v>
      </c>
      <c r="J462" s="12" t="n">
        <v>46133</v>
      </c>
      <c r="K462" s="2" t="n">
        <v>937</v>
      </c>
      <c r="L462" s="2" t="inlineStr">
        <is>
          <t>Sea</t>
        </is>
      </c>
      <c r="M462" s="2" t="inlineStr">
        <is>
          <t>No Delay</t>
        </is>
      </c>
      <c r="N462" s="4">
        <f>IF(I462&lt;=H462,1,0)</f>
        <v/>
      </c>
      <c r="O462" s="4">
        <f>IF(J462&lt;=G462,1,0)</f>
        <v/>
      </c>
      <c r="P462" s="4">
        <f>MAX(0,I462-H462)</f>
        <v/>
      </c>
      <c r="Q462" s="4">
        <f>MAX(0,J462-G462)</f>
        <v/>
      </c>
      <c r="R462" s="4">
        <f>IF(AND(N462=1,O462=1),"On Track",IF(O462=0,"Customer Delivery Late","Ship Late"))</f>
        <v/>
      </c>
    </row>
    <row r="463">
      <c r="A463" s="2" t="inlineStr">
        <is>
          <t>ORD-00462</t>
        </is>
      </c>
      <c r="B463" s="2" t="inlineStr">
        <is>
          <t>Customer 26</t>
        </is>
      </c>
      <c r="C463" s="2" t="inlineStr">
        <is>
          <t>Sensor</t>
        </is>
      </c>
      <c r="D463" s="2" t="inlineStr">
        <is>
          <t>Plant B</t>
        </is>
      </c>
      <c r="E463" s="2" t="inlineStr">
        <is>
          <t>South</t>
        </is>
      </c>
      <c r="F463" s="12" t="n">
        <v>46097</v>
      </c>
      <c r="G463" s="12" t="n">
        <v>46114</v>
      </c>
      <c r="H463" s="12" t="n">
        <v>46109</v>
      </c>
      <c r="I463" s="12" t="n">
        <v>46107</v>
      </c>
      <c r="J463" s="12" t="n">
        <v>46112</v>
      </c>
      <c r="K463" s="2" t="n">
        <v>192</v>
      </c>
      <c r="L463" s="2" t="inlineStr">
        <is>
          <t>Sea</t>
        </is>
      </c>
      <c r="M463" s="2" t="inlineStr">
        <is>
          <t>No Delay</t>
        </is>
      </c>
      <c r="N463" s="4">
        <f>IF(I463&lt;=H463,1,0)</f>
        <v/>
      </c>
      <c r="O463" s="4">
        <f>IF(J463&lt;=G463,1,0)</f>
        <v/>
      </c>
      <c r="P463" s="4">
        <f>MAX(0,I463-H463)</f>
        <v/>
      </c>
      <c r="Q463" s="4">
        <f>MAX(0,J463-G463)</f>
        <v/>
      </c>
      <c r="R463" s="4">
        <f>IF(AND(N463=1,O463=1),"On Track",IF(O463=0,"Customer Delivery Late","Ship Late"))</f>
        <v/>
      </c>
    </row>
    <row r="464">
      <c r="A464" s="2" t="inlineStr">
        <is>
          <t>ORD-00463</t>
        </is>
      </c>
      <c r="B464" s="2" t="inlineStr">
        <is>
          <t>Customer 18</t>
        </is>
      </c>
      <c r="C464" s="2" t="inlineStr">
        <is>
          <t>Breaker</t>
        </is>
      </c>
      <c r="D464" s="2" t="inlineStr">
        <is>
          <t>Plant A</t>
        </is>
      </c>
      <c r="E464" s="2" t="inlineStr">
        <is>
          <t>South</t>
        </is>
      </c>
      <c r="F464" s="12" t="n">
        <v>46025</v>
      </c>
      <c r="G464" s="12" t="n">
        <v>46049</v>
      </c>
      <c r="H464" s="12" t="n">
        <v>46044</v>
      </c>
      <c r="I464" s="12" t="n">
        <v>46042</v>
      </c>
      <c r="J464" s="12" t="n">
        <v>46046</v>
      </c>
      <c r="K464" s="2" t="n">
        <v>234</v>
      </c>
      <c r="L464" s="2" t="inlineStr">
        <is>
          <t>Air</t>
        </is>
      </c>
      <c r="M464" s="2" t="inlineStr">
        <is>
          <t>No Delay</t>
        </is>
      </c>
      <c r="N464" s="4">
        <f>IF(I464&lt;=H464,1,0)</f>
        <v/>
      </c>
      <c r="O464" s="4">
        <f>IF(J464&lt;=G464,1,0)</f>
        <v/>
      </c>
      <c r="P464" s="4">
        <f>MAX(0,I464-H464)</f>
        <v/>
      </c>
      <c r="Q464" s="4">
        <f>MAX(0,J464-G464)</f>
        <v/>
      </c>
      <c r="R464" s="4">
        <f>IF(AND(N464=1,O464=1),"On Track",IF(O464=0,"Customer Delivery Late","Ship Late"))</f>
        <v/>
      </c>
    </row>
    <row r="465">
      <c r="A465" s="2" t="inlineStr">
        <is>
          <t>ORD-00464</t>
        </is>
      </c>
      <c r="B465" s="2" t="inlineStr">
        <is>
          <t>Customer 14</t>
        </is>
      </c>
      <c r="C465" s="2" t="inlineStr">
        <is>
          <t>PLC</t>
        </is>
      </c>
      <c r="D465" s="2" t="inlineStr">
        <is>
          <t>Plant C</t>
        </is>
      </c>
      <c r="E465" s="2" t="inlineStr">
        <is>
          <t>Central</t>
        </is>
      </c>
      <c r="F465" s="12" t="n">
        <v>46030</v>
      </c>
      <c r="G465" s="12" t="n">
        <v>46042</v>
      </c>
      <c r="H465" s="12" t="n">
        <v>46038</v>
      </c>
      <c r="I465" s="12" t="n">
        <v>46037</v>
      </c>
      <c r="J465" s="12" t="n">
        <v>46041</v>
      </c>
      <c r="K465" s="2" t="n">
        <v>982</v>
      </c>
      <c r="L465" s="2" t="inlineStr">
        <is>
          <t>Road</t>
        </is>
      </c>
      <c r="M465" s="2" t="inlineStr">
        <is>
          <t>No Delay</t>
        </is>
      </c>
      <c r="N465" s="4">
        <f>IF(I465&lt;=H465,1,0)</f>
        <v/>
      </c>
      <c r="O465" s="4">
        <f>IF(J465&lt;=G465,1,0)</f>
        <v/>
      </c>
      <c r="P465" s="4">
        <f>MAX(0,I465-H465)</f>
        <v/>
      </c>
      <c r="Q465" s="4">
        <f>MAX(0,J465-G465)</f>
        <v/>
      </c>
      <c r="R465" s="4">
        <f>IF(AND(N465=1,O465=1),"On Track",IF(O465=0,"Customer Delivery Late","Ship Late"))</f>
        <v/>
      </c>
    </row>
    <row r="466">
      <c r="A466" s="2" t="inlineStr">
        <is>
          <t>ORD-00465</t>
        </is>
      </c>
      <c r="B466" s="2" t="inlineStr">
        <is>
          <t>Customer 28</t>
        </is>
      </c>
      <c r="C466" s="2" t="inlineStr">
        <is>
          <t>Relay</t>
        </is>
      </c>
      <c r="D466" s="2" t="inlineStr">
        <is>
          <t>Plant A</t>
        </is>
      </c>
      <c r="E466" s="2" t="inlineStr">
        <is>
          <t>North</t>
        </is>
      </c>
      <c r="F466" s="12" t="n">
        <v>46071</v>
      </c>
      <c r="G466" s="12" t="n">
        <v>46093</v>
      </c>
      <c r="H466" s="12" t="n">
        <v>46089</v>
      </c>
      <c r="I466" s="12" t="n">
        <v>46088</v>
      </c>
      <c r="J466" s="12" t="n">
        <v>46092</v>
      </c>
      <c r="K466" s="2" t="n">
        <v>156</v>
      </c>
      <c r="L466" s="2" t="inlineStr">
        <is>
          <t>Sea</t>
        </is>
      </c>
      <c r="M466" s="2" t="inlineStr">
        <is>
          <t>No Delay</t>
        </is>
      </c>
      <c r="N466" s="4">
        <f>IF(I466&lt;=H466,1,0)</f>
        <v/>
      </c>
      <c r="O466" s="4">
        <f>IF(J466&lt;=G466,1,0)</f>
        <v/>
      </c>
      <c r="P466" s="4">
        <f>MAX(0,I466-H466)</f>
        <v/>
      </c>
      <c r="Q466" s="4">
        <f>MAX(0,J466-G466)</f>
        <v/>
      </c>
      <c r="R466" s="4">
        <f>IF(AND(N466=1,O466=1),"On Track",IF(O466=0,"Customer Delivery Late","Ship Late"))</f>
        <v/>
      </c>
    </row>
    <row r="467">
      <c r="A467" s="2" t="inlineStr">
        <is>
          <t>ORD-00466</t>
        </is>
      </c>
      <c r="B467" s="2" t="inlineStr">
        <is>
          <t>Customer 14</t>
        </is>
      </c>
      <c r="C467" s="2" t="inlineStr">
        <is>
          <t>Switchgear</t>
        </is>
      </c>
      <c r="D467" s="2" t="inlineStr">
        <is>
          <t>Plant C</t>
        </is>
      </c>
      <c r="E467" s="2" t="inlineStr">
        <is>
          <t>Export</t>
        </is>
      </c>
      <c r="F467" s="12" t="n">
        <v>46027</v>
      </c>
      <c r="G467" s="12" t="n">
        <v>46036</v>
      </c>
      <c r="H467" s="12" t="n">
        <v>46032</v>
      </c>
      <c r="I467" s="12" t="n">
        <v>46030</v>
      </c>
      <c r="J467" s="12" t="n">
        <v>46034</v>
      </c>
      <c r="K467" s="2" t="n">
        <v>1286</v>
      </c>
      <c r="L467" s="2" t="inlineStr">
        <is>
          <t>Road</t>
        </is>
      </c>
      <c r="M467" s="2" t="inlineStr">
        <is>
          <t>No Delay</t>
        </is>
      </c>
      <c r="N467" s="4">
        <f>IF(I467&lt;=H467,1,0)</f>
        <v/>
      </c>
      <c r="O467" s="4">
        <f>IF(J467&lt;=G467,1,0)</f>
        <v/>
      </c>
      <c r="P467" s="4">
        <f>MAX(0,I467-H467)</f>
        <v/>
      </c>
      <c r="Q467" s="4">
        <f>MAX(0,J467-G467)</f>
        <v/>
      </c>
      <c r="R467" s="4">
        <f>IF(AND(N467=1,O467=1),"On Track",IF(O467=0,"Customer Delivery Late","Ship Late"))</f>
        <v/>
      </c>
    </row>
    <row r="468">
      <c r="A468" s="2" t="inlineStr">
        <is>
          <t>ORD-00467</t>
        </is>
      </c>
      <c r="B468" s="2" t="inlineStr">
        <is>
          <t>Customer 14</t>
        </is>
      </c>
      <c r="C468" s="2" t="inlineStr">
        <is>
          <t>Breaker</t>
        </is>
      </c>
      <c r="D468" s="2" t="inlineStr">
        <is>
          <t>Plant C</t>
        </is>
      </c>
      <c r="E468" s="2" t="inlineStr">
        <is>
          <t>Export</t>
        </is>
      </c>
      <c r="F468" s="12" t="n">
        <v>46139</v>
      </c>
      <c r="G468" s="12" t="n">
        <v>46160</v>
      </c>
      <c r="H468" s="12" t="n">
        <v>46156</v>
      </c>
      <c r="I468" s="12" t="n">
        <v>46155</v>
      </c>
      <c r="J468" s="12" t="n">
        <v>46159</v>
      </c>
      <c r="K468" s="2" t="n">
        <v>494</v>
      </c>
      <c r="L468" s="2" t="inlineStr">
        <is>
          <t>Sea</t>
        </is>
      </c>
      <c r="M468" s="2" t="inlineStr">
        <is>
          <t>No Delay</t>
        </is>
      </c>
      <c r="N468" s="4">
        <f>IF(I468&lt;=H468,1,0)</f>
        <v/>
      </c>
      <c r="O468" s="4">
        <f>IF(J468&lt;=G468,1,0)</f>
        <v/>
      </c>
      <c r="P468" s="4">
        <f>MAX(0,I468-H468)</f>
        <v/>
      </c>
      <c r="Q468" s="4">
        <f>MAX(0,J468-G468)</f>
        <v/>
      </c>
      <c r="R468" s="4">
        <f>IF(AND(N468=1,O468=1),"On Track",IF(O468=0,"Customer Delivery Late","Ship Late"))</f>
        <v/>
      </c>
    </row>
    <row r="469">
      <c r="A469" s="2" t="inlineStr">
        <is>
          <t>ORD-00468</t>
        </is>
      </c>
      <c r="B469" s="2" t="inlineStr">
        <is>
          <t>Customer 19</t>
        </is>
      </c>
      <c r="C469" s="2" t="inlineStr">
        <is>
          <t>Switchgear</t>
        </is>
      </c>
      <c r="D469" s="2" t="inlineStr">
        <is>
          <t>Plant C</t>
        </is>
      </c>
      <c r="E469" s="2" t="inlineStr">
        <is>
          <t>South</t>
        </is>
      </c>
      <c r="F469" s="12" t="n">
        <v>46151</v>
      </c>
      <c r="G469" s="12" t="n">
        <v>46164</v>
      </c>
      <c r="H469" s="12" t="n">
        <v>46160</v>
      </c>
      <c r="I469" s="12" t="n">
        <v>46160</v>
      </c>
      <c r="J469" s="12" t="n">
        <v>46163</v>
      </c>
      <c r="K469" s="2" t="n">
        <v>241</v>
      </c>
      <c r="L469" s="2" t="inlineStr">
        <is>
          <t>Sea</t>
        </is>
      </c>
      <c r="M469" s="2" t="inlineStr">
        <is>
          <t>No Delay</t>
        </is>
      </c>
      <c r="N469" s="4">
        <f>IF(I469&lt;=H469,1,0)</f>
        <v/>
      </c>
      <c r="O469" s="4">
        <f>IF(J469&lt;=G469,1,0)</f>
        <v/>
      </c>
      <c r="P469" s="4">
        <f>MAX(0,I469-H469)</f>
        <v/>
      </c>
      <c r="Q469" s="4">
        <f>MAX(0,J469-G469)</f>
        <v/>
      </c>
      <c r="R469" s="4">
        <f>IF(AND(N469=1,O469=1),"On Track",IF(O469=0,"Customer Delivery Late","Ship Late"))</f>
        <v/>
      </c>
    </row>
    <row r="470">
      <c r="A470" s="2" t="inlineStr">
        <is>
          <t>ORD-00469</t>
        </is>
      </c>
      <c r="B470" s="2" t="inlineStr">
        <is>
          <t>Customer 17</t>
        </is>
      </c>
      <c r="C470" s="2" t="inlineStr">
        <is>
          <t>Contactor</t>
        </is>
      </c>
      <c r="D470" s="2" t="inlineStr">
        <is>
          <t>Plant A</t>
        </is>
      </c>
      <c r="E470" s="2" t="inlineStr">
        <is>
          <t>Export</t>
        </is>
      </c>
      <c r="F470" s="12" t="n">
        <v>46146</v>
      </c>
      <c r="G470" s="12" t="n">
        <v>46153</v>
      </c>
      <c r="H470" s="12" t="n">
        <v>46151</v>
      </c>
      <c r="I470" s="12" t="n">
        <v>46151</v>
      </c>
      <c r="J470" s="12" t="n">
        <v>46153</v>
      </c>
      <c r="K470" s="2" t="n">
        <v>1301</v>
      </c>
      <c r="L470" s="2" t="inlineStr">
        <is>
          <t>Sea</t>
        </is>
      </c>
      <c r="M470" s="2" t="inlineStr">
        <is>
          <t>No Delay</t>
        </is>
      </c>
      <c r="N470" s="4">
        <f>IF(I470&lt;=H470,1,0)</f>
        <v/>
      </c>
      <c r="O470" s="4">
        <f>IF(J470&lt;=G470,1,0)</f>
        <v/>
      </c>
      <c r="P470" s="4">
        <f>MAX(0,I470-H470)</f>
        <v/>
      </c>
      <c r="Q470" s="4">
        <f>MAX(0,J470-G470)</f>
        <v/>
      </c>
      <c r="R470" s="4">
        <f>IF(AND(N470=1,O470=1),"On Track",IF(O470=0,"Customer Delivery Late","Ship Late"))</f>
        <v/>
      </c>
    </row>
    <row r="471">
      <c r="A471" s="2" t="inlineStr">
        <is>
          <t>ORD-00470</t>
        </is>
      </c>
      <c r="B471" s="2" t="inlineStr">
        <is>
          <t>Customer 01</t>
        </is>
      </c>
      <c r="C471" s="2" t="inlineStr">
        <is>
          <t>Switchgear</t>
        </is>
      </c>
      <c r="D471" s="2" t="inlineStr">
        <is>
          <t>Plant B</t>
        </is>
      </c>
      <c r="E471" s="2" t="inlineStr">
        <is>
          <t>Export</t>
        </is>
      </c>
      <c r="F471" s="12" t="n">
        <v>46192</v>
      </c>
      <c r="G471" s="12" t="n">
        <v>46199</v>
      </c>
      <c r="H471" s="12" t="n">
        <v>46194</v>
      </c>
      <c r="I471" s="12" t="n">
        <v>46193</v>
      </c>
      <c r="J471" s="12" t="n">
        <v>46198</v>
      </c>
      <c r="K471" s="2" t="n">
        <v>1185</v>
      </c>
      <c r="L471" s="2" t="inlineStr">
        <is>
          <t>Sea</t>
        </is>
      </c>
      <c r="M471" s="2" t="inlineStr">
        <is>
          <t>No Delay</t>
        </is>
      </c>
      <c r="N471" s="4">
        <f>IF(I471&lt;=H471,1,0)</f>
        <v/>
      </c>
      <c r="O471" s="4">
        <f>IF(J471&lt;=G471,1,0)</f>
        <v/>
      </c>
      <c r="P471" s="4">
        <f>MAX(0,I471-H471)</f>
        <v/>
      </c>
      <c r="Q471" s="4">
        <f>MAX(0,J471-G471)</f>
        <v/>
      </c>
      <c r="R471" s="4">
        <f>IF(AND(N471=1,O471=1),"On Track",IF(O471=0,"Customer Delivery Late","Ship Late"))</f>
        <v/>
      </c>
    </row>
    <row r="472">
      <c r="A472" s="2" t="inlineStr">
        <is>
          <t>ORD-00471</t>
        </is>
      </c>
      <c r="B472" s="2" t="inlineStr">
        <is>
          <t>Customer 30</t>
        </is>
      </c>
      <c r="C472" s="2" t="inlineStr">
        <is>
          <t>Sensor</t>
        </is>
      </c>
      <c r="D472" s="2" t="inlineStr">
        <is>
          <t>Plant C</t>
        </is>
      </c>
      <c r="E472" s="2" t="inlineStr">
        <is>
          <t>South</t>
        </is>
      </c>
      <c r="F472" s="12" t="n">
        <v>46107</v>
      </c>
      <c r="G472" s="12" t="n">
        <v>46125</v>
      </c>
      <c r="H472" s="12" t="n">
        <v>46122</v>
      </c>
      <c r="I472" s="12" t="n">
        <v>46121</v>
      </c>
      <c r="J472" s="12" t="n">
        <v>46124</v>
      </c>
      <c r="K472" s="2" t="n">
        <v>135</v>
      </c>
      <c r="L472" s="2" t="inlineStr">
        <is>
          <t>Sea</t>
        </is>
      </c>
      <c r="M472" s="2" t="inlineStr">
        <is>
          <t>No Delay</t>
        </is>
      </c>
      <c r="N472" s="4">
        <f>IF(I472&lt;=H472,1,0)</f>
        <v/>
      </c>
      <c r="O472" s="4">
        <f>IF(J472&lt;=G472,1,0)</f>
        <v/>
      </c>
      <c r="P472" s="4">
        <f>MAX(0,I472-H472)</f>
        <v/>
      </c>
      <c r="Q472" s="4">
        <f>MAX(0,J472-G472)</f>
        <v/>
      </c>
      <c r="R472" s="4">
        <f>IF(AND(N472=1,O472=1),"On Track",IF(O472=0,"Customer Delivery Late","Ship Late"))</f>
        <v/>
      </c>
    </row>
    <row r="473">
      <c r="A473" s="2" t="inlineStr">
        <is>
          <t>ORD-00472</t>
        </is>
      </c>
      <c r="B473" s="2" t="inlineStr">
        <is>
          <t>Customer 03</t>
        </is>
      </c>
      <c r="C473" s="2" t="inlineStr">
        <is>
          <t>Relay</t>
        </is>
      </c>
      <c r="D473" s="2" t="inlineStr">
        <is>
          <t>Plant C</t>
        </is>
      </c>
      <c r="E473" s="2" t="inlineStr">
        <is>
          <t>North</t>
        </is>
      </c>
      <c r="F473" s="12" t="n">
        <v>46144</v>
      </c>
      <c r="G473" s="12" t="n">
        <v>46167</v>
      </c>
      <c r="H473" s="12" t="n">
        <v>46165</v>
      </c>
      <c r="I473" s="12" t="n">
        <v>46165</v>
      </c>
      <c r="J473" s="12" t="n">
        <v>46168</v>
      </c>
      <c r="K473" s="2" t="n">
        <v>579</v>
      </c>
      <c r="L473" s="2" t="inlineStr">
        <is>
          <t>Air</t>
        </is>
      </c>
      <c r="M473" s="2" t="inlineStr">
        <is>
          <t>Documentation Issue</t>
        </is>
      </c>
      <c r="N473" s="4">
        <f>IF(I473&lt;=H473,1,0)</f>
        <v/>
      </c>
      <c r="O473" s="4">
        <f>IF(J473&lt;=G473,1,0)</f>
        <v/>
      </c>
      <c r="P473" s="4">
        <f>MAX(0,I473-H473)</f>
        <v/>
      </c>
      <c r="Q473" s="4">
        <f>MAX(0,J473-G473)</f>
        <v/>
      </c>
      <c r="R473" s="4">
        <f>IF(AND(N473=1,O473=1),"On Track",IF(O473=0,"Customer Delivery Late","Ship Late"))</f>
        <v/>
      </c>
    </row>
    <row r="474">
      <c r="A474" s="2" t="inlineStr">
        <is>
          <t>ORD-00473</t>
        </is>
      </c>
      <c r="B474" s="2" t="inlineStr">
        <is>
          <t>Customer 30</t>
        </is>
      </c>
      <c r="C474" s="2" t="inlineStr">
        <is>
          <t>Relay</t>
        </is>
      </c>
      <c r="D474" s="2" t="inlineStr">
        <is>
          <t>Plant C</t>
        </is>
      </c>
      <c r="E474" s="2" t="inlineStr">
        <is>
          <t>Export</t>
        </is>
      </c>
      <c r="F474" s="12" t="n">
        <v>46056</v>
      </c>
      <c r="G474" s="12" t="n">
        <v>46080</v>
      </c>
      <c r="H474" s="12" t="n">
        <v>46077</v>
      </c>
      <c r="I474" s="12" t="n">
        <v>46076</v>
      </c>
      <c r="J474" s="12" t="n">
        <v>46078</v>
      </c>
      <c r="K474" s="2" t="n">
        <v>767</v>
      </c>
      <c r="L474" s="2" t="inlineStr">
        <is>
          <t>Road</t>
        </is>
      </c>
      <c r="M474" s="2" t="inlineStr">
        <is>
          <t>No Delay</t>
        </is>
      </c>
      <c r="N474" s="4">
        <f>IF(I474&lt;=H474,1,0)</f>
        <v/>
      </c>
      <c r="O474" s="4">
        <f>IF(J474&lt;=G474,1,0)</f>
        <v/>
      </c>
      <c r="P474" s="4">
        <f>MAX(0,I474-H474)</f>
        <v/>
      </c>
      <c r="Q474" s="4">
        <f>MAX(0,J474-G474)</f>
        <v/>
      </c>
      <c r="R474" s="4">
        <f>IF(AND(N474=1,O474=1),"On Track",IF(O474=0,"Customer Delivery Late","Ship Late"))</f>
        <v/>
      </c>
    </row>
    <row r="475">
      <c r="A475" s="2" t="inlineStr">
        <is>
          <t>ORD-00474</t>
        </is>
      </c>
      <c r="B475" s="2" t="inlineStr">
        <is>
          <t>Customer 05</t>
        </is>
      </c>
      <c r="C475" s="2" t="inlineStr">
        <is>
          <t>Relay</t>
        </is>
      </c>
      <c r="D475" s="2" t="inlineStr">
        <is>
          <t>Plant B</t>
        </is>
      </c>
      <c r="E475" s="2" t="inlineStr">
        <is>
          <t>Export</t>
        </is>
      </c>
      <c r="F475" s="12" t="n">
        <v>46089</v>
      </c>
      <c r="G475" s="12" t="n">
        <v>46101</v>
      </c>
      <c r="H475" s="12" t="n">
        <v>46097</v>
      </c>
      <c r="I475" s="12" t="n">
        <v>46097</v>
      </c>
      <c r="J475" s="12" t="n">
        <v>46101</v>
      </c>
      <c r="K475" s="2" t="n">
        <v>794</v>
      </c>
      <c r="L475" s="2" t="inlineStr">
        <is>
          <t>Road</t>
        </is>
      </c>
      <c r="M475" s="2" t="inlineStr">
        <is>
          <t>No Delay</t>
        </is>
      </c>
      <c r="N475" s="4">
        <f>IF(I475&lt;=H475,1,0)</f>
        <v/>
      </c>
      <c r="O475" s="4">
        <f>IF(J475&lt;=G475,1,0)</f>
        <v/>
      </c>
      <c r="P475" s="4">
        <f>MAX(0,I475-H475)</f>
        <v/>
      </c>
      <c r="Q475" s="4">
        <f>MAX(0,J475-G475)</f>
        <v/>
      </c>
      <c r="R475" s="4">
        <f>IF(AND(N475=1,O475=1),"On Track",IF(O475=0,"Customer Delivery Late","Ship Late"))</f>
        <v/>
      </c>
    </row>
    <row r="476">
      <c r="A476" s="2" t="inlineStr">
        <is>
          <t>ORD-00475</t>
        </is>
      </c>
      <c r="B476" s="2" t="inlineStr">
        <is>
          <t>Customer 25</t>
        </is>
      </c>
      <c r="C476" s="2" t="inlineStr">
        <is>
          <t>Contactor</t>
        </is>
      </c>
      <c r="D476" s="2" t="inlineStr">
        <is>
          <t>Plant A</t>
        </is>
      </c>
      <c r="E476" s="2" t="inlineStr">
        <is>
          <t>Central</t>
        </is>
      </c>
      <c r="F476" s="12" t="n">
        <v>46192</v>
      </c>
      <c r="G476" s="12" t="n">
        <v>46211</v>
      </c>
      <c r="H476" s="12" t="n">
        <v>46209</v>
      </c>
      <c r="I476" s="12" t="n">
        <v>46209</v>
      </c>
      <c r="J476" s="12" t="n">
        <v>46210</v>
      </c>
      <c r="K476" s="2" t="n">
        <v>960</v>
      </c>
      <c r="L476" s="2" t="inlineStr">
        <is>
          <t>Air</t>
        </is>
      </c>
      <c r="M476" s="2" t="inlineStr">
        <is>
          <t>No Delay</t>
        </is>
      </c>
      <c r="N476" s="4">
        <f>IF(I476&lt;=H476,1,0)</f>
        <v/>
      </c>
      <c r="O476" s="4">
        <f>IF(J476&lt;=G476,1,0)</f>
        <v/>
      </c>
      <c r="P476" s="4">
        <f>MAX(0,I476-H476)</f>
        <v/>
      </c>
      <c r="Q476" s="4">
        <f>MAX(0,J476-G476)</f>
        <v/>
      </c>
      <c r="R476" s="4">
        <f>IF(AND(N476=1,O476=1),"On Track",IF(O476=0,"Customer Delivery Late","Ship Late"))</f>
        <v/>
      </c>
    </row>
    <row r="477">
      <c r="A477" s="2" t="inlineStr">
        <is>
          <t>ORD-00476</t>
        </is>
      </c>
      <c r="B477" s="2" t="inlineStr">
        <is>
          <t>Customer 13</t>
        </is>
      </c>
      <c r="C477" s="2" t="inlineStr">
        <is>
          <t>Switchgear</t>
        </is>
      </c>
      <c r="D477" s="2" t="inlineStr">
        <is>
          <t>Plant B</t>
        </is>
      </c>
      <c r="E477" s="2" t="inlineStr">
        <is>
          <t>Central</t>
        </is>
      </c>
      <c r="F477" s="12" t="n">
        <v>46144</v>
      </c>
      <c r="G477" s="12" t="n">
        <v>46158</v>
      </c>
      <c r="H477" s="12" t="n">
        <v>46154</v>
      </c>
      <c r="I477" s="12" t="n">
        <v>46154</v>
      </c>
      <c r="J477" s="12" t="n">
        <v>46158</v>
      </c>
      <c r="K477" s="2" t="n">
        <v>1096</v>
      </c>
      <c r="L477" s="2" t="inlineStr">
        <is>
          <t>Air</t>
        </is>
      </c>
      <c r="M477" s="2" t="inlineStr">
        <is>
          <t>No Delay</t>
        </is>
      </c>
      <c r="N477" s="4">
        <f>IF(I477&lt;=H477,1,0)</f>
        <v/>
      </c>
      <c r="O477" s="4">
        <f>IF(J477&lt;=G477,1,0)</f>
        <v/>
      </c>
      <c r="P477" s="4">
        <f>MAX(0,I477-H477)</f>
        <v/>
      </c>
      <c r="Q477" s="4">
        <f>MAX(0,J477-G477)</f>
        <v/>
      </c>
      <c r="R477" s="4">
        <f>IF(AND(N477=1,O477=1),"On Track",IF(O477=0,"Customer Delivery Late","Ship Late"))</f>
        <v/>
      </c>
    </row>
    <row r="478">
      <c r="A478" s="2" t="inlineStr">
        <is>
          <t>ORD-00477</t>
        </is>
      </c>
      <c r="B478" s="2" t="inlineStr">
        <is>
          <t>Customer 21</t>
        </is>
      </c>
      <c r="C478" s="2" t="inlineStr">
        <is>
          <t>Drive</t>
        </is>
      </c>
      <c r="D478" s="2" t="inlineStr">
        <is>
          <t>Plant B</t>
        </is>
      </c>
      <c r="E478" s="2" t="inlineStr">
        <is>
          <t>South</t>
        </is>
      </c>
      <c r="F478" s="12" t="n">
        <v>46026</v>
      </c>
      <c r="G478" s="12" t="n">
        <v>46040</v>
      </c>
      <c r="H478" s="12" t="n">
        <v>46036</v>
      </c>
      <c r="I478" s="12" t="n">
        <v>46035</v>
      </c>
      <c r="J478" s="12" t="n">
        <v>46038</v>
      </c>
      <c r="K478" s="2" t="n">
        <v>696</v>
      </c>
      <c r="L478" s="2" t="inlineStr">
        <is>
          <t>Air</t>
        </is>
      </c>
      <c r="M478" s="2" t="inlineStr">
        <is>
          <t>No Delay</t>
        </is>
      </c>
      <c r="N478" s="4">
        <f>IF(I478&lt;=H478,1,0)</f>
        <v/>
      </c>
      <c r="O478" s="4">
        <f>IF(J478&lt;=G478,1,0)</f>
        <v/>
      </c>
      <c r="P478" s="4">
        <f>MAX(0,I478-H478)</f>
        <v/>
      </c>
      <c r="Q478" s="4">
        <f>MAX(0,J478-G478)</f>
        <v/>
      </c>
      <c r="R478" s="4">
        <f>IF(AND(N478=1,O478=1),"On Track",IF(O478=0,"Customer Delivery Late","Ship Late"))</f>
        <v/>
      </c>
    </row>
    <row r="479">
      <c r="A479" s="2" t="inlineStr">
        <is>
          <t>ORD-00478</t>
        </is>
      </c>
      <c r="B479" s="2" t="inlineStr">
        <is>
          <t>Customer 19</t>
        </is>
      </c>
      <c r="C479" s="2" t="inlineStr">
        <is>
          <t>PLC</t>
        </is>
      </c>
      <c r="D479" s="2" t="inlineStr">
        <is>
          <t>Plant C</t>
        </is>
      </c>
      <c r="E479" s="2" t="inlineStr">
        <is>
          <t>South</t>
        </is>
      </c>
      <c r="F479" s="12" t="n">
        <v>46091</v>
      </c>
      <c r="G479" s="12" t="n">
        <v>46099</v>
      </c>
      <c r="H479" s="12" t="n">
        <v>46096</v>
      </c>
      <c r="I479" s="12" t="n">
        <v>46095</v>
      </c>
      <c r="J479" s="12" t="n">
        <v>46098</v>
      </c>
      <c r="K479" s="2" t="n">
        <v>1397</v>
      </c>
      <c r="L479" s="2" t="inlineStr">
        <is>
          <t>Sea</t>
        </is>
      </c>
      <c r="M479" s="2" t="inlineStr">
        <is>
          <t>No Delay</t>
        </is>
      </c>
      <c r="N479" s="4">
        <f>IF(I479&lt;=H479,1,0)</f>
        <v/>
      </c>
      <c r="O479" s="4">
        <f>IF(J479&lt;=G479,1,0)</f>
        <v/>
      </c>
      <c r="P479" s="4">
        <f>MAX(0,I479-H479)</f>
        <v/>
      </c>
      <c r="Q479" s="4">
        <f>MAX(0,J479-G479)</f>
        <v/>
      </c>
      <c r="R479" s="4">
        <f>IF(AND(N479=1,O479=1),"On Track",IF(O479=0,"Customer Delivery Late","Ship Late"))</f>
        <v/>
      </c>
    </row>
    <row r="480">
      <c r="A480" s="2" t="inlineStr">
        <is>
          <t>ORD-00479</t>
        </is>
      </c>
      <c r="B480" s="2" t="inlineStr">
        <is>
          <t>Customer 17</t>
        </is>
      </c>
      <c r="C480" s="2" t="inlineStr">
        <is>
          <t>Contactor</t>
        </is>
      </c>
      <c r="D480" s="2" t="inlineStr">
        <is>
          <t>Plant C</t>
        </is>
      </c>
      <c r="E480" s="2" t="inlineStr">
        <is>
          <t>Export</t>
        </is>
      </c>
      <c r="F480" s="12" t="n">
        <v>46069</v>
      </c>
      <c r="G480" s="12" t="n">
        <v>46084</v>
      </c>
      <c r="H480" s="12" t="n">
        <v>46079</v>
      </c>
      <c r="I480" s="12" t="n">
        <v>46077</v>
      </c>
      <c r="J480" s="12" t="n">
        <v>46081</v>
      </c>
      <c r="K480" s="2" t="n">
        <v>729</v>
      </c>
      <c r="L480" s="2" t="inlineStr">
        <is>
          <t>Road</t>
        </is>
      </c>
      <c r="M480" s="2" t="inlineStr">
        <is>
          <t>No Delay</t>
        </is>
      </c>
      <c r="N480" s="4">
        <f>IF(I480&lt;=H480,1,0)</f>
        <v/>
      </c>
      <c r="O480" s="4">
        <f>IF(J480&lt;=G480,1,0)</f>
        <v/>
      </c>
      <c r="P480" s="4">
        <f>MAX(0,I480-H480)</f>
        <v/>
      </c>
      <c r="Q480" s="4">
        <f>MAX(0,J480-G480)</f>
        <v/>
      </c>
      <c r="R480" s="4">
        <f>IF(AND(N480=1,O480=1),"On Track",IF(O480=0,"Customer Delivery Late","Ship Late"))</f>
        <v/>
      </c>
    </row>
    <row r="481">
      <c r="A481" s="2" t="inlineStr">
        <is>
          <t>ORD-00480</t>
        </is>
      </c>
      <c r="B481" s="2" t="inlineStr">
        <is>
          <t>Customer 22</t>
        </is>
      </c>
      <c r="C481" s="2" t="inlineStr">
        <is>
          <t>PLC</t>
        </is>
      </c>
      <c r="D481" s="2" t="inlineStr">
        <is>
          <t>Plant C</t>
        </is>
      </c>
      <c r="E481" s="2" t="inlineStr">
        <is>
          <t>North</t>
        </is>
      </c>
      <c r="F481" s="12" t="n">
        <v>46095</v>
      </c>
      <c r="G481" s="12" t="n">
        <v>46108</v>
      </c>
      <c r="H481" s="12" t="n">
        <v>46106</v>
      </c>
      <c r="I481" s="12" t="n">
        <v>46106</v>
      </c>
      <c r="J481" s="12" t="n">
        <v>46107</v>
      </c>
      <c r="K481" s="2" t="n">
        <v>1460</v>
      </c>
      <c r="L481" s="2" t="inlineStr">
        <is>
          <t>Road</t>
        </is>
      </c>
      <c r="M481" s="2" t="inlineStr">
        <is>
          <t>No Delay</t>
        </is>
      </c>
      <c r="N481" s="4">
        <f>IF(I481&lt;=H481,1,0)</f>
        <v/>
      </c>
      <c r="O481" s="4">
        <f>IF(J481&lt;=G481,1,0)</f>
        <v/>
      </c>
      <c r="P481" s="4">
        <f>MAX(0,I481-H481)</f>
        <v/>
      </c>
      <c r="Q481" s="4">
        <f>MAX(0,J481-G481)</f>
        <v/>
      </c>
      <c r="R481" s="4">
        <f>IF(AND(N481=1,O481=1),"On Track",IF(O481=0,"Customer Delivery Late","Ship Late"))</f>
        <v/>
      </c>
    </row>
    <row r="482">
      <c r="A482" s="2" t="inlineStr">
        <is>
          <t>ORD-00481</t>
        </is>
      </c>
      <c r="B482" s="2" t="inlineStr">
        <is>
          <t>Customer 09</t>
        </is>
      </c>
      <c r="C482" s="2" t="inlineStr">
        <is>
          <t>Sensor</t>
        </is>
      </c>
      <c r="D482" s="2" t="inlineStr">
        <is>
          <t>Plant B</t>
        </is>
      </c>
      <c r="E482" s="2" t="inlineStr">
        <is>
          <t>North</t>
        </is>
      </c>
      <c r="F482" s="12" t="n">
        <v>46045</v>
      </c>
      <c r="G482" s="12" t="n">
        <v>46069</v>
      </c>
      <c r="H482" s="12" t="n">
        <v>46067</v>
      </c>
      <c r="I482" s="12" t="n">
        <v>46067</v>
      </c>
      <c r="J482" s="12" t="n">
        <v>46068</v>
      </c>
      <c r="K482" s="2" t="n">
        <v>1318</v>
      </c>
      <c r="L482" s="2" t="inlineStr">
        <is>
          <t>Air</t>
        </is>
      </c>
      <c r="M482" s="2" t="inlineStr">
        <is>
          <t>No Delay</t>
        </is>
      </c>
      <c r="N482" s="4">
        <f>IF(I482&lt;=H482,1,0)</f>
        <v/>
      </c>
      <c r="O482" s="4">
        <f>IF(J482&lt;=G482,1,0)</f>
        <v/>
      </c>
      <c r="P482" s="4">
        <f>MAX(0,I482-H482)</f>
        <v/>
      </c>
      <c r="Q482" s="4">
        <f>MAX(0,J482-G482)</f>
        <v/>
      </c>
      <c r="R482" s="4">
        <f>IF(AND(N482=1,O482=1),"On Track",IF(O482=0,"Customer Delivery Late","Ship Late"))</f>
        <v/>
      </c>
    </row>
    <row r="483">
      <c r="A483" s="2" t="inlineStr">
        <is>
          <t>ORD-00482</t>
        </is>
      </c>
      <c r="B483" s="2" t="inlineStr">
        <is>
          <t>Customer 11</t>
        </is>
      </c>
      <c r="C483" s="2" t="inlineStr">
        <is>
          <t>Breaker</t>
        </is>
      </c>
      <c r="D483" s="2" t="inlineStr">
        <is>
          <t>Plant B</t>
        </is>
      </c>
      <c r="E483" s="2" t="inlineStr">
        <is>
          <t>South</t>
        </is>
      </c>
      <c r="F483" s="12" t="n">
        <v>46093</v>
      </c>
      <c r="G483" s="12" t="n">
        <v>46111</v>
      </c>
      <c r="H483" s="12" t="n">
        <v>46108</v>
      </c>
      <c r="I483" s="12" t="n">
        <v>46106</v>
      </c>
      <c r="J483" s="12" t="n">
        <v>46108</v>
      </c>
      <c r="K483" s="2" t="n">
        <v>374</v>
      </c>
      <c r="L483" s="2" t="inlineStr">
        <is>
          <t>Air</t>
        </is>
      </c>
      <c r="M483" s="2" t="inlineStr">
        <is>
          <t>No Delay</t>
        </is>
      </c>
      <c r="N483" s="4">
        <f>IF(I483&lt;=H483,1,0)</f>
        <v/>
      </c>
      <c r="O483" s="4">
        <f>IF(J483&lt;=G483,1,0)</f>
        <v/>
      </c>
      <c r="P483" s="4">
        <f>MAX(0,I483-H483)</f>
        <v/>
      </c>
      <c r="Q483" s="4">
        <f>MAX(0,J483-G483)</f>
        <v/>
      </c>
      <c r="R483" s="4">
        <f>IF(AND(N483=1,O483=1),"On Track",IF(O483=0,"Customer Delivery Late","Ship Late"))</f>
        <v/>
      </c>
    </row>
    <row r="484">
      <c r="A484" s="2" t="inlineStr">
        <is>
          <t>ORD-00483</t>
        </is>
      </c>
      <c r="B484" s="2" t="inlineStr">
        <is>
          <t>Customer 25</t>
        </is>
      </c>
      <c r="C484" s="2" t="inlineStr">
        <is>
          <t>Power Supply</t>
        </is>
      </c>
      <c r="D484" s="2" t="inlineStr">
        <is>
          <t>Plant A</t>
        </is>
      </c>
      <c r="E484" s="2" t="inlineStr">
        <is>
          <t>North</t>
        </is>
      </c>
      <c r="F484" s="12" t="n">
        <v>46040</v>
      </c>
      <c r="G484" s="12" t="n">
        <v>46060</v>
      </c>
      <c r="H484" s="12" t="n">
        <v>46058</v>
      </c>
      <c r="I484" s="12" t="n">
        <v>46056</v>
      </c>
      <c r="J484" s="12" t="n">
        <v>46057</v>
      </c>
      <c r="K484" s="2" t="n">
        <v>914</v>
      </c>
      <c r="L484" s="2" t="inlineStr">
        <is>
          <t>Sea</t>
        </is>
      </c>
      <c r="M484" s="2" t="inlineStr">
        <is>
          <t>No Delay</t>
        </is>
      </c>
      <c r="N484" s="4">
        <f>IF(I484&lt;=H484,1,0)</f>
        <v/>
      </c>
      <c r="O484" s="4">
        <f>IF(J484&lt;=G484,1,0)</f>
        <v/>
      </c>
      <c r="P484" s="4">
        <f>MAX(0,I484-H484)</f>
        <v/>
      </c>
      <c r="Q484" s="4">
        <f>MAX(0,J484-G484)</f>
        <v/>
      </c>
      <c r="R484" s="4">
        <f>IF(AND(N484=1,O484=1),"On Track",IF(O484=0,"Customer Delivery Late","Ship Late"))</f>
        <v/>
      </c>
    </row>
    <row r="485">
      <c r="A485" s="2" t="inlineStr">
        <is>
          <t>ORD-00484</t>
        </is>
      </c>
      <c r="B485" s="2" t="inlineStr">
        <is>
          <t>Customer 16</t>
        </is>
      </c>
      <c r="C485" s="2" t="inlineStr">
        <is>
          <t>Relay</t>
        </is>
      </c>
      <c r="D485" s="2" t="inlineStr">
        <is>
          <t>Plant C</t>
        </is>
      </c>
      <c r="E485" s="2" t="inlineStr">
        <is>
          <t>North</t>
        </is>
      </c>
      <c r="F485" s="12" t="n">
        <v>46089</v>
      </c>
      <c r="G485" s="12" t="n">
        <v>46097</v>
      </c>
      <c r="H485" s="12" t="n">
        <v>46096</v>
      </c>
      <c r="I485" s="12" t="n">
        <v>46096</v>
      </c>
      <c r="J485" s="12" t="n">
        <v>46097</v>
      </c>
      <c r="K485" s="2" t="n">
        <v>87</v>
      </c>
      <c r="L485" s="2" t="inlineStr">
        <is>
          <t>Sea</t>
        </is>
      </c>
      <c r="M485" s="2" t="inlineStr">
        <is>
          <t>No Delay</t>
        </is>
      </c>
      <c r="N485" s="4">
        <f>IF(I485&lt;=H485,1,0)</f>
        <v/>
      </c>
      <c r="O485" s="4">
        <f>IF(J485&lt;=G485,1,0)</f>
        <v/>
      </c>
      <c r="P485" s="4">
        <f>MAX(0,I485-H485)</f>
        <v/>
      </c>
      <c r="Q485" s="4">
        <f>MAX(0,J485-G485)</f>
        <v/>
      </c>
      <c r="R485" s="4">
        <f>IF(AND(N485=1,O485=1),"On Track",IF(O485=0,"Customer Delivery Late","Ship Late"))</f>
        <v/>
      </c>
    </row>
    <row r="486">
      <c r="A486" s="2" t="inlineStr">
        <is>
          <t>ORD-00485</t>
        </is>
      </c>
      <c r="B486" s="2" t="inlineStr">
        <is>
          <t>Customer 25</t>
        </is>
      </c>
      <c r="C486" s="2" t="inlineStr">
        <is>
          <t>Switchgear</t>
        </is>
      </c>
      <c r="D486" s="2" t="inlineStr">
        <is>
          <t>Plant B</t>
        </is>
      </c>
      <c r="E486" s="2" t="inlineStr">
        <is>
          <t>Export</t>
        </is>
      </c>
      <c r="F486" s="12" t="n">
        <v>46122</v>
      </c>
      <c r="G486" s="12" t="n">
        <v>46135</v>
      </c>
      <c r="H486" s="12" t="n">
        <v>46133</v>
      </c>
      <c r="I486" s="12" t="n">
        <v>46132</v>
      </c>
      <c r="J486" s="12" t="n">
        <v>46135</v>
      </c>
      <c r="K486" s="2" t="n">
        <v>837</v>
      </c>
      <c r="L486" s="2" t="inlineStr">
        <is>
          <t>Sea</t>
        </is>
      </c>
      <c r="M486" s="2" t="inlineStr">
        <is>
          <t>No Delay</t>
        </is>
      </c>
      <c r="N486" s="4">
        <f>IF(I486&lt;=H486,1,0)</f>
        <v/>
      </c>
      <c r="O486" s="4">
        <f>IF(J486&lt;=G486,1,0)</f>
        <v/>
      </c>
      <c r="P486" s="4">
        <f>MAX(0,I486-H486)</f>
        <v/>
      </c>
      <c r="Q486" s="4">
        <f>MAX(0,J486-G486)</f>
        <v/>
      </c>
      <c r="R486" s="4">
        <f>IF(AND(N486=1,O486=1),"On Track",IF(O486=0,"Customer Delivery Late","Ship Late"))</f>
        <v/>
      </c>
    </row>
    <row r="487">
      <c r="A487" s="2" t="inlineStr">
        <is>
          <t>ORD-00486</t>
        </is>
      </c>
      <c r="B487" s="2" t="inlineStr">
        <is>
          <t>Customer 30</t>
        </is>
      </c>
      <c r="C487" s="2" t="inlineStr">
        <is>
          <t>Drive</t>
        </is>
      </c>
      <c r="D487" s="2" t="inlineStr">
        <is>
          <t>Plant B</t>
        </is>
      </c>
      <c r="E487" s="2" t="inlineStr">
        <is>
          <t>South</t>
        </is>
      </c>
      <c r="F487" s="12" t="n">
        <v>46040</v>
      </c>
      <c r="G487" s="12" t="n">
        <v>46062</v>
      </c>
      <c r="H487" s="12" t="n">
        <v>46060</v>
      </c>
      <c r="I487" s="12" t="n">
        <v>46060</v>
      </c>
      <c r="J487" s="12" t="n">
        <v>46061</v>
      </c>
      <c r="K487" s="2" t="n">
        <v>830</v>
      </c>
      <c r="L487" s="2" t="inlineStr">
        <is>
          <t>Road</t>
        </is>
      </c>
      <c r="M487" s="2" t="inlineStr">
        <is>
          <t>No Delay</t>
        </is>
      </c>
      <c r="N487" s="4">
        <f>IF(I487&lt;=H487,1,0)</f>
        <v/>
      </c>
      <c r="O487" s="4">
        <f>IF(J487&lt;=G487,1,0)</f>
        <v/>
      </c>
      <c r="P487" s="4">
        <f>MAX(0,I487-H487)</f>
        <v/>
      </c>
      <c r="Q487" s="4">
        <f>MAX(0,J487-G487)</f>
        <v/>
      </c>
      <c r="R487" s="4">
        <f>IF(AND(N487=1,O487=1),"On Track",IF(O487=0,"Customer Delivery Late","Ship Late"))</f>
        <v/>
      </c>
    </row>
    <row r="488">
      <c r="A488" s="2" t="inlineStr">
        <is>
          <t>ORD-00487</t>
        </is>
      </c>
      <c r="B488" s="2" t="inlineStr">
        <is>
          <t>Customer 10</t>
        </is>
      </c>
      <c r="C488" s="2" t="inlineStr">
        <is>
          <t>PLC</t>
        </is>
      </c>
      <c r="D488" s="2" t="inlineStr">
        <is>
          <t>Plant A</t>
        </is>
      </c>
      <c r="E488" s="2" t="inlineStr">
        <is>
          <t>North</t>
        </is>
      </c>
      <c r="F488" s="12" t="n">
        <v>46184</v>
      </c>
      <c r="G488" s="12" t="n">
        <v>46209</v>
      </c>
      <c r="H488" s="12" t="n">
        <v>46208</v>
      </c>
      <c r="I488" s="12" t="n">
        <v>46207</v>
      </c>
      <c r="J488" s="12" t="n">
        <v>46208</v>
      </c>
      <c r="K488" s="2" t="n">
        <v>796</v>
      </c>
      <c r="L488" s="2" t="inlineStr">
        <is>
          <t>Sea</t>
        </is>
      </c>
      <c r="M488" s="2" t="inlineStr">
        <is>
          <t>No Delay</t>
        </is>
      </c>
      <c r="N488" s="4">
        <f>IF(I488&lt;=H488,1,0)</f>
        <v/>
      </c>
      <c r="O488" s="4">
        <f>IF(J488&lt;=G488,1,0)</f>
        <v/>
      </c>
      <c r="P488" s="4">
        <f>MAX(0,I488-H488)</f>
        <v/>
      </c>
      <c r="Q488" s="4">
        <f>MAX(0,J488-G488)</f>
        <v/>
      </c>
      <c r="R488" s="4">
        <f>IF(AND(N488=1,O488=1),"On Track",IF(O488=0,"Customer Delivery Late","Ship Late"))</f>
        <v/>
      </c>
    </row>
    <row r="489">
      <c r="A489" s="2" t="inlineStr">
        <is>
          <t>ORD-00488</t>
        </is>
      </c>
      <c r="B489" s="2" t="inlineStr">
        <is>
          <t>Customer 21</t>
        </is>
      </c>
      <c r="C489" s="2" t="inlineStr">
        <is>
          <t>Switchgear</t>
        </is>
      </c>
      <c r="D489" s="2" t="inlineStr">
        <is>
          <t>Plant C</t>
        </is>
      </c>
      <c r="E489" s="2" t="inlineStr">
        <is>
          <t>Central</t>
        </is>
      </c>
      <c r="F489" s="12" t="n">
        <v>46071</v>
      </c>
      <c r="G489" s="12" t="n">
        <v>46085</v>
      </c>
      <c r="H489" s="12" t="n">
        <v>46081</v>
      </c>
      <c r="I489" s="12" t="n">
        <v>46081</v>
      </c>
      <c r="J489" s="12" t="n">
        <v>46085</v>
      </c>
      <c r="K489" s="2" t="n">
        <v>296</v>
      </c>
      <c r="L489" s="2" t="inlineStr">
        <is>
          <t>Road</t>
        </is>
      </c>
      <c r="M489" s="2" t="inlineStr">
        <is>
          <t>No Delay</t>
        </is>
      </c>
      <c r="N489" s="4">
        <f>IF(I489&lt;=H489,1,0)</f>
        <v/>
      </c>
      <c r="O489" s="4">
        <f>IF(J489&lt;=G489,1,0)</f>
        <v/>
      </c>
      <c r="P489" s="4">
        <f>MAX(0,I489-H489)</f>
        <v/>
      </c>
      <c r="Q489" s="4">
        <f>MAX(0,J489-G489)</f>
        <v/>
      </c>
      <c r="R489" s="4">
        <f>IF(AND(N489=1,O489=1),"On Track",IF(O489=0,"Customer Delivery Late","Ship Late"))</f>
        <v/>
      </c>
    </row>
    <row r="490">
      <c r="A490" s="2" t="inlineStr">
        <is>
          <t>ORD-00489</t>
        </is>
      </c>
      <c r="B490" s="2" t="inlineStr">
        <is>
          <t>Customer 16</t>
        </is>
      </c>
      <c r="C490" s="2" t="inlineStr">
        <is>
          <t>Switchgear</t>
        </is>
      </c>
      <c r="D490" s="2" t="inlineStr">
        <is>
          <t>Plant A</t>
        </is>
      </c>
      <c r="E490" s="2" t="inlineStr">
        <is>
          <t>North</t>
        </is>
      </c>
      <c r="F490" s="12" t="n">
        <v>46072</v>
      </c>
      <c r="G490" s="12" t="n">
        <v>46077</v>
      </c>
      <c r="H490" s="12" t="n">
        <v>46072</v>
      </c>
      <c r="I490" s="12" t="n">
        <v>46071</v>
      </c>
      <c r="J490" s="12" t="n">
        <v>46077</v>
      </c>
      <c r="K490" s="2" t="n">
        <v>704</v>
      </c>
      <c r="L490" s="2" t="inlineStr">
        <is>
          <t>Road</t>
        </is>
      </c>
      <c r="M490" s="2" t="inlineStr">
        <is>
          <t>No Delay</t>
        </is>
      </c>
      <c r="N490" s="4">
        <f>IF(I490&lt;=H490,1,0)</f>
        <v/>
      </c>
      <c r="O490" s="4">
        <f>IF(J490&lt;=G490,1,0)</f>
        <v/>
      </c>
      <c r="P490" s="4">
        <f>MAX(0,I490-H490)</f>
        <v/>
      </c>
      <c r="Q490" s="4">
        <f>MAX(0,J490-G490)</f>
        <v/>
      </c>
      <c r="R490" s="4">
        <f>IF(AND(N490=1,O490=1),"On Track",IF(O490=0,"Customer Delivery Late","Ship Late"))</f>
        <v/>
      </c>
    </row>
    <row r="491">
      <c r="A491" s="2" t="inlineStr">
        <is>
          <t>ORD-00490</t>
        </is>
      </c>
      <c r="B491" s="2" t="inlineStr">
        <is>
          <t>Customer 08</t>
        </is>
      </c>
      <c r="C491" s="2" t="inlineStr">
        <is>
          <t>Contactor</t>
        </is>
      </c>
      <c r="D491" s="2" t="inlineStr">
        <is>
          <t>Plant A</t>
        </is>
      </c>
      <c r="E491" s="2" t="inlineStr">
        <is>
          <t>Central</t>
        </is>
      </c>
      <c r="F491" s="12" t="n">
        <v>46109</v>
      </c>
      <c r="G491" s="12" t="n">
        <v>46115</v>
      </c>
      <c r="H491" s="12" t="n">
        <v>46111</v>
      </c>
      <c r="I491" s="12" t="n">
        <v>46111</v>
      </c>
      <c r="J491" s="12" t="n">
        <v>46116</v>
      </c>
      <c r="K491" s="2" t="n">
        <v>1011</v>
      </c>
      <c r="L491" s="2" t="inlineStr">
        <is>
          <t>Sea</t>
        </is>
      </c>
      <c r="M491" s="2" t="inlineStr">
        <is>
          <t>Capacity Constraint</t>
        </is>
      </c>
      <c r="N491" s="4">
        <f>IF(I491&lt;=H491,1,0)</f>
        <v/>
      </c>
      <c r="O491" s="4">
        <f>IF(J491&lt;=G491,1,0)</f>
        <v/>
      </c>
      <c r="P491" s="4">
        <f>MAX(0,I491-H491)</f>
        <v/>
      </c>
      <c r="Q491" s="4">
        <f>MAX(0,J491-G491)</f>
        <v/>
      </c>
      <c r="R491" s="4">
        <f>IF(AND(N491=1,O491=1),"On Track",IF(O491=0,"Customer Delivery Late","Ship Late"))</f>
        <v/>
      </c>
    </row>
    <row r="492">
      <c r="A492" s="2" t="inlineStr">
        <is>
          <t>ORD-00491</t>
        </is>
      </c>
      <c r="B492" s="2" t="inlineStr">
        <is>
          <t>Customer 02</t>
        </is>
      </c>
      <c r="C492" s="2" t="inlineStr">
        <is>
          <t>Sensor</t>
        </is>
      </c>
      <c r="D492" s="2" t="inlineStr">
        <is>
          <t>Plant A</t>
        </is>
      </c>
      <c r="E492" s="2" t="inlineStr">
        <is>
          <t>Export</t>
        </is>
      </c>
      <c r="F492" s="12" t="n">
        <v>46027</v>
      </c>
      <c r="G492" s="12" t="n">
        <v>46047</v>
      </c>
      <c r="H492" s="12" t="n">
        <v>46042</v>
      </c>
      <c r="I492" s="12" t="n">
        <v>46042</v>
      </c>
      <c r="J492" s="12" t="n">
        <v>46046</v>
      </c>
      <c r="K492" s="2" t="n">
        <v>1261</v>
      </c>
      <c r="L492" s="2" t="inlineStr">
        <is>
          <t>Road</t>
        </is>
      </c>
      <c r="M492" s="2" t="inlineStr">
        <is>
          <t>No Delay</t>
        </is>
      </c>
      <c r="N492" s="4">
        <f>IF(I492&lt;=H492,1,0)</f>
        <v/>
      </c>
      <c r="O492" s="4">
        <f>IF(J492&lt;=G492,1,0)</f>
        <v/>
      </c>
      <c r="P492" s="4">
        <f>MAX(0,I492-H492)</f>
        <v/>
      </c>
      <c r="Q492" s="4">
        <f>MAX(0,J492-G492)</f>
        <v/>
      </c>
      <c r="R492" s="4">
        <f>IF(AND(N492=1,O492=1),"On Track",IF(O492=0,"Customer Delivery Late","Ship Late"))</f>
        <v/>
      </c>
    </row>
    <row r="493">
      <c r="A493" s="2" t="inlineStr">
        <is>
          <t>ORD-00492</t>
        </is>
      </c>
      <c r="B493" s="2" t="inlineStr">
        <is>
          <t>Customer 14</t>
        </is>
      </c>
      <c r="C493" s="2" t="inlineStr">
        <is>
          <t>Drive</t>
        </is>
      </c>
      <c r="D493" s="2" t="inlineStr">
        <is>
          <t>Plant C</t>
        </is>
      </c>
      <c r="E493" s="2" t="inlineStr">
        <is>
          <t>Export</t>
        </is>
      </c>
      <c r="F493" s="12" t="n">
        <v>46174</v>
      </c>
      <c r="G493" s="12" t="n">
        <v>46181</v>
      </c>
      <c r="H493" s="12" t="n">
        <v>46180</v>
      </c>
      <c r="I493" s="12" t="n">
        <v>46180</v>
      </c>
      <c r="J493" s="12" t="n">
        <v>46181</v>
      </c>
      <c r="K493" s="2" t="n">
        <v>674</v>
      </c>
      <c r="L493" s="2" t="inlineStr">
        <is>
          <t>Road</t>
        </is>
      </c>
      <c r="M493" s="2" t="inlineStr">
        <is>
          <t>No Delay</t>
        </is>
      </c>
      <c r="N493" s="4">
        <f>IF(I493&lt;=H493,1,0)</f>
        <v/>
      </c>
      <c r="O493" s="4">
        <f>IF(J493&lt;=G493,1,0)</f>
        <v/>
      </c>
      <c r="P493" s="4">
        <f>MAX(0,I493-H493)</f>
        <v/>
      </c>
      <c r="Q493" s="4">
        <f>MAX(0,J493-G493)</f>
        <v/>
      </c>
      <c r="R493" s="4">
        <f>IF(AND(N493=1,O493=1),"On Track",IF(O493=0,"Customer Delivery Late","Ship Late"))</f>
        <v/>
      </c>
    </row>
    <row r="494">
      <c r="A494" s="2" t="inlineStr">
        <is>
          <t>ORD-00493</t>
        </is>
      </c>
      <c r="B494" s="2" t="inlineStr">
        <is>
          <t>Customer 03</t>
        </is>
      </c>
      <c r="C494" s="2" t="inlineStr">
        <is>
          <t>Contactor</t>
        </is>
      </c>
      <c r="D494" s="2" t="inlineStr">
        <is>
          <t>Plant B</t>
        </is>
      </c>
      <c r="E494" s="2" t="inlineStr">
        <is>
          <t>Central</t>
        </is>
      </c>
      <c r="F494" s="12" t="n">
        <v>46198</v>
      </c>
      <c r="G494" s="12" t="n">
        <v>46221</v>
      </c>
      <c r="H494" s="12" t="n">
        <v>46216</v>
      </c>
      <c r="I494" s="12" t="n">
        <v>46214</v>
      </c>
      <c r="J494" s="12" t="n">
        <v>46220</v>
      </c>
      <c r="K494" s="2" t="n">
        <v>860</v>
      </c>
      <c r="L494" s="2" t="inlineStr">
        <is>
          <t>Road</t>
        </is>
      </c>
      <c r="M494" s="2" t="inlineStr">
        <is>
          <t>No Delay</t>
        </is>
      </c>
      <c r="N494" s="4">
        <f>IF(I494&lt;=H494,1,0)</f>
        <v/>
      </c>
      <c r="O494" s="4">
        <f>IF(J494&lt;=G494,1,0)</f>
        <v/>
      </c>
      <c r="P494" s="4">
        <f>MAX(0,I494-H494)</f>
        <v/>
      </c>
      <c r="Q494" s="4">
        <f>MAX(0,J494-G494)</f>
        <v/>
      </c>
      <c r="R494" s="4">
        <f>IF(AND(N494=1,O494=1),"On Track",IF(O494=0,"Customer Delivery Late","Ship Late"))</f>
        <v/>
      </c>
    </row>
    <row r="495">
      <c r="A495" s="2" t="inlineStr">
        <is>
          <t>ORD-00494</t>
        </is>
      </c>
      <c r="B495" s="2" t="inlineStr">
        <is>
          <t>Customer 28</t>
        </is>
      </c>
      <c r="C495" s="2" t="inlineStr">
        <is>
          <t>Power Supply</t>
        </is>
      </c>
      <c r="D495" s="2" t="inlineStr">
        <is>
          <t>Plant A</t>
        </is>
      </c>
      <c r="E495" s="2" t="inlineStr">
        <is>
          <t>North</t>
        </is>
      </c>
      <c r="F495" s="12" t="n">
        <v>46201</v>
      </c>
      <c r="G495" s="12" t="n">
        <v>46217</v>
      </c>
      <c r="H495" s="12" t="n">
        <v>46212</v>
      </c>
      <c r="I495" s="12" t="n">
        <v>46210</v>
      </c>
      <c r="J495" s="12" t="n">
        <v>46215</v>
      </c>
      <c r="K495" s="2" t="n">
        <v>1007</v>
      </c>
      <c r="L495" s="2" t="inlineStr">
        <is>
          <t>Road</t>
        </is>
      </c>
      <c r="M495" s="2" t="inlineStr">
        <is>
          <t>No Delay</t>
        </is>
      </c>
      <c r="N495" s="4">
        <f>IF(I495&lt;=H495,1,0)</f>
        <v/>
      </c>
      <c r="O495" s="4">
        <f>IF(J495&lt;=G495,1,0)</f>
        <v/>
      </c>
      <c r="P495" s="4">
        <f>MAX(0,I495-H495)</f>
        <v/>
      </c>
      <c r="Q495" s="4">
        <f>MAX(0,J495-G495)</f>
        <v/>
      </c>
      <c r="R495" s="4">
        <f>IF(AND(N495=1,O495=1),"On Track",IF(O495=0,"Customer Delivery Late","Ship Late"))</f>
        <v/>
      </c>
    </row>
    <row r="496">
      <c r="A496" s="2" t="inlineStr">
        <is>
          <t>ORD-00495</t>
        </is>
      </c>
      <c r="B496" s="2" t="inlineStr">
        <is>
          <t>Customer 26</t>
        </is>
      </c>
      <c r="C496" s="2" t="inlineStr">
        <is>
          <t>Switchgear</t>
        </is>
      </c>
      <c r="D496" s="2" t="inlineStr">
        <is>
          <t>Plant C</t>
        </is>
      </c>
      <c r="E496" s="2" t="inlineStr">
        <is>
          <t>Central</t>
        </is>
      </c>
      <c r="F496" s="12" t="n">
        <v>46024</v>
      </c>
      <c r="G496" s="12" t="n">
        <v>46029</v>
      </c>
      <c r="H496" s="12" t="n">
        <v>46027</v>
      </c>
      <c r="I496" s="12" t="n">
        <v>46027</v>
      </c>
      <c r="J496" s="12" t="n">
        <v>46029</v>
      </c>
      <c r="K496" s="2" t="n">
        <v>432</v>
      </c>
      <c r="L496" s="2" t="inlineStr">
        <is>
          <t>Road</t>
        </is>
      </c>
      <c r="M496" s="2" t="inlineStr">
        <is>
          <t>No Delay</t>
        </is>
      </c>
      <c r="N496" s="4">
        <f>IF(I496&lt;=H496,1,0)</f>
        <v/>
      </c>
      <c r="O496" s="4">
        <f>IF(J496&lt;=G496,1,0)</f>
        <v/>
      </c>
      <c r="P496" s="4">
        <f>MAX(0,I496-H496)</f>
        <v/>
      </c>
      <c r="Q496" s="4">
        <f>MAX(0,J496-G496)</f>
        <v/>
      </c>
      <c r="R496" s="4">
        <f>IF(AND(N496=1,O496=1),"On Track",IF(O496=0,"Customer Delivery Late","Ship Late"))</f>
        <v/>
      </c>
    </row>
    <row r="497">
      <c r="A497" s="2" t="inlineStr">
        <is>
          <t>ORD-00496</t>
        </is>
      </c>
      <c r="B497" s="2" t="inlineStr">
        <is>
          <t>Customer 20</t>
        </is>
      </c>
      <c r="C497" s="2" t="inlineStr">
        <is>
          <t>Relay</t>
        </is>
      </c>
      <c r="D497" s="2" t="inlineStr">
        <is>
          <t>Plant C</t>
        </is>
      </c>
      <c r="E497" s="2" t="inlineStr">
        <is>
          <t>Export</t>
        </is>
      </c>
      <c r="F497" s="12" t="n">
        <v>46186</v>
      </c>
      <c r="G497" s="12" t="n">
        <v>46199</v>
      </c>
      <c r="H497" s="12" t="n">
        <v>46194</v>
      </c>
      <c r="I497" s="12" t="n">
        <v>46192</v>
      </c>
      <c r="J497" s="12" t="n">
        <v>46198</v>
      </c>
      <c r="K497" s="2" t="n">
        <v>1263</v>
      </c>
      <c r="L497" s="2" t="inlineStr">
        <is>
          <t>Road</t>
        </is>
      </c>
      <c r="M497" s="2" t="inlineStr">
        <is>
          <t>No Delay</t>
        </is>
      </c>
      <c r="N497" s="4">
        <f>IF(I497&lt;=H497,1,0)</f>
        <v/>
      </c>
      <c r="O497" s="4">
        <f>IF(J497&lt;=G497,1,0)</f>
        <v/>
      </c>
      <c r="P497" s="4">
        <f>MAX(0,I497-H497)</f>
        <v/>
      </c>
      <c r="Q497" s="4">
        <f>MAX(0,J497-G497)</f>
        <v/>
      </c>
      <c r="R497" s="4">
        <f>IF(AND(N497=1,O497=1),"On Track",IF(O497=0,"Customer Delivery Late","Ship Late"))</f>
        <v/>
      </c>
    </row>
    <row r="498">
      <c r="A498" s="2" t="inlineStr">
        <is>
          <t>ORD-00497</t>
        </is>
      </c>
      <c r="B498" s="2" t="inlineStr">
        <is>
          <t>Customer 17</t>
        </is>
      </c>
      <c r="C498" s="2" t="inlineStr">
        <is>
          <t>Contactor</t>
        </is>
      </c>
      <c r="D498" s="2" t="inlineStr">
        <is>
          <t>Plant C</t>
        </is>
      </c>
      <c r="E498" s="2" t="inlineStr">
        <is>
          <t>South</t>
        </is>
      </c>
      <c r="F498" s="12" t="n">
        <v>46183</v>
      </c>
      <c r="G498" s="12" t="n">
        <v>46197</v>
      </c>
      <c r="H498" s="12" t="n">
        <v>46194</v>
      </c>
      <c r="I498" s="12" t="n">
        <v>46194</v>
      </c>
      <c r="J498" s="12" t="n">
        <v>46197</v>
      </c>
      <c r="K498" s="2" t="n">
        <v>1115</v>
      </c>
      <c r="L498" s="2" t="inlineStr">
        <is>
          <t>Sea</t>
        </is>
      </c>
      <c r="M498" s="2" t="inlineStr">
        <is>
          <t>No Delay</t>
        </is>
      </c>
      <c r="N498" s="4">
        <f>IF(I498&lt;=H498,1,0)</f>
        <v/>
      </c>
      <c r="O498" s="4">
        <f>IF(J498&lt;=G498,1,0)</f>
        <v/>
      </c>
      <c r="P498" s="4">
        <f>MAX(0,I498-H498)</f>
        <v/>
      </c>
      <c r="Q498" s="4">
        <f>MAX(0,J498-G498)</f>
        <v/>
      </c>
      <c r="R498" s="4">
        <f>IF(AND(N498=1,O498=1),"On Track",IF(O498=0,"Customer Delivery Late","Ship Late"))</f>
        <v/>
      </c>
    </row>
    <row r="499">
      <c r="A499" s="2" t="inlineStr">
        <is>
          <t>ORD-00498</t>
        </is>
      </c>
      <c r="B499" s="2" t="inlineStr">
        <is>
          <t>Customer 30</t>
        </is>
      </c>
      <c r="C499" s="2" t="inlineStr">
        <is>
          <t>Switchgear</t>
        </is>
      </c>
      <c r="D499" s="2" t="inlineStr">
        <is>
          <t>Plant B</t>
        </is>
      </c>
      <c r="E499" s="2" t="inlineStr">
        <is>
          <t>Central</t>
        </is>
      </c>
      <c r="F499" s="12" t="n">
        <v>46079</v>
      </c>
      <c r="G499" s="12" t="n">
        <v>46098</v>
      </c>
      <c r="H499" s="12" t="n">
        <v>46096</v>
      </c>
      <c r="I499" s="12" t="n">
        <v>46094</v>
      </c>
      <c r="J499" s="12" t="n">
        <v>46096</v>
      </c>
      <c r="K499" s="2" t="n">
        <v>337</v>
      </c>
      <c r="L499" s="2" t="inlineStr">
        <is>
          <t>Sea</t>
        </is>
      </c>
      <c r="M499" s="2" t="inlineStr">
        <is>
          <t>No Delay</t>
        </is>
      </c>
      <c r="N499" s="4">
        <f>IF(I499&lt;=H499,1,0)</f>
        <v/>
      </c>
      <c r="O499" s="4">
        <f>IF(J499&lt;=G499,1,0)</f>
        <v/>
      </c>
      <c r="P499" s="4">
        <f>MAX(0,I499-H499)</f>
        <v/>
      </c>
      <c r="Q499" s="4">
        <f>MAX(0,J499-G499)</f>
        <v/>
      </c>
      <c r="R499" s="4">
        <f>IF(AND(N499=1,O499=1),"On Track",IF(O499=0,"Customer Delivery Late","Ship Late"))</f>
        <v/>
      </c>
    </row>
    <row r="500">
      <c r="A500" s="2" t="inlineStr">
        <is>
          <t>ORD-00499</t>
        </is>
      </c>
      <c r="B500" s="2" t="inlineStr">
        <is>
          <t>Customer 29</t>
        </is>
      </c>
      <c r="C500" s="2" t="inlineStr">
        <is>
          <t>Switchgear</t>
        </is>
      </c>
      <c r="D500" s="2" t="inlineStr">
        <is>
          <t>Plant A</t>
        </is>
      </c>
      <c r="E500" s="2" t="inlineStr">
        <is>
          <t>North</t>
        </is>
      </c>
      <c r="F500" s="12" t="n">
        <v>46034</v>
      </c>
      <c r="G500" s="12" t="n">
        <v>46040</v>
      </c>
      <c r="H500" s="12" t="n">
        <v>46037</v>
      </c>
      <c r="I500" s="12" t="n">
        <v>46036</v>
      </c>
      <c r="J500" s="12" t="n">
        <v>46039</v>
      </c>
      <c r="K500" s="2" t="n">
        <v>117</v>
      </c>
      <c r="L500" s="2" t="inlineStr">
        <is>
          <t>Sea</t>
        </is>
      </c>
      <c r="M500" s="2" t="inlineStr">
        <is>
          <t>No Delay</t>
        </is>
      </c>
      <c r="N500" s="4">
        <f>IF(I500&lt;=H500,1,0)</f>
        <v/>
      </c>
      <c r="O500" s="4">
        <f>IF(J500&lt;=G500,1,0)</f>
        <v/>
      </c>
      <c r="P500" s="4">
        <f>MAX(0,I500-H500)</f>
        <v/>
      </c>
      <c r="Q500" s="4">
        <f>MAX(0,J500-G500)</f>
        <v/>
      </c>
      <c r="R500" s="4">
        <f>IF(AND(N500=1,O500=1),"On Track",IF(O500=0,"Customer Delivery Late","Ship Late"))</f>
        <v/>
      </c>
    </row>
    <row r="501">
      <c r="A501" s="2" t="inlineStr">
        <is>
          <t>ORD-00500</t>
        </is>
      </c>
      <c r="B501" s="2" t="inlineStr">
        <is>
          <t>Customer 19</t>
        </is>
      </c>
      <c r="C501" s="2" t="inlineStr">
        <is>
          <t>Drive</t>
        </is>
      </c>
      <c r="D501" s="2" t="inlineStr">
        <is>
          <t>Plant B</t>
        </is>
      </c>
      <c r="E501" s="2" t="inlineStr">
        <is>
          <t>Central</t>
        </is>
      </c>
      <c r="F501" s="12" t="n">
        <v>46068</v>
      </c>
      <c r="G501" s="12" t="n">
        <v>46078</v>
      </c>
      <c r="H501" s="12" t="n">
        <v>46077</v>
      </c>
      <c r="I501" s="12" t="n">
        <v>46075</v>
      </c>
      <c r="J501" s="12" t="n">
        <v>46076</v>
      </c>
      <c r="K501" s="2" t="n">
        <v>1396</v>
      </c>
      <c r="L501" s="2" t="inlineStr">
        <is>
          <t>Air</t>
        </is>
      </c>
      <c r="M501" s="2" t="inlineStr">
        <is>
          <t>No Delay</t>
        </is>
      </c>
      <c r="N501" s="4">
        <f>IF(I501&lt;=H501,1,0)</f>
        <v/>
      </c>
      <c r="O501" s="4">
        <f>IF(J501&lt;=G501,1,0)</f>
        <v/>
      </c>
      <c r="P501" s="4">
        <f>MAX(0,I501-H501)</f>
        <v/>
      </c>
      <c r="Q501" s="4">
        <f>MAX(0,J501-G501)</f>
        <v/>
      </c>
      <c r="R501" s="4">
        <f>IF(AND(N501=1,O501=1),"On Track",IF(O501=0,"Customer Delivery Late","Ship Late"))</f>
        <v/>
      </c>
    </row>
    <row r="502">
      <c r="A502" s="2" t="inlineStr">
        <is>
          <t>ORD-00501</t>
        </is>
      </c>
      <c r="B502" s="2" t="inlineStr">
        <is>
          <t>Customer 08</t>
        </is>
      </c>
      <c r="C502" s="2" t="inlineStr">
        <is>
          <t>Contactor</t>
        </is>
      </c>
      <c r="D502" s="2" t="inlineStr">
        <is>
          <t>Plant B</t>
        </is>
      </c>
      <c r="E502" s="2" t="inlineStr">
        <is>
          <t>Export</t>
        </is>
      </c>
      <c r="F502" s="12" t="n">
        <v>46081</v>
      </c>
      <c r="G502" s="12" t="n">
        <v>46089</v>
      </c>
      <c r="H502" s="12" t="n">
        <v>46086</v>
      </c>
      <c r="I502" s="12" t="n">
        <v>46084</v>
      </c>
      <c r="J502" s="12" t="n">
        <v>46087</v>
      </c>
      <c r="K502" s="2" t="n">
        <v>121</v>
      </c>
      <c r="L502" s="2" t="inlineStr">
        <is>
          <t>Air</t>
        </is>
      </c>
      <c r="M502" s="2" t="inlineStr">
        <is>
          <t>No Delay</t>
        </is>
      </c>
      <c r="N502" s="4">
        <f>IF(I502&lt;=H502,1,0)</f>
        <v/>
      </c>
      <c r="O502" s="4">
        <f>IF(J502&lt;=G502,1,0)</f>
        <v/>
      </c>
      <c r="P502" s="4">
        <f>MAX(0,I502-H502)</f>
        <v/>
      </c>
      <c r="Q502" s="4">
        <f>MAX(0,J502-G502)</f>
        <v/>
      </c>
      <c r="R502" s="4">
        <f>IF(AND(N502=1,O502=1),"On Track",IF(O502=0,"Customer Delivery Late","Ship Late"))</f>
        <v/>
      </c>
    </row>
    <row r="503">
      <c r="A503" s="2" t="inlineStr">
        <is>
          <t>ORD-00502</t>
        </is>
      </c>
      <c r="B503" s="2" t="inlineStr">
        <is>
          <t>Customer 07</t>
        </is>
      </c>
      <c r="C503" s="2" t="inlineStr">
        <is>
          <t>Drive</t>
        </is>
      </c>
      <c r="D503" s="2" t="inlineStr">
        <is>
          <t>Plant B</t>
        </is>
      </c>
      <c r="E503" s="2" t="inlineStr">
        <is>
          <t>Central</t>
        </is>
      </c>
      <c r="F503" s="12" t="n">
        <v>46060</v>
      </c>
      <c r="G503" s="12" t="n">
        <v>46071</v>
      </c>
      <c r="H503" s="12" t="n">
        <v>46066</v>
      </c>
      <c r="I503" s="12" t="n">
        <v>46065</v>
      </c>
      <c r="J503" s="12" t="n">
        <v>46070</v>
      </c>
      <c r="K503" s="2" t="n">
        <v>697</v>
      </c>
      <c r="L503" s="2" t="inlineStr">
        <is>
          <t>Road</t>
        </is>
      </c>
      <c r="M503" s="2" t="inlineStr">
        <is>
          <t>No Delay</t>
        </is>
      </c>
      <c r="N503" s="4">
        <f>IF(I503&lt;=H503,1,0)</f>
        <v/>
      </c>
      <c r="O503" s="4">
        <f>IF(J503&lt;=G503,1,0)</f>
        <v/>
      </c>
      <c r="P503" s="4">
        <f>MAX(0,I503-H503)</f>
        <v/>
      </c>
      <c r="Q503" s="4">
        <f>MAX(0,J503-G503)</f>
        <v/>
      </c>
      <c r="R503" s="4">
        <f>IF(AND(N503=1,O503=1),"On Track",IF(O503=0,"Customer Delivery Late","Ship Late"))</f>
        <v/>
      </c>
    </row>
    <row r="504">
      <c r="A504" s="2" t="inlineStr">
        <is>
          <t>ORD-00503</t>
        </is>
      </c>
      <c r="B504" s="2" t="inlineStr">
        <is>
          <t>Customer 25</t>
        </is>
      </c>
      <c r="C504" s="2" t="inlineStr">
        <is>
          <t>Drive</t>
        </is>
      </c>
      <c r="D504" s="2" t="inlineStr">
        <is>
          <t>Plant A</t>
        </is>
      </c>
      <c r="E504" s="2" t="inlineStr">
        <is>
          <t>South</t>
        </is>
      </c>
      <c r="F504" s="12" t="n">
        <v>46031</v>
      </c>
      <c r="G504" s="12" t="n">
        <v>46054</v>
      </c>
      <c r="H504" s="12" t="n">
        <v>46053</v>
      </c>
      <c r="I504" s="12" t="n">
        <v>46051</v>
      </c>
      <c r="J504" s="12" t="n">
        <v>46052</v>
      </c>
      <c r="K504" s="2" t="n">
        <v>1246</v>
      </c>
      <c r="L504" s="2" t="inlineStr">
        <is>
          <t>Road</t>
        </is>
      </c>
      <c r="M504" s="2" t="inlineStr">
        <is>
          <t>No Delay</t>
        </is>
      </c>
      <c r="N504" s="4">
        <f>IF(I504&lt;=H504,1,0)</f>
        <v/>
      </c>
      <c r="O504" s="4">
        <f>IF(J504&lt;=G504,1,0)</f>
        <v/>
      </c>
      <c r="P504" s="4">
        <f>MAX(0,I504-H504)</f>
        <v/>
      </c>
      <c r="Q504" s="4">
        <f>MAX(0,J504-G504)</f>
        <v/>
      </c>
      <c r="R504" s="4">
        <f>IF(AND(N504=1,O504=1),"On Track",IF(O504=0,"Customer Delivery Late","Ship Late"))</f>
        <v/>
      </c>
    </row>
    <row r="505">
      <c r="A505" s="2" t="inlineStr">
        <is>
          <t>ORD-00504</t>
        </is>
      </c>
      <c r="B505" s="2" t="inlineStr">
        <is>
          <t>Customer 17</t>
        </is>
      </c>
      <c r="C505" s="2" t="inlineStr">
        <is>
          <t>Switchgear</t>
        </is>
      </c>
      <c r="D505" s="2" t="inlineStr">
        <is>
          <t>Plant A</t>
        </is>
      </c>
      <c r="E505" s="2" t="inlineStr">
        <is>
          <t>Export</t>
        </is>
      </c>
      <c r="F505" s="12" t="n">
        <v>46186</v>
      </c>
      <c r="G505" s="12" t="n">
        <v>46210</v>
      </c>
      <c r="H505" s="12" t="n">
        <v>46208</v>
      </c>
      <c r="I505" s="12" t="n">
        <v>46208</v>
      </c>
      <c r="J505" s="12" t="n">
        <v>46209</v>
      </c>
      <c r="K505" s="2" t="n">
        <v>957</v>
      </c>
      <c r="L505" s="2" t="inlineStr">
        <is>
          <t>Air</t>
        </is>
      </c>
      <c r="M505" s="2" t="inlineStr">
        <is>
          <t>No Delay</t>
        </is>
      </c>
      <c r="N505" s="4">
        <f>IF(I505&lt;=H505,1,0)</f>
        <v/>
      </c>
      <c r="O505" s="4">
        <f>IF(J505&lt;=G505,1,0)</f>
        <v/>
      </c>
      <c r="P505" s="4">
        <f>MAX(0,I505-H505)</f>
        <v/>
      </c>
      <c r="Q505" s="4">
        <f>MAX(0,J505-G505)</f>
        <v/>
      </c>
      <c r="R505" s="4">
        <f>IF(AND(N505=1,O505=1),"On Track",IF(O505=0,"Customer Delivery Late","Ship Late"))</f>
        <v/>
      </c>
    </row>
    <row r="506">
      <c r="A506" s="2" t="inlineStr">
        <is>
          <t>ORD-00505</t>
        </is>
      </c>
      <c r="B506" s="2" t="inlineStr">
        <is>
          <t>Customer 30</t>
        </is>
      </c>
      <c r="C506" s="2" t="inlineStr">
        <is>
          <t>Breaker</t>
        </is>
      </c>
      <c r="D506" s="2" t="inlineStr">
        <is>
          <t>Plant B</t>
        </is>
      </c>
      <c r="E506" s="2" t="inlineStr">
        <is>
          <t>North</t>
        </is>
      </c>
      <c r="F506" s="12" t="n">
        <v>46026</v>
      </c>
      <c r="G506" s="12" t="n">
        <v>46044</v>
      </c>
      <c r="H506" s="12" t="n">
        <v>46042</v>
      </c>
      <c r="I506" s="12" t="n">
        <v>46041</v>
      </c>
      <c r="J506" s="12" t="n">
        <v>46044</v>
      </c>
      <c r="K506" s="2" t="n">
        <v>92</v>
      </c>
      <c r="L506" s="2" t="inlineStr">
        <is>
          <t>Air</t>
        </is>
      </c>
      <c r="M506" s="2" t="inlineStr">
        <is>
          <t>No Delay</t>
        </is>
      </c>
      <c r="N506" s="4">
        <f>IF(I506&lt;=H506,1,0)</f>
        <v/>
      </c>
      <c r="O506" s="4">
        <f>IF(J506&lt;=G506,1,0)</f>
        <v/>
      </c>
      <c r="P506" s="4">
        <f>MAX(0,I506-H506)</f>
        <v/>
      </c>
      <c r="Q506" s="4">
        <f>MAX(0,J506-G506)</f>
        <v/>
      </c>
      <c r="R506" s="4">
        <f>IF(AND(N506=1,O506=1),"On Track",IF(O506=0,"Customer Delivery Late","Ship Late"))</f>
        <v/>
      </c>
    </row>
    <row r="507">
      <c r="A507" s="2" t="inlineStr">
        <is>
          <t>ORD-00506</t>
        </is>
      </c>
      <c r="B507" s="2" t="inlineStr">
        <is>
          <t>Customer 03</t>
        </is>
      </c>
      <c r="C507" s="2" t="inlineStr">
        <is>
          <t>Breaker</t>
        </is>
      </c>
      <c r="D507" s="2" t="inlineStr">
        <is>
          <t>Plant C</t>
        </is>
      </c>
      <c r="E507" s="2" t="inlineStr">
        <is>
          <t>Export</t>
        </is>
      </c>
      <c r="F507" s="12" t="n">
        <v>46152</v>
      </c>
      <c r="G507" s="12" t="n">
        <v>46158</v>
      </c>
      <c r="H507" s="12" t="n">
        <v>46154</v>
      </c>
      <c r="I507" s="12" t="n">
        <v>46153</v>
      </c>
      <c r="J507" s="12" t="n">
        <v>46157</v>
      </c>
      <c r="K507" s="2" t="n">
        <v>456</v>
      </c>
      <c r="L507" s="2" t="inlineStr">
        <is>
          <t>Road</t>
        </is>
      </c>
      <c r="M507" s="2" t="inlineStr">
        <is>
          <t>No Delay</t>
        </is>
      </c>
      <c r="N507" s="4">
        <f>IF(I507&lt;=H507,1,0)</f>
        <v/>
      </c>
      <c r="O507" s="4">
        <f>IF(J507&lt;=G507,1,0)</f>
        <v/>
      </c>
      <c r="P507" s="4">
        <f>MAX(0,I507-H507)</f>
        <v/>
      </c>
      <c r="Q507" s="4">
        <f>MAX(0,J507-G507)</f>
        <v/>
      </c>
      <c r="R507" s="4">
        <f>IF(AND(N507=1,O507=1),"On Track",IF(O507=0,"Customer Delivery Late","Ship Late"))</f>
        <v/>
      </c>
    </row>
    <row r="508">
      <c r="A508" s="2" t="inlineStr">
        <is>
          <t>ORD-00507</t>
        </is>
      </c>
      <c r="B508" s="2" t="inlineStr">
        <is>
          <t>Customer 06</t>
        </is>
      </c>
      <c r="C508" s="2" t="inlineStr">
        <is>
          <t>Switchgear</t>
        </is>
      </c>
      <c r="D508" s="2" t="inlineStr">
        <is>
          <t>Plant C</t>
        </is>
      </c>
      <c r="E508" s="2" t="inlineStr">
        <is>
          <t>North</t>
        </is>
      </c>
      <c r="F508" s="12" t="n">
        <v>46114</v>
      </c>
      <c r="G508" s="12" t="n">
        <v>46128</v>
      </c>
      <c r="H508" s="12" t="n">
        <v>46126</v>
      </c>
      <c r="I508" s="12" t="n">
        <v>46124</v>
      </c>
      <c r="J508" s="12" t="n">
        <v>46126</v>
      </c>
      <c r="K508" s="2" t="n">
        <v>941</v>
      </c>
      <c r="L508" s="2" t="inlineStr">
        <is>
          <t>Air</t>
        </is>
      </c>
      <c r="M508" s="2" t="inlineStr">
        <is>
          <t>No Delay</t>
        </is>
      </c>
      <c r="N508" s="4">
        <f>IF(I508&lt;=H508,1,0)</f>
        <v/>
      </c>
      <c r="O508" s="4">
        <f>IF(J508&lt;=G508,1,0)</f>
        <v/>
      </c>
      <c r="P508" s="4">
        <f>MAX(0,I508-H508)</f>
        <v/>
      </c>
      <c r="Q508" s="4">
        <f>MAX(0,J508-G508)</f>
        <v/>
      </c>
      <c r="R508" s="4">
        <f>IF(AND(N508=1,O508=1),"On Track",IF(O508=0,"Customer Delivery Late","Ship Late"))</f>
        <v/>
      </c>
    </row>
    <row r="509">
      <c r="A509" s="2" t="inlineStr">
        <is>
          <t>ORD-00508</t>
        </is>
      </c>
      <c r="B509" s="2" t="inlineStr">
        <is>
          <t>Customer 03</t>
        </is>
      </c>
      <c r="C509" s="2" t="inlineStr">
        <is>
          <t>Power Supply</t>
        </is>
      </c>
      <c r="D509" s="2" t="inlineStr">
        <is>
          <t>Plant C</t>
        </is>
      </c>
      <c r="E509" s="2" t="inlineStr">
        <is>
          <t>South</t>
        </is>
      </c>
      <c r="F509" s="12" t="n">
        <v>46058</v>
      </c>
      <c r="G509" s="12" t="n">
        <v>46075</v>
      </c>
      <c r="H509" s="12" t="n">
        <v>46073</v>
      </c>
      <c r="I509" s="12" t="n">
        <v>46072</v>
      </c>
      <c r="J509" s="12" t="n">
        <v>46073</v>
      </c>
      <c r="K509" s="2" t="n">
        <v>1097</v>
      </c>
      <c r="L509" s="2" t="inlineStr">
        <is>
          <t>Road</t>
        </is>
      </c>
      <c r="M509" s="2" t="inlineStr">
        <is>
          <t>No Delay</t>
        </is>
      </c>
      <c r="N509" s="4">
        <f>IF(I509&lt;=H509,1,0)</f>
        <v/>
      </c>
      <c r="O509" s="4">
        <f>IF(J509&lt;=G509,1,0)</f>
        <v/>
      </c>
      <c r="P509" s="4">
        <f>MAX(0,I509-H509)</f>
        <v/>
      </c>
      <c r="Q509" s="4">
        <f>MAX(0,J509-G509)</f>
        <v/>
      </c>
      <c r="R509" s="4">
        <f>IF(AND(N509=1,O509=1),"On Track",IF(O509=0,"Customer Delivery Late","Ship Late"))</f>
        <v/>
      </c>
    </row>
    <row r="510">
      <c r="A510" s="2" t="inlineStr">
        <is>
          <t>ORD-00509</t>
        </is>
      </c>
      <c r="B510" s="2" t="inlineStr">
        <is>
          <t>Customer 11</t>
        </is>
      </c>
      <c r="C510" s="2" t="inlineStr">
        <is>
          <t>Breaker</t>
        </is>
      </c>
      <c r="D510" s="2" t="inlineStr">
        <is>
          <t>Plant C</t>
        </is>
      </c>
      <c r="E510" s="2" t="inlineStr">
        <is>
          <t>South</t>
        </is>
      </c>
      <c r="F510" s="12" t="n">
        <v>46098</v>
      </c>
      <c r="G510" s="12" t="n">
        <v>46116</v>
      </c>
      <c r="H510" s="12" t="n">
        <v>46113</v>
      </c>
      <c r="I510" s="12" t="n">
        <v>46113</v>
      </c>
      <c r="J510" s="12" t="n">
        <v>46115</v>
      </c>
      <c r="K510" s="2" t="n">
        <v>115</v>
      </c>
      <c r="L510" s="2" t="inlineStr">
        <is>
          <t>Road</t>
        </is>
      </c>
      <c r="M510" s="2" t="inlineStr">
        <is>
          <t>No Delay</t>
        </is>
      </c>
      <c r="N510" s="4">
        <f>IF(I510&lt;=H510,1,0)</f>
        <v/>
      </c>
      <c r="O510" s="4">
        <f>IF(J510&lt;=G510,1,0)</f>
        <v/>
      </c>
      <c r="P510" s="4">
        <f>MAX(0,I510-H510)</f>
        <v/>
      </c>
      <c r="Q510" s="4">
        <f>MAX(0,J510-G510)</f>
        <v/>
      </c>
      <c r="R510" s="4">
        <f>IF(AND(N510=1,O510=1),"On Track",IF(O510=0,"Customer Delivery Late","Ship Late"))</f>
        <v/>
      </c>
    </row>
    <row r="511">
      <c r="A511" s="2" t="inlineStr">
        <is>
          <t>ORD-00510</t>
        </is>
      </c>
      <c r="B511" s="2" t="inlineStr">
        <is>
          <t>Customer 23</t>
        </is>
      </c>
      <c r="C511" s="2" t="inlineStr">
        <is>
          <t>Contactor</t>
        </is>
      </c>
      <c r="D511" s="2" t="inlineStr">
        <is>
          <t>Plant C</t>
        </is>
      </c>
      <c r="E511" s="2" t="inlineStr">
        <is>
          <t>Central</t>
        </is>
      </c>
      <c r="F511" s="12" t="n">
        <v>46121</v>
      </c>
      <c r="G511" s="12" t="n">
        <v>46137</v>
      </c>
      <c r="H511" s="12" t="n">
        <v>46133</v>
      </c>
      <c r="I511" s="12" t="n">
        <v>46132</v>
      </c>
      <c r="J511" s="12" t="n">
        <v>46136</v>
      </c>
      <c r="K511" s="2" t="n">
        <v>293</v>
      </c>
      <c r="L511" s="2" t="inlineStr">
        <is>
          <t>Air</t>
        </is>
      </c>
      <c r="M511" s="2" t="inlineStr">
        <is>
          <t>No Delay</t>
        </is>
      </c>
      <c r="N511" s="4">
        <f>IF(I511&lt;=H511,1,0)</f>
        <v/>
      </c>
      <c r="O511" s="4">
        <f>IF(J511&lt;=G511,1,0)</f>
        <v/>
      </c>
      <c r="P511" s="4">
        <f>MAX(0,I511-H511)</f>
        <v/>
      </c>
      <c r="Q511" s="4">
        <f>MAX(0,J511-G511)</f>
        <v/>
      </c>
      <c r="R511" s="4">
        <f>IF(AND(N511=1,O511=1),"On Track",IF(O511=0,"Customer Delivery Late","Ship Late"))</f>
        <v/>
      </c>
    </row>
    <row r="512">
      <c r="A512" s="2" t="inlineStr">
        <is>
          <t>ORD-00511</t>
        </is>
      </c>
      <c r="B512" s="2" t="inlineStr">
        <is>
          <t>Customer 29</t>
        </is>
      </c>
      <c r="C512" s="2" t="inlineStr">
        <is>
          <t>Sensor</t>
        </is>
      </c>
      <c r="D512" s="2" t="inlineStr">
        <is>
          <t>Plant C</t>
        </is>
      </c>
      <c r="E512" s="2" t="inlineStr">
        <is>
          <t>Export</t>
        </is>
      </c>
      <c r="F512" s="12" t="n">
        <v>46084</v>
      </c>
      <c r="G512" s="12" t="n">
        <v>46106</v>
      </c>
      <c r="H512" s="12" t="n">
        <v>46105</v>
      </c>
      <c r="I512" s="12" t="n">
        <v>46105</v>
      </c>
      <c r="J512" s="12" t="n">
        <v>46106</v>
      </c>
      <c r="K512" s="2" t="n">
        <v>577</v>
      </c>
      <c r="L512" s="2" t="inlineStr">
        <is>
          <t>Road</t>
        </is>
      </c>
      <c r="M512" s="2" t="inlineStr">
        <is>
          <t>No Delay</t>
        </is>
      </c>
      <c r="N512" s="4">
        <f>IF(I512&lt;=H512,1,0)</f>
        <v/>
      </c>
      <c r="O512" s="4">
        <f>IF(J512&lt;=G512,1,0)</f>
        <v/>
      </c>
      <c r="P512" s="4">
        <f>MAX(0,I512-H512)</f>
        <v/>
      </c>
      <c r="Q512" s="4">
        <f>MAX(0,J512-G512)</f>
        <v/>
      </c>
      <c r="R512" s="4">
        <f>IF(AND(N512=1,O512=1),"On Track",IF(O512=0,"Customer Delivery Late","Ship Late"))</f>
        <v/>
      </c>
    </row>
    <row r="513">
      <c r="A513" s="2" t="inlineStr">
        <is>
          <t>ORD-00512</t>
        </is>
      </c>
      <c r="B513" s="2" t="inlineStr">
        <is>
          <t>Customer 22</t>
        </is>
      </c>
      <c r="C513" s="2" t="inlineStr">
        <is>
          <t>Sensor</t>
        </is>
      </c>
      <c r="D513" s="2" t="inlineStr">
        <is>
          <t>Plant B</t>
        </is>
      </c>
      <c r="E513" s="2" t="inlineStr">
        <is>
          <t>South</t>
        </is>
      </c>
      <c r="F513" s="12" t="n">
        <v>46039</v>
      </c>
      <c r="G513" s="12" t="n">
        <v>46055</v>
      </c>
      <c r="H513" s="12" t="n">
        <v>46052</v>
      </c>
      <c r="I513" s="12" t="n">
        <v>46052</v>
      </c>
      <c r="J513" s="12" t="n">
        <v>46055</v>
      </c>
      <c r="K513" s="2" t="n">
        <v>1388</v>
      </c>
      <c r="L513" s="2" t="inlineStr">
        <is>
          <t>Sea</t>
        </is>
      </c>
      <c r="M513" s="2" t="inlineStr">
        <is>
          <t>No Delay</t>
        </is>
      </c>
      <c r="N513" s="4">
        <f>IF(I513&lt;=H513,1,0)</f>
        <v/>
      </c>
      <c r="O513" s="4">
        <f>IF(J513&lt;=G513,1,0)</f>
        <v/>
      </c>
      <c r="P513" s="4">
        <f>MAX(0,I513-H513)</f>
        <v/>
      </c>
      <c r="Q513" s="4">
        <f>MAX(0,J513-G513)</f>
        <v/>
      </c>
      <c r="R513" s="4">
        <f>IF(AND(N513=1,O513=1),"On Track",IF(O513=0,"Customer Delivery Late","Ship Late"))</f>
        <v/>
      </c>
    </row>
    <row r="514">
      <c r="A514" s="2" t="inlineStr">
        <is>
          <t>ORD-00513</t>
        </is>
      </c>
      <c r="B514" s="2" t="inlineStr">
        <is>
          <t>Customer 03</t>
        </is>
      </c>
      <c r="C514" s="2" t="inlineStr">
        <is>
          <t>Contactor</t>
        </is>
      </c>
      <c r="D514" s="2" t="inlineStr">
        <is>
          <t>Plant A</t>
        </is>
      </c>
      <c r="E514" s="2" t="inlineStr">
        <is>
          <t>South</t>
        </is>
      </c>
      <c r="F514" s="12" t="n">
        <v>46039</v>
      </c>
      <c r="G514" s="12" t="n">
        <v>46050</v>
      </c>
      <c r="H514" s="12" t="n">
        <v>46046</v>
      </c>
      <c r="I514" s="12" t="n">
        <v>46045</v>
      </c>
      <c r="J514" s="12" t="n">
        <v>46049</v>
      </c>
      <c r="K514" s="2" t="n">
        <v>239</v>
      </c>
      <c r="L514" s="2" t="inlineStr">
        <is>
          <t>Sea</t>
        </is>
      </c>
      <c r="M514" s="2" t="inlineStr">
        <is>
          <t>No Delay</t>
        </is>
      </c>
      <c r="N514" s="4">
        <f>IF(I514&lt;=H514,1,0)</f>
        <v/>
      </c>
      <c r="O514" s="4">
        <f>IF(J514&lt;=G514,1,0)</f>
        <v/>
      </c>
      <c r="P514" s="4">
        <f>MAX(0,I514-H514)</f>
        <v/>
      </c>
      <c r="Q514" s="4">
        <f>MAX(0,J514-G514)</f>
        <v/>
      </c>
      <c r="R514" s="4">
        <f>IF(AND(N514=1,O514=1),"On Track",IF(O514=0,"Customer Delivery Late","Ship Late"))</f>
        <v/>
      </c>
    </row>
    <row r="515">
      <c r="A515" s="2" t="inlineStr">
        <is>
          <t>ORD-00514</t>
        </is>
      </c>
      <c r="B515" s="2" t="inlineStr">
        <is>
          <t>Customer 22</t>
        </is>
      </c>
      <c r="C515" s="2" t="inlineStr">
        <is>
          <t>Relay</t>
        </is>
      </c>
      <c r="D515" s="2" t="inlineStr">
        <is>
          <t>Plant B</t>
        </is>
      </c>
      <c r="E515" s="2" t="inlineStr">
        <is>
          <t>South</t>
        </is>
      </c>
      <c r="F515" s="12" t="n">
        <v>46060</v>
      </c>
      <c r="G515" s="12" t="n">
        <v>46080</v>
      </c>
      <c r="H515" s="12" t="n">
        <v>46078</v>
      </c>
      <c r="I515" s="12" t="n">
        <v>46078</v>
      </c>
      <c r="J515" s="12" t="n">
        <v>46080</v>
      </c>
      <c r="K515" s="2" t="n">
        <v>870</v>
      </c>
      <c r="L515" s="2" t="inlineStr">
        <is>
          <t>Air</t>
        </is>
      </c>
      <c r="M515" s="2" t="inlineStr">
        <is>
          <t>No Delay</t>
        </is>
      </c>
      <c r="N515" s="4">
        <f>IF(I515&lt;=H515,1,0)</f>
        <v/>
      </c>
      <c r="O515" s="4">
        <f>IF(J515&lt;=G515,1,0)</f>
        <v/>
      </c>
      <c r="P515" s="4">
        <f>MAX(0,I515-H515)</f>
        <v/>
      </c>
      <c r="Q515" s="4">
        <f>MAX(0,J515-G515)</f>
        <v/>
      </c>
      <c r="R515" s="4">
        <f>IF(AND(N515=1,O515=1),"On Track",IF(O515=0,"Customer Delivery Late","Ship Late"))</f>
        <v/>
      </c>
    </row>
    <row r="516">
      <c r="A516" s="2" t="inlineStr">
        <is>
          <t>ORD-00515</t>
        </is>
      </c>
      <c r="B516" s="2" t="inlineStr">
        <is>
          <t>Customer 14</t>
        </is>
      </c>
      <c r="C516" s="2" t="inlineStr">
        <is>
          <t>Drive</t>
        </is>
      </c>
      <c r="D516" s="2" t="inlineStr">
        <is>
          <t>Plant C</t>
        </is>
      </c>
      <c r="E516" s="2" t="inlineStr">
        <is>
          <t>South</t>
        </is>
      </c>
      <c r="F516" s="12" t="n">
        <v>46188</v>
      </c>
      <c r="G516" s="12" t="n">
        <v>46193</v>
      </c>
      <c r="H516" s="12" t="n">
        <v>46190</v>
      </c>
      <c r="I516" s="12" t="n">
        <v>46188</v>
      </c>
      <c r="J516" s="12" t="n">
        <v>46192</v>
      </c>
      <c r="K516" s="2" t="n">
        <v>1005</v>
      </c>
      <c r="L516" s="2" t="inlineStr">
        <is>
          <t>Sea</t>
        </is>
      </c>
      <c r="M516" s="2" t="inlineStr">
        <is>
          <t>No Delay</t>
        </is>
      </c>
      <c r="N516" s="4">
        <f>IF(I516&lt;=H516,1,0)</f>
        <v/>
      </c>
      <c r="O516" s="4">
        <f>IF(J516&lt;=G516,1,0)</f>
        <v/>
      </c>
      <c r="P516" s="4">
        <f>MAX(0,I516-H516)</f>
        <v/>
      </c>
      <c r="Q516" s="4">
        <f>MAX(0,J516-G516)</f>
        <v/>
      </c>
      <c r="R516" s="4">
        <f>IF(AND(N516=1,O516=1),"On Track",IF(O516=0,"Customer Delivery Late","Ship Late"))</f>
        <v/>
      </c>
    </row>
    <row r="517">
      <c r="A517" s="2" t="inlineStr">
        <is>
          <t>ORD-00516</t>
        </is>
      </c>
      <c r="B517" s="2" t="inlineStr">
        <is>
          <t>Customer 09</t>
        </is>
      </c>
      <c r="C517" s="2" t="inlineStr">
        <is>
          <t>PLC</t>
        </is>
      </c>
      <c r="D517" s="2" t="inlineStr">
        <is>
          <t>Plant B</t>
        </is>
      </c>
      <c r="E517" s="2" t="inlineStr">
        <is>
          <t>South</t>
        </is>
      </c>
      <c r="F517" s="12" t="n">
        <v>46193</v>
      </c>
      <c r="G517" s="12" t="n">
        <v>46214</v>
      </c>
      <c r="H517" s="12" t="n">
        <v>46209</v>
      </c>
      <c r="I517" s="12" t="n">
        <v>46208</v>
      </c>
      <c r="J517" s="12" t="n">
        <v>46213</v>
      </c>
      <c r="K517" s="2" t="n">
        <v>600</v>
      </c>
      <c r="L517" s="2" t="inlineStr">
        <is>
          <t>Road</t>
        </is>
      </c>
      <c r="M517" s="2" t="inlineStr">
        <is>
          <t>No Delay</t>
        </is>
      </c>
      <c r="N517" s="4">
        <f>IF(I517&lt;=H517,1,0)</f>
        <v/>
      </c>
      <c r="O517" s="4">
        <f>IF(J517&lt;=G517,1,0)</f>
        <v/>
      </c>
      <c r="P517" s="4">
        <f>MAX(0,I517-H517)</f>
        <v/>
      </c>
      <c r="Q517" s="4">
        <f>MAX(0,J517-G517)</f>
        <v/>
      </c>
      <c r="R517" s="4">
        <f>IF(AND(N517=1,O517=1),"On Track",IF(O517=0,"Customer Delivery Late","Ship Late"))</f>
        <v/>
      </c>
    </row>
    <row r="518">
      <c r="A518" s="2" t="inlineStr">
        <is>
          <t>ORD-00517</t>
        </is>
      </c>
      <c r="B518" s="2" t="inlineStr">
        <is>
          <t>Customer 06</t>
        </is>
      </c>
      <c r="C518" s="2" t="inlineStr">
        <is>
          <t>Relay</t>
        </is>
      </c>
      <c r="D518" s="2" t="inlineStr">
        <is>
          <t>Plant A</t>
        </is>
      </c>
      <c r="E518" s="2" t="inlineStr">
        <is>
          <t>Central</t>
        </is>
      </c>
      <c r="F518" s="12" t="n">
        <v>46060</v>
      </c>
      <c r="G518" s="12" t="n">
        <v>46076</v>
      </c>
      <c r="H518" s="12" t="n">
        <v>46073</v>
      </c>
      <c r="I518" s="12" t="n">
        <v>46071</v>
      </c>
      <c r="J518" s="12" t="n">
        <v>46075</v>
      </c>
      <c r="K518" s="2" t="n">
        <v>249</v>
      </c>
      <c r="L518" s="2" t="inlineStr">
        <is>
          <t>Road</t>
        </is>
      </c>
      <c r="M518" s="2" t="inlineStr">
        <is>
          <t>No Delay</t>
        </is>
      </c>
      <c r="N518" s="4">
        <f>IF(I518&lt;=H518,1,0)</f>
        <v/>
      </c>
      <c r="O518" s="4">
        <f>IF(J518&lt;=G518,1,0)</f>
        <v/>
      </c>
      <c r="P518" s="4">
        <f>MAX(0,I518-H518)</f>
        <v/>
      </c>
      <c r="Q518" s="4">
        <f>MAX(0,J518-G518)</f>
        <v/>
      </c>
      <c r="R518" s="4">
        <f>IF(AND(N518=1,O518=1),"On Track",IF(O518=0,"Customer Delivery Late","Ship Late"))</f>
        <v/>
      </c>
    </row>
    <row r="519">
      <c r="A519" s="2" t="inlineStr">
        <is>
          <t>ORD-00518</t>
        </is>
      </c>
      <c r="B519" s="2" t="inlineStr">
        <is>
          <t>Customer 02</t>
        </is>
      </c>
      <c r="C519" s="2" t="inlineStr">
        <is>
          <t>Drive</t>
        </is>
      </c>
      <c r="D519" s="2" t="inlineStr">
        <is>
          <t>Plant B</t>
        </is>
      </c>
      <c r="E519" s="2" t="inlineStr">
        <is>
          <t>Central</t>
        </is>
      </c>
      <c r="F519" s="12" t="n">
        <v>46104</v>
      </c>
      <c r="G519" s="12" t="n">
        <v>46127</v>
      </c>
      <c r="H519" s="12" t="n">
        <v>46125</v>
      </c>
      <c r="I519" s="12" t="n">
        <v>46124</v>
      </c>
      <c r="J519" s="12" t="n">
        <v>46126</v>
      </c>
      <c r="K519" s="2" t="n">
        <v>773</v>
      </c>
      <c r="L519" s="2" t="inlineStr">
        <is>
          <t>Air</t>
        </is>
      </c>
      <c r="M519" s="2" t="inlineStr">
        <is>
          <t>No Delay</t>
        </is>
      </c>
      <c r="N519" s="4">
        <f>IF(I519&lt;=H519,1,0)</f>
        <v/>
      </c>
      <c r="O519" s="4">
        <f>IF(J519&lt;=G519,1,0)</f>
        <v/>
      </c>
      <c r="P519" s="4">
        <f>MAX(0,I519-H519)</f>
        <v/>
      </c>
      <c r="Q519" s="4">
        <f>MAX(0,J519-G519)</f>
        <v/>
      </c>
      <c r="R519" s="4">
        <f>IF(AND(N519=1,O519=1),"On Track",IF(O519=0,"Customer Delivery Late","Ship Late"))</f>
        <v/>
      </c>
    </row>
    <row r="520">
      <c r="A520" s="2" t="inlineStr">
        <is>
          <t>ORD-00519</t>
        </is>
      </c>
      <c r="B520" s="2" t="inlineStr">
        <is>
          <t>Customer 15</t>
        </is>
      </c>
      <c r="C520" s="2" t="inlineStr">
        <is>
          <t>Drive</t>
        </is>
      </c>
      <c r="D520" s="2" t="inlineStr">
        <is>
          <t>Plant A</t>
        </is>
      </c>
      <c r="E520" s="2" t="inlineStr">
        <is>
          <t>North</t>
        </is>
      </c>
      <c r="F520" s="12" t="n">
        <v>46161</v>
      </c>
      <c r="G520" s="12" t="n">
        <v>46171</v>
      </c>
      <c r="H520" s="12" t="n">
        <v>46166</v>
      </c>
      <c r="I520" s="12" t="n">
        <v>46164</v>
      </c>
      <c r="J520" s="12" t="n">
        <v>46169</v>
      </c>
      <c r="K520" s="2" t="n">
        <v>1128</v>
      </c>
      <c r="L520" s="2" t="inlineStr">
        <is>
          <t>Sea</t>
        </is>
      </c>
      <c r="M520" s="2" t="inlineStr">
        <is>
          <t>No Delay</t>
        </is>
      </c>
      <c r="N520" s="4">
        <f>IF(I520&lt;=H520,1,0)</f>
        <v/>
      </c>
      <c r="O520" s="4">
        <f>IF(J520&lt;=G520,1,0)</f>
        <v/>
      </c>
      <c r="P520" s="4">
        <f>MAX(0,I520-H520)</f>
        <v/>
      </c>
      <c r="Q520" s="4">
        <f>MAX(0,J520-G520)</f>
        <v/>
      </c>
      <c r="R520" s="4">
        <f>IF(AND(N520=1,O520=1),"On Track",IF(O520=0,"Customer Delivery Late","Ship Late"))</f>
        <v/>
      </c>
    </row>
    <row r="521">
      <c r="A521" s="2" t="inlineStr">
        <is>
          <t>ORD-00520</t>
        </is>
      </c>
      <c r="B521" s="2" t="inlineStr">
        <is>
          <t>Customer 30</t>
        </is>
      </c>
      <c r="C521" s="2" t="inlineStr">
        <is>
          <t>Switchgear</t>
        </is>
      </c>
      <c r="D521" s="2" t="inlineStr">
        <is>
          <t>Plant B</t>
        </is>
      </c>
      <c r="E521" s="2" t="inlineStr">
        <is>
          <t>North</t>
        </is>
      </c>
      <c r="F521" s="12" t="n">
        <v>46107</v>
      </c>
      <c r="G521" s="12" t="n">
        <v>46132</v>
      </c>
      <c r="H521" s="12" t="n">
        <v>46129</v>
      </c>
      <c r="I521" s="12" t="n">
        <v>46128</v>
      </c>
      <c r="J521" s="12" t="n">
        <v>46132</v>
      </c>
      <c r="K521" s="2" t="n">
        <v>990</v>
      </c>
      <c r="L521" s="2" t="inlineStr">
        <is>
          <t>Road</t>
        </is>
      </c>
      <c r="M521" s="2" t="inlineStr">
        <is>
          <t>No Delay</t>
        </is>
      </c>
      <c r="N521" s="4">
        <f>IF(I521&lt;=H521,1,0)</f>
        <v/>
      </c>
      <c r="O521" s="4">
        <f>IF(J521&lt;=G521,1,0)</f>
        <v/>
      </c>
      <c r="P521" s="4">
        <f>MAX(0,I521-H521)</f>
        <v/>
      </c>
      <c r="Q521" s="4">
        <f>MAX(0,J521-G521)</f>
        <v/>
      </c>
      <c r="R521" s="4">
        <f>IF(AND(N521=1,O521=1),"On Track",IF(O521=0,"Customer Delivery Late","Ship Late"))</f>
        <v/>
      </c>
    </row>
    <row r="522">
      <c r="A522" s="2" t="inlineStr">
        <is>
          <t>ORD-00521</t>
        </is>
      </c>
      <c r="B522" s="2" t="inlineStr">
        <is>
          <t>Customer 11</t>
        </is>
      </c>
      <c r="C522" s="2" t="inlineStr">
        <is>
          <t>Breaker</t>
        </is>
      </c>
      <c r="D522" s="2" t="inlineStr">
        <is>
          <t>Plant C</t>
        </is>
      </c>
      <c r="E522" s="2" t="inlineStr">
        <is>
          <t>Central</t>
        </is>
      </c>
      <c r="F522" s="12" t="n">
        <v>46058</v>
      </c>
      <c r="G522" s="12" t="n">
        <v>46080</v>
      </c>
      <c r="H522" s="12" t="n">
        <v>46079</v>
      </c>
      <c r="I522" s="12" t="n">
        <v>46078</v>
      </c>
      <c r="J522" s="12" t="n">
        <v>46079</v>
      </c>
      <c r="K522" s="2" t="n">
        <v>1204</v>
      </c>
      <c r="L522" s="2" t="inlineStr">
        <is>
          <t>Sea</t>
        </is>
      </c>
      <c r="M522" s="2" t="inlineStr">
        <is>
          <t>No Delay</t>
        </is>
      </c>
      <c r="N522" s="4">
        <f>IF(I522&lt;=H522,1,0)</f>
        <v/>
      </c>
      <c r="O522" s="4">
        <f>IF(J522&lt;=G522,1,0)</f>
        <v/>
      </c>
      <c r="P522" s="4">
        <f>MAX(0,I522-H522)</f>
        <v/>
      </c>
      <c r="Q522" s="4">
        <f>MAX(0,J522-G522)</f>
        <v/>
      </c>
      <c r="R522" s="4">
        <f>IF(AND(N522=1,O522=1),"On Track",IF(O522=0,"Customer Delivery Late","Ship Late"))</f>
        <v/>
      </c>
    </row>
    <row r="523">
      <c r="A523" s="2" t="inlineStr">
        <is>
          <t>ORD-00522</t>
        </is>
      </c>
      <c r="B523" s="2" t="inlineStr">
        <is>
          <t>Customer 13</t>
        </is>
      </c>
      <c r="C523" s="2" t="inlineStr">
        <is>
          <t>PLC</t>
        </is>
      </c>
      <c r="D523" s="2" t="inlineStr">
        <is>
          <t>Plant B</t>
        </is>
      </c>
      <c r="E523" s="2" t="inlineStr">
        <is>
          <t>South</t>
        </is>
      </c>
      <c r="F523" s="12" t="n">
        <v>46079</v>
      </c>
      <c r="G523" s="12" t="n">
        <v>46092</v>
      </c>
      <c r="H523" s="12" t="n">
        <v>46090</v>
      </c>
      <c r="I523" s="12" t="n">
        <v>46090</v>
      </c>
      <c r="J523" s="12" t="n">
        <v>46091</v>
      </c>
      <c r="K523" s="2" t="n">
        <v>1245</v>
      </c>
      <c r="L523" s="2" t="inlineStr">
        <is>
          <t>Sea</t>
        </is>
      </c>
      <c r="M523" s="2" t="inlineStr">
        <is>
          <t>No Delay</t>
        </is>
      </c>
      <c r="N523" s="4">
        <f>IF(I523&lt;=H523,1,0)</f>
        <v/>
      </c>
      <c r="O523" s="4">
        <f>IF(J523&lt;=G523,1,0)</f>
        <v/>
      </c>
      <c r="P523" s="4">
        <f>MAX(0,I523-H523)</f>
        <v/>
      </c>
      <c r="Q523" s="4">
        <f>MAX(0,J523-G523)</f>
        <v/>
      </c>
      <c r="R523" s="4">
        <f>IF(AND(N523=1,O523=1),"On Track",IF(O523=0,"Customer Delivery Late","Ship Late"))</f>
        <v/>
      </c>
    </row>
    <row r="524">
      <c r="A524" s="2" t="inlineStr">
        <is>
          <t>ORD-00523</t>
        </is>
      </c>
      <c r="B524" s="2" t="inlineStr">
        <is>
          <t>Customer 01</t>
        </is>
      </c>
      <c r="C524" s="2" t="inlineStr">
        <is>
          <t>Sensor</t>
        </is>
      </c>
      <c r="D524" s="2" t="inlineStr">
        <is>
          <t>Plant B</t>
        </is>
      </c>
      <c r="E524" s="2" t="inlineStr">
        <is>
          <t>South</t>
        </is>
      </c>
      <c r="F524" s="12" t="n">
        <v>46153</v>
      </c>
      <c r="G524" s="12" t="n">
        <v>46159</v>
      </c>
      <c r="H524" s="12" t="n">
        <v>46156</v>
      </c>
      <c r="I524" s="12" t="n">
        <v>46156</v>
      </c>
      <c r="J524" s="12" t="n">
        <v>46159</v>
      </c>
      <c r="K524" s="2" t="n">
        <v>640</v>
      </c>
      <c r="L524" s="2" t="inlineStr">
        <is>
          <t>Air</t>
        </is>
      </c>
      <c r="M524" s="2" t="inlineStr">
        <is>
          <t>No Delay</t>
        </is>
      </c>
      <c r="N524" s="4">
        <f>IF(I524&lt;=H524,1,0)</f>
        <v/>
      </c>
      <c r="O524" s="4">
        <f>IF(J524&lt;=G524,1,0)</f>
        <v/>
      </c>
      <c r="P524" s="4">
        <f>MAX(0,I524-H524)</f>
        <v/>
      </c>
      <c r="Q524" s="4">
        <f>MAX(0,J524-G524)</f>
        <v/>
      </c>
      <c r="R524" s="4">
        <f>IF(AND(N524=1,O524=1),"On Track",IF(O524=0,"Customer Delivery Late","Ship Late"))</f>
        <v/>
      </c>
    </row>
    <row r="525">
      <c r="A525" s="2" t="inlineStr">
        <is>
          <t>ORD-00524</t>
        </is>
      </c>
      <c r="B525" s="2" t="inlineStr">
        <is>
          <t>Customer 26</t>
        </is>
      </c>
      <c r="C525" s="2" t="inlineStr">
        <is>
          <t>Power Supply</t>
        </is>
      </c>
      <c r="D525" s="2" t="inlineStr">
        <is>
          <t>Plant C</t>
        </is>
      </c>
      <c r="E525" s="2" t="inlineStr">
        <is>
          <t>Export</t>
        </is>
      </c>
      <c r="F525" s="12" t="n">
        <v>46166</v>
      </c>
      <c r="G525" s="12" t="n">
        <v>46173</v>
      </c>
      <c r="H525" s="12" t="n">
        <v>46171</v>
      </c>
      <c r="I525" s="12" t="n">
        <v>46170</v>
      </c>
      <c r="J525" s="12" t="n">
        <v>46172</v>
      </c>
      <c r="K525" s="2" t="n">
        <v>295</v>
      </c>
      <c r="L525" s="2" t="inlineStr">
        <is>
          <t>Sea</t>
        </is>
      </c>
      <c r="M525" s="2" t="inlineStr">
        <is>
          <t>No Delay</t>
        </is>
      </c>
      <c r="N525" s="4">
        <f>IF(I525&lt;=H525,1,0)</f>
        <v/>
      </c>
      <c r="O525" s="4">
        <f>IF(J525&lt;=G525,1,0)</f>
        <v/>
      </c>
      <c r="P525" s="4">
        <f>MAX(0,I525-H525)</f>
        <v/>
      </c>
      <c r="Q525" s="4">
        <f>MAX(0,J525-G525)</f>
        <v/>
      </c>
      <c r="R525" s="4">
        <f>IF(AND(N525=1,O525=1),"On Track",IF(O525=0,"Customer Delivery Late","Ship Late"))</f>
        <v/>
      </c>
    </row>
    <row r="526">
      <c r="A526" s="2" t="inlineStr">
        <is>
          <t>ORD-00525</t>
        </is>
      </c>
      <c r="B526" s="2" t="inlineStr">
        <is>
          <t>Customer 19</t>
        </is>
      </c>
      <c r="C526" s="2" t="inlineStr">
        <is>
          <t>Power Supply</t>
        </is>
      </c>
      <c r="D526" s="2" t="inlineStr">
        <is>
          <t>Plant A</t>
        </is>
      </c>
      <c r="E526" s="2" t="inlineStr">
        <is>
          <t>North</t>
        </is>
      </c>
      <c r="F526" s="12" t="n">
        <v>46176</v>
      </c>
      <c r="G526" s="12" t="n">
        <v>46183</v>
      </c>
      <c r="H526" s="12" t="n">
        <v>46181</v>
      </c>
      <c r="I526" s="12" t="n">
        <v>46180</v>
      </c>
      <c r="J526" s="12" t="n">
        <v>46181</v>
      </c>
      <c r="K526" s="2" t="n">
        <v>848</v>
      </c>
      <c r="L526" s="2" t="inlineStr">
        <is>
          <t>Sea</t>
        </is>
      </c>
      <c r="M526" s="2" t="inlineStr">
        <is>
          <t>No Delay</t>
        </is>
      </c>
      <c r="N526" s="4">
        <f>IF(I526&lt;=H526,1,0)</f>
        <v/>
      </c>
      <c r="O526" s="4">
        <f>IF(J526&lt;=G526,1,0)</f>
        <v/>
      </c>
      <c r="P526" s="4">
        <f>MAX(0,I526-H526)</f>
        <v/>
      </c>
      <c r="Q526" s="4">
        <f>MAX(0,J526-G526)</f>
        <v/>
      </c>
      <c r="R526" s="4">
        <f>IF(AND(N526=1,O526=1),"On Track",IF(O526=0,"Customer Delivery Late","Ship Late"))</f>
        <v/>
      </c>
    </row>
    <row r="527">
      <c r="A527" s="2" t="inlineStr">
        <is>
          <t>ORD-00526</t>
        </is>
      </c>
      <c r="B527" s="2" t="inlineStr">
        <is>
          <t>Customer 13</t>
        </is>
      </c>
      <c r="C527" s="2" t="inlineStr">
        <is>
          <t>Sensor</t>
        </is>
      </c>
      <c r="D527" s="2" t="inlineStr">
        <is>
          <t>Plant C</t>
        </is>
      </c>
      <c r="E527" s="2" t="inlineStr">
        <is>
          <t>Export</t>
        </is>
      </c>
      <c r="F527" s="12" t="n">
        <v>46092</v>
      </c>
      <c r="G527" s="12" t="n">
        <v>46110</v>
      </c>
      <c r="H527" s="12" t="n">
        <v>46108</v>
      </c>
      <c r="I527" s="12" t="n">
        <v>46108</v>
      </c>
      <c r="J527" s="12" t="n">
        <v>46110</v>
      </c>
      <c r="K527" s="2" t="n">
        <v>96</v>
      </c>
      <c r="L527" s="2" t="inlineStr">
        <is>
          <t>Air</t>
        </is>
      </c>
      <c r="M527" s="2" t="inlineStr">
        <is>
          <t>No Delay</t>
        </is>
      </c>
      <c r="N527" s="4">
        <f>IF(I527&lt;=H527,1,0)</f>
        <v/>
      </c>
      <c r="O527" s="4">
        <f>IF(J527&lt;=G527,1,0)</f>
        <v/>
      </c>
      <c r="P527" s="4">
        <f>MAX(0,I527-H527)</f>
        <v/>
      </c>
      <c r="Q527" s="4">
        <f>MAX(0,J527-G527)</f>
        <v/>
      </c>
      <c r="R527" s="4">
        <f>IF(AND(N527=1,O527=1),"On Track",IF(O527=0,"Customer Delivery Late","Ship Late"))</f>
        <v/>
      </c>
    </row>
    <row r="528">
      <c r="A528" s="2" t="inlineStr">
        <is>
          <t>ORD-00527</t>
        </is>
      </c>
      <c r="B528" s="2" t="inlineStr">
        <is>
          <t>Customer 05</t>
        </is>
      </c>
      <c r="C528" s="2" t="inlineStr">
        <is>
          <t>Sensor</t>
        </is>
      </c>
      <c r="D528" s="2" t="inlineStr">
        <is>
          <t>Plant B</t>
        </is>
      </c>
      <c r="E528" s="2" t="inlineStr">
        <is>
          <t>Export</t>
        </is>
      </c>
      <c r="F528" s="12" t="n">
        <v>46172</v>
      </c>
      <c r="G528" s="12" t="n">
        <v>46186</v>
      </c>
      <c r="H528" s="12" t="n">
        <v>46182</v>
      </c>
      <c r="I528" s="12" t="n">
        <v>46181</v>
      </c>
      <c r="J528" s="12" t="n">
        <v>46184</v>
      </c>
      <c r="K528" s="2" t="n">
        <v>264</v>
      </c>
      <c r="L528" s="2" t="inlineStr">
        <is>
          <t>Sea</t>
        </is>
      </c>
      <c r="M528" s="2" t="inlineStr">
        <is>
          <t>No Delay</t>
        </is>
      </c>
      <c r="N528" s="4">
        <f>IF(I528&lt;=H528,1,0)</f>
        <v/>
      </c>
      <c r="O528" s="4">
        <f>IF(J528&lt;=G528,1,0)</f>
        <v/>
      </c>
      <c r="P528" s="4">
        <f>MAX(0,I528-H528)</f>
        <v/>
      </c>
      <c r="Q528" s="4">
        <f>MAX(0,J528-G528)</f>
        <v/>
      </c>
      <c r="R528" s="4">
        <f>IF(AND(N528=1,O528=1),"On Track",IF(O528=0,"Customer Delivery Late","Ship Late"))</f>
        <v/>
      </c>
    </row>
    <row r="529">
      <c r="A529" s="2" t="inlineStr">
        <is>
          <t>ORD-00528</t>
        </is>
      </c>
      <c r="B529" s="2" t="inlineStr">
        <is>
          <t>Customer 09</t>
        </is>
      </c>
      <c r="C529" s="2" t="inlineStr">
        <is>
          <t>Switchgear</t>
        </is>
      </c>
      <c r="D529" s="2" t="inlineStr">
        <is>
          <t>Plant A</t>
        </is>
      </c>
      <c r="E529" s="2" t="inlineStr">
        <is>
          <t>South</t>
        </is>
      </c>
      <c r="F529" s="12" t="n">
        <v>46193</v>
      </c>
      <c r="G529" s="12" t="n">
        <v>46207</v>
      </c>
      <c r="H529" s="12" t="n">
        <v>46203</v>
      </c>
      <c r="I529" s="12" t="n">
        <v>46203</v>
      </c>
      <c r="J529" s="12" t="n">
        <v>46206</v>
      </c>
      <c r="K529" s="2" t="n">
        <v>1200</v>
      </c>
      <c r="L529" s="2" t="inlineStr">
        <is>
          <t>Air</t>
        </is>
      </c>
      <c r="M529" s="2" t="inlineStr">
        <is>
          <t>No Delay</t>
        </is>
      </c>
      <c r="N529" s="4">
        <f>IF(I529&lt;=H529,1,0)</f>
        <v/>
      </c>
      <c r="O529" s="4">
        <f>IF(J529&lt;=G529,1,0)</f>
        <v/>
      </c>
      <c r="P529" s="4">
        <f>MAX(0,I529-H529)</f>
        <v/>
      </c>
      <c r="Q529" s="4">
        <f>MAX(0,J529-G529)</f>
        <v/>
      </c>
      <c r="R529" s="4">
        <f>IF(AND(N529=1,O529=1),"On Track",IF(O529=0,"Customer Delivery Late","Ship Late"))</f>
        <v/>
      </c>
    </row>
    <row r="530">
      <c r="A530" s="2" t="inlineStr">
        <is>
          <t>ORD-00529</t>
        </is>
      </c>
      <c r="B530" s="2" t="inlineStr">
        <is>
          <t>Customer 19</t>
        </is>
      </c>
      <c r="C530" s="2" t="inlineStr">
        <is>
          <t>Breaker</t>
        </is>
      </c>
      <c r="D530" s="2" t="inlineStr">
        <is>
          <t>Plant B</t>
        </is>
      </c>
      <c r="E530" s="2" t="inlineStr">
        <is>
          <t>Central</t>
        </is>
      </c>
      <c r="F530" s="12" t="n">
        <v>46167</v>
      </c>
      <c r="G530" s="12" t="n">
        <v>46185</v>
      </c>
      <c r="H530" s="12" t="n">
        <v>46182</v>
      </c>
      <c r="I530" s="12" t="n">
        <v>46181</v>
      </c>
      <c r="J530" s="12" t="n">
        <v>46184</v>
      </c>
      <c r="K530" s="2" t="n">
        <v>1201</v>
      </c>
      <c r="L530" s="2" t="inlineStr">
        <is>
          <t>Road</t>
        </is>
      </c>
      <c r="M530" s="2" t="inlineStr">
        <is>
          <t>No Delay</t>
        </is>
      </c>
      <c r="N530" s="4">
        <f>IF(I530&lt;=H530,1,0)</f>
        <v/>
      </c>
      <c r="O530" s="4">
        <f>IF(J530&lt;=G530,1,0)</f>
        <v/>
      </c>
      <c r="P530" s="4">
        <f>MAX(0,I530-H530)</f>
        <v/>
      </c>
      <c r="Q530" s="4">
        <f>MAX(0,J530-G530)</f>
        <v/>
      </c>
      <c r="R530" s="4">
        <f>IF(AND(N530=1,O530=1),"On Track",IF(O530=0,"Customer Delivery Late","Ship Late"))</f>
        <v/>
      </c>
    </row>
    <row r="531">
      <c r="A531" s="2" t="inlineStr">
        <is>
          <t>ORD-00530</t>
        </is>
      </c>
      <c r="B531" s="2" t="inlineStr">
        <is>
          <t>Customer 12</t>
        </is>
      </c>
      <c r="C531" s="2" t="inlineStr">
        <is>
          <t>Power Supply</t>
        </is>
      </c>
      <c r="D531" s="2" t="inlineStr">
        <is>
          <t>Plant C</t>
        </is>
      </c>
      <c r="E531" s="2" t="inlineStr">
        <is>
          <t>South</t>
        </is>
      </c>
      <c r="F531" s="12" t="n">
        <v>46060</v>
      </c>
      <c r="G531" s="12" t="n">
        <v>46075</v>
      </c>
      <c r="H531" s="12" t="n">
        <v>46071</v>
      </c>
      <c r="I531" s="12" t="n">
        <v>46069</v>
      </c>
      <c r="J531" s="12" t="n">
        <v>46073</v>
      </c>
      <c r="K531" s="2" t="n">
        <v>109</v>
      </c>
      <c r="L531" s="2" t="inlineStr">
        <is>
          <t>Air</t>
        </is>
      </c>
      <c r="M531" s="2" t="inlineStr">
        <is>
          <t>No Delay</t>
        </is>
      </c>
      <c r="N531" s="4">
        <f>IF(I531&lt;=H531,1,0)</f>
        <v/>
      </c>
      <c r="O531" s="4">
        <f>IF(J531&lt;=G531,1,0)</f>
        <v/>
      </c>
      <c r="P531" s="4">
        <f>MAX(0,I531-H531)</f>
        <v/>
      </c>
      <c r="Q531" s="4">
        <f>MAX(0,J531-G531)</f>
        <v/>
      </c>
      <c r="R531" s="4">
        <f>IF(AND(N531=1,O531=1),"On Track",IF(O531=0,"Customer Delivery Late","Ship Late"))</f>
        <v/>
      </c>
    </row>
    <row r="532">
      <c r="A532" s="2" t="inlineStr">
        <is>
          <t>ORD-00531</t>
        </is>
      </c>
      <c r="B532" s="2" t="inlineStr">
        <is>
          <t>Customer 06</t>
        </is>
      </c>
      <c r="C532" s="2" t="inlineStr">
        <is>
          <t>Drive</t>
        </is>
      </c>
      <c r="D532" s="2" t="inlineStr">
        <is>
          <t>Plant B</t>
        </is>
      </c>
      <c r="E532" s="2" t="inlineStr">
        <is>
          <t>South</t>
        </is>
      </c>
      <c r="F532" s="12" t="n">
        <v>46097</v>
      </c>
      <c r="G532" s="12" t="n">
        <v>46118</v>
      </c>
      <c r="H532" s="12" t="n">
        <v>46117</v>
      </c>
      <c r="I532" s="12" t="n">
        <v>46117</v>
      </c>
      <c r="J532" s="12" t="n">
        <v>46118</v>
      </c>
      <c r="K532" s="2" t="n">
        <v>565</v>
      </c>
      <c r="L532" s="2" t="inlineStr">
        <is>
          <t>Sea</t>
        </is>
      </c>
      <c r="M532" s="2" t="inlineStr">
        <is>
          <t>No Delay</t>
        </is>
      </c>
      <c r="N532" s="4">
        <f>IF(I532&lt;=H532,1,0)</f>
        <v/>
      </c>
      <c r="O532" s="4">
        <f>IF(J532&lt;=G532,1,0)</f>
        <v/>
      </c>
      <c r="P532" s="4">
        <f>MAX(0,I532-H532)</f>
        <v/>
      </c>
      <c r="Q532" s="4">
        <f>MAX(0,J532-G532)</f>
        <v/>
      </c>
      <c r="R532" s="4">
        <f>IF(AND(N532=1,O532=1),"On Track",IF(O532=0,"Customer Delivery Late","Ship Late"))</f>
        <v/>
      </c>
    </row>
    <row r="533">
      <c r="A533" s="2" t="inlineStr">
        <is>
          <t>ORD-00532</t>
        </is>
      </c>
      <c r="B533" s="2" t="inlineStr">
        <is>
          <t>Customer 10</t>
        </is>
      </c>
      <c r="C533" s="2" t="inlineStr">
        <is>
          <t>Drive</t>
        </is>
      </c>
      <c r="D533" s="2" t="inlineStr">
        <is>
          <t>Plant B</t>
        </is>
      </c>
      <c r="E533" s="2" t="inlineStr">
        <is>
          <t>Export</t>
        </is>
      </c>
      <c r="F533" s="12" t="n">
        <v>46201</v>
      </c>
      <c r="G533" s="12" t="n">
        <v>46217</v>
      </c>
      <c r="H533" s="12" t="n">
        <v>46216</v>
      </c>
      <c r="I533" s="12" t="n">
        <v>46215</v>
      </c>
      <c r="J533" s="12" t="n">
        <v>46216</v>
      </c>
      <c r="K533" s="2" t="n">
        <v>706</v>
      </c>
      <c r="L533" s="2" t="inlineStr">
        <is>
          <t>Road</t>
        </is>
      </c>
      <c r="M533" s="2" t="inlineStr">
        <is>
          <t>No Delay</t>
        </is>
      </c>
      <c r="N533" s="4">
        <f>IF(I533&lt;=H533,1,0)</f>
        <v/>
      </c>
      <c r="O533" s="4">
        <f>IF(J533&lt;=G533,1,0)</f>
        <v/>
      </c>
      <c r="P533" s="4">
        <f>MAX(0,I533-H533)</f>
        <v/>
      </c>
      <c r="Q533" s="4">
        <f>MAX(0,J533-G533)</f>
        <v/>
      </c>
      <c r="R533" s="4">
        <f>IF(AND(N533=1,O533=1),"On Track",IF(O533=0,"Customer Delivery Late","Ship Late"))</f>
        <v/>
      </c>
    </row>
    <row r="534">
      <c r="A534" s="2" t="inlineStr">
        <is>
          <t>ORD-00533</t>
        </is>
      </c>
      <c r="B534" s="2" t="inlineStr">
        <is>
          <t>Customer 03</t>
        </is>
      </c>
      <c r="C534" s="2" t="inlineStr">
        <is>
          <t>Contactor</t>
        </is>
      </c>
      <c r="D534" s="2" t="inlineStr">
        <is>
          <t>Plant A</t>
        </is>
      </c>
      <c r="E534" s="2" t="inlineStr">
        <is>
          <t>North</t>
        </is>
      </c>
      <c r="F534" s="12" t="n">
        <v>46049</v>
      </c>
      <c r="G534" s="12" t="n">
        <v>46060</v>
      </c>
      <c r="H534" s="12" t="n">
        <v>46058</v>
      </c>
      <c r="I534" s="12" t="n">
        <v>46056</v>
      </c>
      <c r="J534" s="12" t="n">
        <v>46058</v>
      </c>
      <c r="K534" s="2" t="n">
        <v>992</v>
      </c>
      <c r="L534" s="2" t="inlineStr">
        <is>
          <t>Air</t>
        </is>
      </c>
      <c r="M534" s="2" t="inlineStr">
        <is>
          <t>No Delay</t>
        </is>
      </c>
      <c r="N534" s="4">
        <f>IF(I534&lt;=H534,1,0)</f>
        <v/>
      </c>
      <c r="O534" s="4">
        <f>IF(J534&lt;=G534,1,0)</f>
        <v/>
      </c>
      <c r="P534" s="4">
        <f>MAX(0,I534-H534)</f>
        <v/>
      </c>
      <c r="Q534" s="4">
        <f>MAX(0,J534-G534)</f>
        <v/>
      </c>
      <c r="R534" s="4">
        <f>IF(AND(N534=1,O534=1),"On Track",IF(O534=0,"Customer Delivery Late","Ship Late"))</f>
        <v/>
      </c>
    </row>
    <row r="535">
      <c r="A535" s="2" t="inlineStr">
        <is>
          <t>ORD-00534</t>
        </is>
      </c>
      <c r="B535" s="2" t="inlineStr">
        <is>
          <t>Customer 01</t>
        </is>
      </c>
      <c r="C535" s="2" t="inlineStr">
        <is>
          <t>Contactor</t>
        </is>
      </c>
      <c r="D535" s="2" t="inlineStr">
        <is>
          <t>Plant A</t>
        </is>
      </c>
      <c r="E535" s="2" t="inlineStr">
        <is>
          <t>Central</t>
        </is>
      </c>
      <c r="F535" s="12" t="n">
        <v>46102</v>
      </c>
      <c r="G535" s="12" t="n">
        <v>46118</v>
      </c>
      <c r="H535" s="12" t="n">
        <v>46116</v>
      </c>
      <c r="I535" s="12" t="n">
        <v>46116</v>
      </c>
      <c r="J535" s="12" t="n">
        <v>46118</v>
      </c>
      <c r="K535" s="2" t="n">
        <v>1431</v>
      </c>
      <c r="L535" s="2" t="inlineStr">
        <is>
          <t>Road</t>
        </is>
      </c>
      <c r="M535" s="2" t="inlineStr">
        <is>
          <t>No Delay</t>
        </is>
      </c>
      <c r="N535" s="4">
        <f>IF(I535&lt;=H535,1,0)</f>
        <v/>
      </c>
      <c r="O535" s="4">
        <f>IF(J535&lt;=G535,1,0)</f>
        <v/>
      </c>
      <c r="P535" s="4">
        <f>MAX(0,I535-H535)</f>
        <v/>
      </c>
      <c r="Q535" s="4">
        <f>MAX(0,J535-G535)</f>
        <v/>
      </c>
      <c r="R535" s="4">
        <f>IF(AND(N535=1,O535=1),"On Track",IF(O535=0,"Customer Delivery Late","Ship Late"))</f>
        <v/>
      </c>
    </row>
    <row r="536">
      <c r="A536" s="2" t="inlineStr">
        <is>
          <t>ORD-00535</t>
        </is>
      </c>
      <c r="B536" s="2" t="inlineStr">
        <is>
          <t>Customer 26</t>
        </is>
      </c>
      <c r="C536" s="2" t="inlineStr">
        <is>
          <t>Contactor</t>
        </is>
      </c>
      <c r="D536" s="2" t="inlineStr">
        <is>
          <t>Plant A</t>
        </is>
      </c>
      <c r="E536" s="2" t="inlineStr">
        <is>
          <t>North</t>
        </is>
      </c>
      <c r="F536" s="12" t="n">
        <v>46199</v>
      </c>
      <c r="G536" s="12" t="n">
        <v>46211</v>
      </c>
      <c r="H536" s="12" t="n">
        <v>46208</v>
      </c>
      <c r="I536" s="12" t="n">
        <v>46206</v>
      </c>
      <c r="J536" s="12" t="n">
        <v>46209</v>
      </c>
      <c r="K536" s="2" t="n">
        <v>1001</v>
      </c>
      <c r="L536" s="2" t="inlineStr">
        <is>
          <t>Air</t>
        </is>
      </c>
      <c r="M536" s="2" t="inlineStr">
        <is>
          <t>No Delay</t>
        </is>
      </c>
      <c r="N536" s="4">
        <f>IF(I536&lt;=H536,1,0)</f>
        <v/>
      </c>
      <c r="O536" s="4">
        <f>IF(J536&lt;=G536,1,0)</f>
        <v/>
      </c>
      <c r="P536" s="4">
        <f>MAX(0,I536-H536)</f>
        <v/>
      </c>
      <c r="Q536" s="4">
        <f>MAX(0,J536-G536)</f>
        <v/>
      </c>
      <c r="R536" s="4">
        <f>IF(AND(N536=1,O536=1),"On Track",IF(O536=0,"Customer Delivery Late","Ship Late"))</f>
        <v/>
      </c>
    </row>
    <row r="537">
      <c r="A537" s="2" t="inlineStr">
        <is>
          <t>ORD-00536</t>
        </is>
      </c>
      <c r="B537" s="2" t="inlineStr">
        <is>
          <t>Customer 09</t>
        </is>
      </c>
      <c r="C537" s="2" t="inlineStr">
        <is>
          <t>Breaker</t>
        </is>
      </c>
      <c r="D537" s="2" t="inlineStr">
        <is>
          <t>Plant A</t>
        </is>
      </c>
      <c r="E537" s="2" t="inlineStr">
        <is>
          <t>South</t>
        </is>
      </c>
      <c r="F537" s="12" t="n">
        <v>46033</v>
      </c>
      <c r="G537" s="12" t="n">
        <v>46044</v>
      </c>
      <c r="H537" s="12" t="n">
        <v>46043</v>
      </c>
      <c r="I537" s="12" t="n">
        <v>46043</v>
      </c>
      <c r="J537" s="12" t="n">
        <v>46044</v>
      </c>
      <c r="K537" s="2" t="n">
        <v>1377</v>
      </c>
      <c r="L537" s="2" t="inlineStr">
        <is>
          <t>Road</t>
        </is>
      </c>
      <c r="M537" s="2" t="inlineStr">
        <is>
          <t>No Delay</t>
        </is>
      </c>
      <c r="N537" s="4">
        <f>IF(I537&lt;=H537,1,0)</f>
        <v/>
      </c>
      <c r="O537" s="4">
        <f>IF(J537&lt;=G537,1,0)</f>
        <v/>
      </c>
      <c r="P537" s="4">
        <f>MAX(0,I537-H537)</f>
        <v/>
      </c>
      <c r="Q537" s="4">
        <f>MAX(0,J537-G537)</f>
        <v/>
      </c>
      <c r="R537" s="4">
        <f>IF(AND(N537=1,O537=1),"On Track",IF(O537=0,"Customer Delivery Late","Ship Late"))</f>
        <v/>
      </c>
    </row>
    <row r="538">
      <c r="A538" s="2" t="inlineStr">
        <is>
          <t>ORD-00537</t>
        </is>
      </c>
      <c r="B538" s="2" t="inlineStr">
        <is>
          <t>Customer 05</t>
        </is>
      </c>
      <c r="C538" s="2" t="inlineStr">
        <is>
          <t>Sensor</t>
        </is>
      </c>
      <c r="D538" s="2" t="inlineStr">
        <is>
          <t>Plant C</t>
        </is>
      </c>
      <c r="E538" s="2" t="inlineStr">
        <is>
          <t>South</t>
        </is>
      </c>
      <c r="F538" s="12" t="n">
        <v>46047</v>
      </c>
      <c r="G538" s="12" t="n">
        <v>46055</v>
      </c>
      <c r="H538" s="12" t="n">
        <v>46050</v>
      </c>
      <c r="I538" s="12" t="n">
        <v>46048</v>
      </c>
      <c r="J538" s="12" t="n">
        <v>46053</v>
      </c>
      <c r="K538" s="2" t="n">
        <v>731</v>
      </c>
      <c r="L538" s="2" t="inlineStr">
        <is>
          <t>Road</t>
        </is>
      </c>
      <c r="M538" s="2" t="inlineStr">
        <is>
          <t>No Delay</t>
        </is>
      </c>
      <c r="N538" s="4">
        <f>IF(I538&lt;=H538,1,0)</f>
        <v/>
      </c>
      <c r="O538" s="4">
        <f>IF(J538&lt;=G538,1,0)</f>
        <v/>
      </c>
      <c r="P538" s="4">
        <f>MAX(0,I538-H538)</f>
        <v/>
      </c>
      <c r="Q538" s="4">
        <f>MAX(0,J538-G538)</f>
        <v/>
      </c>
      <c r="R538" s="4">
        <f>IF(AND(N538=1,O538=1),"On Track",IF(O538=0,"Customer Delivery Late","Ship Late"))</f>
        <v/>
      </c>
    </row>
    <row r="539">
      <c r="A539" s="2" t="inlineStr">
        <is>
          <t>ORD-00538</t>
        </is>
      </c>
      <c r="B539" s="2" t="inlineStr">
        <is>
          <t>Customer 17</t>
        </is>
      </c>
      <c r="C539" s="2" t="inlineStr">
        <is>
          <t>PLC</t>
        </is>
      </c>
      <c r="D539" s="2" t="inlineStr">
        <is>
          <t>Plant C</t>
        </is>
      </c>
      <c r="E539" s="2" t="inlineStr">
        <is>
          <t>Central</t>
        </is>
      </c>
      <c r="F539" s="12" t="n">
        <v>46151</v>
      </c>
      <c r="G539" s="12" t="n">
        <v>46175</v>
      </c>
      <c r="H539" s="12" t="n">
        <v>46173</v>
      </c>
      <c r="I539" s="12" t="n">
        <v>46171</v>
      </c>
      <c r="J539" s="12" t="n">
        <v>46174</v>
      </c>
      <c r="K539" s="2" t="n">
        <v>587</v>
      </c>
      <c r="L539" s="2" t="inlineStr">
        <is>
          <t>Road</t>
        </is>
      </c>
      <c r="M539" s="2" t="inlineStr">
        <is>
          <t>No Delay</t>
        </is>
      </c>
      <c r="N539" s="4">
        <f>IF(I539&lt;=H539,1,0)</f>
        <v/>
      </c>
      <c r="O539" s="4">
        <f>IF(J539&lt;=G539,1,0)</f>
        <v/>
      </c>
      <c r="P539" s="4">
        <f>MAX(0,I539-H539)</f>
        <v/>
      </c>
      <c r="Q539" s="4">
        <f>MAX(0,J539-G539)</f>
        <v/>
      </c>
      <c r="R539" s="4">
        <f>IF(AND(N539=1,O539=1),"On Track",IF(O539=0,"Customer Delivery Late","Ship Late"))</f>
        <v/>
      </c>
    </row>
    <row r="540">
      <c r="A540" s="2" t="inlineStr">
        <is>
          <t>ORD-00539</t>
        </is>
      </c>
      <c r="B540" s="2" t="inlineStr">
        <is>
          <t>Customer 06</t>
        </is>
      </c>
      <c r="C540" s="2" t="inlineStr">
        <is>
          <t>Switchgear</t>
        </is>
      </c>
      <c r="D540" s="2" t="inlineStr">
        <is>
          <t>Plant C</t>
        </is>
      </c>
      <c r="E540" s="2" t="inlineStr">
        <is>
          <t>North</t>
        </is>
      </c>
      <c r="F540" s="12" t="n">
        <v>46160</v>
      </c>
      <c r="G540" s="12" t="n">
        <v>46165</v>
      </c>
      <c r="H540" s="12" t="n">
        <v>46164</v>
      </c>
      <c r="I540" s="12" t="n">
        <v>46164</v>
      </c>
      <c r="J540" s="12" t="n">
        <v>46165</v>
      </c>
      <c r="K540" s="2" t="n">
        <v>380</v>
      </c>
      <c r="L540" s="2" t="inlineStr">
        <is>
          <t>Air</t>
        </is>
      </c>
      <c r="M540" s="2" t="inlineStr">
        <is>
          <t>No Delay</t>
        </is>
      </c>
      <c r="N540" s="4">
        <f>IF(I540&lt;=H540,1,0)</f>
        <v/>
      </c>
      <c r="O540" s="4">
        <f>IF(J540&lt;=G540,1,0)</f>
        <v/>
      </c>
      <c r="P540" s="4">
        <f>MAX(0,I540-H540)</f>
        <v/>
      </c>
      <c r="Q540" s="4">
        <f>MAX(0,J540-G540)</f>
        <v/>
      </c>
      <c r="R540" s="4">
        <f>IF(AND(N540=1,O540=1),"On Track",IF(O540=0,"Customer Delivery Late","Ship Late"))</f>
        <v/>
      </c>
    </row>
    <row r="541">
      <c r="A541" s="2" t="inlineStr">
        <is>
          <t>ORD-00540</t>
        </is>
      </c>
      <c r="B541" s="2" t="inlineStr">
        <is>
          <t>Customer 04</t>
        </is>
      </c>
      <c r="C541" s="2" t="inlineStr">
        <is>
          <t>Relay</t>
        </is>
      </c>
      <c r="D541" s="2" t="inlineStr">
        <is>
          <t>Plant B</t>
        </is>
      </c>
      <c r="E541" s="2" t="inlineStr">
        <is>
          <t>South</t>
        </is>
      </c>
      <c r="F541" s="12" t="n">
        <v>46120</v>
      </c>
      <c r="G541" s="12" t="n">
        <v>46138</v>
      </c>
      <c r="H541" s="12" t="n">
        <v>46136</v>
      </c>
      <c r="I541" s="12" t="n">
        <v>46135</v>
      </c>
      <c r="J541" s="12" t="n">
        <v>46137</v>
      </c>
      <c r="K541" s="2" t="n">
        <v>1453</v>
      </c>
      <c r="L541" s="2" t="inlineStr">
        <is>
          <t>Air</t>
        </is>
      </c>
      <c r="M541" s="2" t="inlineStr">
        <is>
          <t>No Delay</t>
        </is>
      </c>
      <c r="N541" s="4">
        <f>IF(I541&lt;=H541,1,0)</f>
        <v/>
      </c>
      <c r="O541" s="4">
        <f>IF(J541&lt;=G541,1,0)</f>
        <v/>
      </c>
      <c r="P541" s="4">
        <f>MAX(0,I541-H541)</f>
        <v/>
      </c>
      <c r="Q541" s="4">
        <f>MAX(0,J541-G541)</f>
        <v/>
      </c>
      <c r="R541" s="4">
        <f>IF(AND(N541=1,O541=1),"On Track",IF(O541=0,"Customer Delivery Late","Ship Late"))</f>
        <v/>
      </c>
    </row>
    <row r="542">
      <c r="A542" s="2" t="inlineStr">
        <is>
          <t>ORD-00541</t>
        </is>
      </c>
      <c r="B542" s="2" t="inlineStr">
        <is>
          <t>Customer 24</t>
        </is>
      </c>
      <c r="C542" s="2" t="inlineStr">
        <is>
          <t>Sensor</t>
        </is>
      </c>
      <c r="D542" s="2" t="inlineStr">
        <is>
          <t>Plant C</t>
        </is>
      </c>
      <c r="E542" s="2" t="inlineStr">
        <is>
          <t>Export</t>
        </is>
      </c>
      <c r="F542" s="12" t="n">
        <v>46165</v>
      </c>
      <c r="G542" s="12" t="n">
        <v>46171</v>
      </c>
      <c r="H542" s="12" t="n">
        <v>46170</v>
      </c>
      <c r="I542" s="12" t="n">
        <v>46168</v>
      </c>
      <c r="J542" s="12" t="n">
        <v>46169</v>
      </c>
      <c r="K542" s="2" t="n">
        <v>472</v>
      </c>
      <c r="L542" s="2" t="inlineStr">
        <is>
          <t>Sea</t>
        </is>
      </c>
      <c r="M542" s="2" t="inlineStr">
        <is>
          <t>No Delay</t>
        </is>
      </c>
      <c r="N542" s="4">
        <f>IF(I542&lt;=H542,1,0)</f>
        <v/>
      </c>
      <c r="O542" s="4">
        <f>IF(J542&lt;=G542,1,0)</f>
        <v/>
      </c>
      <c r="P542" s="4">
        <f>MAX(0,I542-H542)</f>
        <v/>
      </c>
      <c r="Q542" s="4">
        <f>MAX(0,J542-G542)</f>
        <v/>
      </c>
      <c r="R542" s="4">
        <f>IF(AND(N542=1,O542=1),"On Track",IF(O542=0,"Customer Delivery Late","Ship Late"))</f>
        <v/>
      </c>
    </row>
    <row r="543">
      <c r="A543" s="2" t="inlineStr">
        <is>
          <t>ORD-00542</t>
        </is>
      </c>
      <c r="B543" s="2" t="inlineStr">
        <is>
          <t>Customer 22</t>
        </is>
      </c>
      <c r="C543" s="2" t="inlineStr">
        <is>
          <t>Switchgear</t>
        </is>
      </c>
      <c r="D543" s="2" t="inlineStr">
        <is>
          <t>Plant C</t>
        </is>
      </c>
      <c r="E543" s="2" t="inlineStr">
        <is>
          <t>North</t>
        </is>
      </c>
      <c r="F543" s="12" t="n">
        <v>46127</v>
      </c>
      <c r="G543" s="12" t="n">
        <v>46141</v>
      </c>
      <c r="H543" s="12" t="n">
        <v>46137</v>
      </c>
      <c r="I543" s="12" t="n">
        <v>46135</v>
      </c>
      <c r="J543" s="12" t="n">
        <v>46139</v>
      </c>
      <c r="K543" s="2" t="n">
        <v>821</v>
      </c>
      <c r="L543" s="2" t="inlineStr">
        <is>
          <t>Air</t>
        </is>
      </c>
      <c r="M543" s="2" t="inlineStr">
        <is>
          <t>No Delay</t>
        </is>
      </c>
      <c r="N543" s="4">
        <f>IF(I543&lt;=H543,1,0)</f>
        <v/>
      </c>
      <c r="O543" s="4">
        <f>IF(J543&lt;=G543,1,0)</f>
        <v/>
      </c>
      <c r="P543" s="4">
        <f>MAX(0,I543-H543)</f>
        <v/>
      </c>
      <c r="Q543" s="4">
        <f>MAX(0,J543-G543)</f>
        <v/>
      </c>
      <c r="R543" s="4">
        <f>IF(AND(N543=1,O543=1),"On Track",IF(O543=0,"Customer Delivery Late","Ship Late"))</f>
        <v/>
      </c>
    </row>
    <row r="544">
      <c r="A544" s="2" t="inlineStr">
        <is>
          <t>ORD-00543</t>
        </is>
      </c>
      <c r="B544" s="2" t="inlineStr">
        <is>
          <t>Customer 07</t>
        </is>
      </c>
      <c r="C544" s="2" t="inlineStr">
        <is>
          <t>Drive</t>
        </is>
      </c>
      <c r="D544" s="2" t="inlineStr">
        <is>
          <t>Plant A</t>
        </is>
      </c>
      <c r="E544" s="2" t="inlineStr">
        <is>
          <t>Export</t>
        </is>
      </c>
      <c r="F544" s="12" t="n">
        <v>46156</v>
      </c>
      <c r="G544" s="12" t="n">
        <v>46163</v>
      </c>
      <c r="H544" s="12" t="n">
        <v>46162</v>
      </c>
      <c r="I544" s="12" t="n">
        <v>46161</v>
      </c>
      <c r="J544" s="12" t="n">
        <v>46162</v>
      </c>
      <c r="K544" s="2" t="n">
        <v>261</v>
      </c>
      <c r="L544" s="2" t="inlineStr">
        <is>
          <t>Road</t>
        </is>
      </c>
      <c r="M544" s="2" t="inlineStr">
        <is>
          <t>No Delay</t>
        </is>
      </c>
      <c r="N544" s="4">
        <f>IF(I544&lt;=H544,1,0)</f>
        <v/>
      </c>
      <c r="O544" s="4">
        <f>IF(J544&lt;=G544,1,0)</f>
        <v/>
      </c>
      <c r="P544" s="4">
        <f>MAX(0,I544-H544)</f>
        <v/>
      </c>
      <c r="Q544" s="4">
        <f>MAX(0,J544-G544)</f>
        <v/>
      </c>
      <c r="R544" s="4">
        <f>IF(AND(N544=1,O544=1),"On Track",IF(O544=0,"Customer Delivery Late","Ship Late"))</f>
        <v/>
      </c>
    </row>
    <row r="545">
      <c r="A545" s="2" t="inlineStr">
        <is>
          <t>ORD-00544</t>
        </is>
      </c>
      <c r="B545" s="2" t="inlineStr">
        <is>
          <t>Customer 22</t>
        </is>
      </c>
      <c r="C545" s="2" t="inlineStr">
        <is>
          <t>Power Supply</t>
        </is>
      </c>
      <c r="D545" s="2" t="inlineStr">
        <is>
          <t>Plant B</t>
        </is>
      </c>
      <c r="E545" s="2" t="inlineStr">
        <is>
          <t>South</t>
        </is>
      </c>
      <c r="F545" s="12" t="n">
        <v>46131</v>
      </c>
      <c r="G545" s="12" t="n">
        <v>46151</v>
      </c>
      <c r="H545" s="12" t="n">
        <v>46148</v>
      </c>
      <c r="I545" s="12" t="n">
        <v>46148</v>
      </c>
      <c r="J545" s="12" t="n">
        <v>46151</v>
      </c>
      <c r="K545" s="2" t="n">
        <v>311</v>
      </c>
      <c r="L545" s="2" t="inlineStr">
        <is>
          <t>Air</t>
        </is>
      </c>
      <c r="M545" s="2" t="inlineStr">
        <is>
          <t>No Delay</t>
        </is>
      </c>
      <c r="N545" s="4">
        <f>IF(I545&lt;=H545,1,0)</f>
        <v/>
      </c>
      <c r="O545" s="4">
        <f>IF(J545&lt;=G545,1,0)</f>
        <v/>
      </c>
      <c r="P545" s="4">
        <f>MAX(0,I545-H545)</f>
        <v/>
      </c>
      <c r="Q545" s="4">
        <f>MAX(0,J545-G545)</f>
        <v/>
      </c>
      <c r="R545" s="4">
        <f>IF(AND(N545=1,O545=1),"On Track",IF(O545=0,"Customer Delivery Late","Ship Late"))</f>
        <v/>
      </c>
    </row>
    <row r="546">
      <c r="A546" s="2" t="inlineStr">
        <is>
          <t>ORD-00545</t>
        </is>
      </c>
      <c r="B546" s="2" t="inlineStr">
        <is>
          <t>Customer 02</t>
        </is>
      </c>
      <c r="C546" s="2" t="inlineStr">
        <is>
          <t>Contactor</t>
        </is>
      </c>
      <c r="D546" s="2" t="inlineStr">
        <is>
          <t>Plant B</t>
        </is>
      </c>
      <c r="E546" s="2" t="inlineStr">
        <is>
          <t>North</t>
        </is>
      </c>
      <c r="F546" s="12" t="n">
        <v>46050</v>
      </c>
      <c r="G546" s="12" t="n">
        <v>46058</v>
      </c>
      <c r="H546" s="12" t="n">
        <v>46055</v>
      </c>
      <c r="I546" s="12" t="n">
        <v>46053</v>
      </c>
      <c r="J546" s="12" t="n">
        <v>46055</v>
      </c>
      <c r="K546" s="2" t="n">
        <v>376</v>
      </c>
      <c r="L546" s="2" t="inlineStr">
        <is>
          <t>Air</t>
        </is>
      </c>
      <c r="M546" s="2" t="inlineStr">
        <is>
          <t>No Delay</t>
        </is>
      </c>
      <c r="N546" s="4">
        <f>IF(I546&lt;=H546,1,0)</f>
        <v/>
      </c>
      <c r="O546" s="4">
        <f>IF(J546&lt;=G546,1,0)</f>
        <v/>
      </c>
      <c r="P546" s="4">
        <f>MAX(0,I546-H546)</f>
        <v/>
      </c>
      <c r="Q546" s="4">
        <f>MAX(0,J546-G546)</f>
        <v/>
      </c>
      <c r="R546" s="4">
        <f>IF(AND(N546=1,O546=1),"On Track",IF(O546=0,"Customer Delivery Late","Ship Late"))</f>
        <v/>
      </c>
    </row>
    <row r="547">
      <c r="A547" s="2" t="inlineStr">
        <is>
          <t>ORD-00546</t>
        </is>
      </c>
      <c r="B547" s="2" t="inlineStr">
        <is>
          <t>Customer 17</t>
        </is>
      </c>
      <c r="C547" s="2" t="inlineStr">
        <is>
          <t>Switchgear</t>
        </is>
      </c>
      <c r="D547" s="2" t="inlineStr">
        <is>
          <t>Plant B</t>
        </is>
      </c>
      <c r="E547" s="2" t="inlineStr">
        <is>
          <t>Central</t>
        </is>
      </c>
      <c r="F547" s="12" t="n">
        <v>46177</v>
      </c>
      <c r="G547" s="12" t="n">
        <v>46192</v>
      </c>
      <c r="H547" s="12" t="n">
        <v>46190</v>
      </c>
      <c r="I547" s="12" t="n">
        <v>46190</v>
      </c>
      <c r="J547" s="12" t="n">
        <v>46191</v>
      </c>
      <c r="K547" s="2" t="n">
        <v>611</v>
      </c>
      <c r="L547" s="2" t="inlineStr">
        <is>
          <t>Sea</t>
        </is>
      </c>
      <c r="M547" s="2" t="inlineStr">
        <is>
          <t>No Delay</t>
        </is>
      </c>
      <c r="N547" s="4">
        <f>IF(I547&lt;=H547,1,0)</f>
        <v/>
      </c>
      <c r="O547" s="4">
        <f>IF(J547&lt;=G547,1,0)</f>
        <v/>
      </c>
      <c r="P547" s="4">
        <f>MAX(0,I547-H547)</f>
        <v/>
      </c>
      <c r="Q547" s="4">
        <f>MAX(0,J547-G547)</f>
        <v/>
      </c>
      <c r="R547" s="4">
        <f>IF(AND(N547=1,O547=1),"On Track",IF(O547=0,"Customer Delivery Late","Ship Late"))</f>
        <v/>
      </c>
    </row>
    <row r="548">
      <c r="A548" s="2" t="inlineStr">
        <is>
          <t>ORD-00547</t>
        </is>
      </c>
      <c r="B548" s="2" t="inlineStr">
        <is>
          <t>Customer 29</t>
        </is>
      </c>
      <c r="C548" s="2" t="inlineStr">
        <is>
          <t>Contactor</t>
        </is>
      </c>
      <c r="D548" s="2" t="inlineStr">
        <is>
          <t>Plant B</t>
        </is>
      </c>
      <c r="E548" s="2" t="inlineStr">
        <is>
          <t>Export</t>
        </is>
      </c>
      <c r="F548" s="12" t="n">
        <v>46150</v>
      </c>
      <c r="G548" s="12" t="n">
        <v>46170</v>
      </c>
      <c r="H548" s="12" t="n">
        <v>46165</v>
      </c>
      <c r="I548" s="12" t="n">
        <v>46164</v>
      </c>
      <c r="J548" s="12" t="n">
        <v>46168</v>
      </c>
      <c r="K548" s="2" t="n">
        <v>654</v>
      </c>
      <c r="L548" s="2" t="inlineStr">
        <is>
          <t>Air</t>
        </is>
      </c>
      <c r="M548" s="2" t="inlineStr">
        <is>
          <t>No Delay</t>
        </is>
      </c>
      <c r="N548" s="4">
        <f>IF(I548&lt;=H548,1,0)</f>
        <v/>
      </c>
      <c r="O548" s="4">
        <f>IF(J548&lt;=G548,1,0)</f>
        <v/>
      </c>
      <c r="P548" s="4">
        <f>MAX(0,I548-H548)</f>
        <v/>
      </c>
      <c r="Q548" s="4">
        <f>MAX(0,J548-G548)</f>
        <v/>
      </c>
      <c r="R548" s="4">
        <f>IF(AND(N548=1,O548=1),"On Track",IF(O548=0,"Customer Delivery Late","Ship Late"))</f>
        <v/>
      </c>
    </row>
    <row r="549">
      <c r="A549" s="2" t="inlineStr">
        <is>
          <t>ORD-00548</t>
        </is>
      </c>
      <c r="B549" s="2" t="inlineStr">
        <is>
          <t>Customer 05</t>
        </is>
      </c>
      <c r="C549" s="2" t="inlineStr">
        <is>
          <t>Sensor</t>
        </is>
      </c>
      <c r="D549" s="2" t="inlineStr">
        <is>
          <t>Plant C</t>
        </is>
      </c>
      <c r="E549" s="2" t="inlineStr">
        <is>
          <t>Export</t>
        </is>
      </c>
      <c r="F549" s="12" t="n">
        <v>46136</v>
      </c>
      <c r="G549" s="12" t="n">
        <v>46155</v>
      </c>
      <c r="H549" s="12" t="n">
        <v>46154</v>
      </c>
      <c r="I549" s="12" t="n">
        <v>46154</v>
      </c>
      <c r="J549" s="12" t="n">
        <v>46155</v>
      </c>
      <c r="K549" s="2" t="n">
        <v>1008</v>
      </c>
      <c r="L549" s="2" t="inlineStr">
        <is>
          <t>Road</t>
        </is>
      </c>
      <c r="M549" s="2" t="inlineStr">
        <is>
          <t>No Delay</t>
        </is>
      </c>
      <c r="N549" s="4">
        <f>IF(I549&lt;=H549,1,0)</f>
        <v/>
      </c>
      <c r="O549" s="4">
        <f>IF(J549&lt;=G549,1,0)</f>
        <v/>
      </c>
      <c r="P549" s="4">
        <f>MAX(0,I549-H549)</f>
        <v/>
      </c>
      <c r="Q549" s="4">
        <f>MAX(0,J549-G549)</f>
        <v/>
      </c>
      <c r="R549" s="4">
        <f>IF(AND(N549=1,O549=1),"On Track",IF(O549=0,"Customer Delivery Late","Ship Late"))</f>
        <v/>
      </c>
    </row>
    <row r="550">
      <c r="A550" s="2" t="inlineStr">
        <is>
          <t>ORD-00549</t>
        </is>
      </c>
      <c r="B550" s="2" t="inlineStr">
        <is>
          <t>Customer 06</t>
        </is>
      </c>
      <c r="C550" s="2" t="inlineStr">
        <is>
          <t>Breaker</t>
        </is>
      </c>
      <c r="D550" s="2" t="inlineStr">
        <is>
          <t>Plant B</t>
        </is>
      </c>
      <c r="E550" s="2" t="inlineStr">
        <is>
          <t>South</t>
        </is>
      </c>
      <c r="F550" s="12" t="n">
        <v>46168</v>
      </c>
      <c r="G550" s="12" t="n">
        <v>46188</v>
      </c>
      <c r="H550" s="12" t="n">
        <v>46183</v>
      </c>
      <c r="I550" s="12" t="n">
        <v>46183</v>
      </c>
      <c r="J550" s="12" t="n">
        <v>46188</v>
      </c>
      <c r="K550" s="2" t="n">
        <v>1023</v>
      </c>
      <c r="L550" s="2" t="inlineStr">
        <is>
          <t>Sea</t>
        </is>
      </c>
      <c r="M550" s="2" t="inlineStr">
        <is>
          <t>No Delay</t>
        </is>
      </c>
      <c r="N550" s="4">
        <f>IF(I550&lt;=H550,1,0)</f>
        <v/>
      </c>
      <c r="O550" s="4">
        <f>IF(J550&lt;=G550,1,0)</f>
        <v/>
      </c>
      <c r="P550" s="4">
        <f>MAX(0,I550-H550)</f>
        <v/>
      </c>
      <c r="Q550" s="4">
        <f>MAX(0,J550-G550)</f>
        <v/>
      </c>
      <c r="R550" s="4">
        <f>IF(AND(N550=1,O550=1),"On Track",IF(O550=0,"Customer Delivery Late","Ship Late"))</f>
        <v/>
      </c>
    </row>
    <row r="551">
      <c r="A551" s="2" t="inlineStr">
        <is>
          <t>ORD-00550</t>
        </is>
      </c>
      <c r="B551" s="2" t="inlineStr">
        <is>
          <t>Customer 02</t>
        </is>
      </c>
      <c r="C551" s="2" t="inlineStr">
        <is>
          <t>Relay</t>
        </is>
      </c>
      <c r="D551" s="2" t="inlineStr">
        <is>
          <t>Plant B</t>
        </is>
      </c>
      <c r="E551" s="2" t="inlineStr">
        <is>
          <t>South</t>
        </is>
      </c>
      <c r="F551" s="12" t="n">
        <v>46119</v>
      </c>
      <c r="G551" s="12" t="n">
        <v>46143</v>
      </c>
      <c r="H551" s="12" t="n">
        <v>46140</v>
      </c>
      <c r="I551" s="12" t="n">
        <v>46139</v>
      </c>
      <c r="J551" s="12" t="n">
        <v>46141</v>
      </c>
      <c r="K551" s="2" t="n">
        <v>1205</v>
      </c>
      <c r="L551" s="2" t="inlineStr">
        <is>
          <t>Road</t>
        </is>
      </c>
      <c r="M551" s="2" t="inlineStr">
        <is>
          <t>No Delay</t>
        </is>
      </c>
      <c r="N551" s="4">
        <f>IF(I551&lt;=H551,1,0)</f>
        <v/>
      </c>
      <c r="O551" s="4">
        <f>IF(J551&lt;=G551,1,0)</f>
        <v/>
      </c>
      <c r="P551" s="4">
        <f>MAX(0,I551-H551)</f>
        <v/>
      </c>
      <c r="Q551" s="4">
        <f>MAX(0,J551-G551)</f>
        <v/>
      </c>
      <c r="R551" s="4">
        <f>IF(AND(N551=1,O551=1),"On Track",IF(O551=0,"Customer Delivery Late","Ship Late"))</f>
        <v/>
      </c>
    </row>
    <row r="552">
      <c r="A552" s="2" t="inlineStr">
        <is>
          <t>ORD-00551</t>
        </is>
      </c>
      <c r="B552" s="2" t="inlineStr">
        <is>
          <t>Customer 22</t>
        </is>
      </c>
      <c r="C552" s="2" t="inlineStr">
        <is>
          <t>PLC</t>
        </is>
      </c>
      <c r="D552" s="2" t="inlineStr">
        <is>
          <t>Plant A</t>
        </is>
      </c>
      <c r="E552" s="2" t="inlineStr">
        <is>
          <t>Central</t>
        </is>
      </c>
      <c r="F552" s="12" t="n">
        <v>46183</v>
      </c>
      <c r="G552" s="12" t="n">
        <v>46198</v>
      </c>
      <c r="H552" s="12" t="n">
        <v>46194</v>
      </c>
      <c r="I552" s="12" t="n">
        <v>46193</v>
      </c>
      <c r="J552" s="12" t="n">
        <v>46197</v>
      </c>
      <c r="K552" s="2" t="n">
        <v>1337</v>
      </c>
      <c r="L552" s="2" t="inlineStr">
        <is>
          <t>Air</t>
        </is>
      </c>
      <c r="M552" s="2" t="inlineStr">
        <is>
          <t>No Delay</t>
        </is>
      </c>
      <c r="N552" s="4">
        <f>IF(I552&lt;=H552,1,0)</f>
        <v/>
      </c>
      <c r="O552" s="4">
        <f>IF(J552&lt;=G552,1,0)</f>
        <v/>
      </c>
      <c r="P552" s="4">
        <f>MAX(0,I552-H552)</f>
        <v/>
      </c>
      <c r="Q552" s="4">
        <f>MAX(0,J552-G552)</f>
        <v/>
      </c>
      <c r="R552" s="4">
        <f>IF(AND(N552=1,O552=1),"On Track",IF(O552=0,"Customer Delivery Late","Ship Late"))</f>
        <v/>
      </c>
    </row>
    <row r="553">
      <c r="A553" s="2" t="inlineStr">
        <is>
          <t>ORD-00552</t>
        </is>
      </c>
      <c r="B553" s="2" t="inlineStr">
        <is>
          <t>Customer 11</t>
        </is>
      </c>
      <c r="C553" s="2" t="inlineStr">
        <is>
          <t>Breaker</t>
        </is>
      </c>
      <c r="D553" s="2" t="inlineStr">
        <is>
          <t>Plant B</t>
        </is>
      </c>
      <c r="E553" s="2" t="inlineStr">
        <is>
          <t>Export</t>
        </is>
      </c>
      <c r="F553" s="12" t="n">
        <v>46174</v>
      </c>
      <c r="G553" s="12" t="n">
        <v>46181</v>
      </c>
      <c r="H553" s="12" t="n">
        <v>46180</v>
      </c>
      <c r="I553" s="12" t="n">
        <v>46178</v>
      </c>
      <c r="J553" s="12" t="n">
        <v>46179</v>
      </c>
      <c r="K553" s="2" t="n">
        <v>1173</v>
      </c>
      <c r="L553" s="2" t="inlineStr">
        <is>
          <t>Sea</t>
        </is>
      </c>
      <c r="M553" s="2" t="inlineStr">
        <is>
          <t>No Delay</t>
        </is>
      </c>
      <c r="N553" s="4">
        <f>IF(I553&lt;=H553,1,0)</f>
        <v/>
      </c>
      <c r="O553" s="4">
        <f>IF(J553&lt;=G553,1,0)</f>
        <v/>
      </c>
      <c r="P553" s="4">
        <f>MAX(0,I553-H553)</f>
        <v/>
      </c>
      <c r="Q553" s="4">
        <f>MAX(0,J553-G553)</f>
        <v/>
      </c>
      <c r="R553" s="4">
        <f>IF(AND(N553=1,O553=1),"On Track",IF(O553=0,"Customer Delivery Late","Ship Late"))</f>
        <v/>
      </c>
    </row>
    <row r="554">
      <c r="A554" s="2" t="inlineStr">
        <is>
          <t>ORD-00553</t>
        </is>
      </c>
      <c r="B554" s="2" t="inlineStr">
        <is>
          <t>Customer 13</t>
        </is>
      </c>
      <c r="C554" s="2" t="inlineStr">
        <is>
          <t>Drive</t>
        </is>
      </c>
      <c r="D554" s="2" t="inlineStr">
        <is>
          <t>Plant C</t>
        </is>
      </c>
      <c r="E554" s="2" t="inlineStr">
        <is>
          <t>North</t>
        </is>
      </c>
      <c r="F554" s="12" t="n">
        <v>46130</v>
      </c>
      <c r="G554" s="12" t="n">
        <v>46143</v>
      </c>
      <c r="H554" s="12" t="n">
        <v>46142</v>
      </c>
      <c r="I554" s="12" t="n">
        <v>46142</v>
      </c>
      <c r="J554" s="12" t="n">
        <v>46143</v>
      </c>
      <c r="K554" s="2" t="n">
        <v>1010</v>
      </c>
      <c r="L554" s="2" t="inlineStr">
        <is>
          <t>Road</t>
        </is>
      </c>
      <c r="M554" s="2" t="inlineStr">
        <is>
          <t>No Delay</t>
        </is>
      </c>
      <c r="N554" s="4">
        <f>IF(I554&lt;=H554,1,0)</f>
        <v/>
      </c>
      <c r="O554" s="4">
        <f>IF(J554&lt;=G554,1,0)</f>
        <v/>
      </c>
      <c r="P554" s="4">
        <f>MAX(0,I554-H554)</f>
        <v/>
      </c>
      <c r="Q554" s="4">
        <f>MAX(0,J554-G554)</f>
        <v/>
      </c>
      <c r="R554" s="4">
        <f>IF(AND(N554=1,O554=1),"On Track",IF(O554=0,"Customer Delivery Late","Ship Late"))</f>
        <v/>
      </c>
    </row>
    <row r="555">
      <c r="A555" s="2" t="inlineStr">
        <is>
          <t>ORD-00554</t>
        </is>
      </c>
      <c r="B555" s="2" t="inlineStr">
        <is>
          <t>Customer 12</t>
        </is>
      </c>
      <c r="C555" s="2" t="inlineStr">
        <is>
          <t>Power Supply</t>
        </is>
      </c>
      <c r="D555" s="2" t="inlineStr">
        <is>
          <t>Plant A</t>
        </is>
      </c>
      <c r="E555" s="2" t="inlineStr">
        <is>
          <t>Export</t>
        </is>
      </c>
      <c r="F555" s="12" t="n">
        <v>46199</v>
      </c>
      <c r="G555" s="12" t="n">
        <v>46210</v>
      </c>
      <c r="H555" s="12" t="n">
        <v>46207</v>
      </c>
      <c r="I555" s="12" t="n">
        <v>46207</v>
      </c>
      <c r="J555" s="12" t="n">
        <v>46210</v>
      </c>
      <c r="K555" s="2" t="n">
        <v>1311</v>
      </c>
      <c r="L555" s="2" t="inlineStr">
        <is>
          <t>Road</t>
        </is>
      </c>
      <c r="M555" s="2" t="inlineStr">
        <is>
          <t>No Delay</t>
        </is>
      </c>
      <c r="N555" s="4">
        <f>IF(I555&lt;=H555,1,0)</f>
        <v/>
      </c>
      <c r="O555" s="4">
        <f>IF(J555&lt;=G555,1,0)</f>
        <v/>
      </c>
      <c r="P555" s="4">
        <f>MAX(0,I555-H555)</f>
        <v/>
      </c>
      <c r="Q555" s="4">
        <f>MAX(0,J555-G555)</f>
        <v/>
      </c>
      <c r="R555" s="4">
        <f>IF(AND(N555=1,O555=1),"On Track",IF(O555=0,"Customer Delivery Late","Ship Late"))</f>
        <v/>
      </c>
    </row>
    <row r="556">
      <c r="A556" s="2" t="inlineStr">
        <is>
          <t>ORD-00555</t>
        </is>
      </c>
      <c r="B556" s="2" t="inlineStr">
        <is>
          <t>Customer 03</t>
        </is>
      </c>
      <c r="C556" s="2" t="inlineStr">
        <is>
          <t>Contactor</t>
        </is>
      </c>
      <c r="D556" s="2" t="inlineStr">
        <is>
          <t>Plant C</t>
        </is>
      </c>
      <c r="E556" s="2" t="inlineStr">
        <is>
          <t>South</t>
        </is>
      </c>
      <c r="F556" s="12" t="n">
        <v>46160</v>
      </c>
      <c r="G556" s="12" t="n">
        <v>46171</v>
      </c>
      <c r="H556" s="12" t="n">
        <v>46168</v>
      </c>
      <c r="I556" s="12" t="n">
        <v>46167</v>
      </c>
      <c r="J556" s="12" t="n">
        <v>46170</v>
      </c>
      <c r="K556" s="2" t="n">
        <v>569</v>
      </c>
      <c r="L556" s="2" t="inlineStr">
        <is>
          <t>Road</t>
        </is>
      </c>
      <c r="M556" s="2" t="inlineStr">
        <is>
          <t>No Delay</t>
        </is>
      </c>
      <c r="N556" s="4">
        <f>IF(I556&lt;=H556,1,0)</f>
        <v/>
      </c>
      <c r="O556" s="4">
        <f>IF(J556&lt;=G556,1,0)</f>
        <v/>
      </c>
      <c r="P556" s="4">
        <f>MAX(0,I556-H556)</f>
        <v/>
      </c>
      <c r="Q556" s="4">
        <f>MAX(0,J556-G556)</f>
        <v/>
      </c>
      <c r="R556" s="4">
        <f>IF(AND(N556=1,O556=1),"On Track",IF(O556=0,"Customer Delivery Late","Ship Late"))</f>
        <v/>
      </c>
    </row>
    <row r="557">
      <c r="A557" s="2" t="inlineStr">
        <is>
          <t>ORD-00556</t>
        </is>
      </c>
      <c r="B557" s="2" t="inlineStr">
        <is>
          <t>Customer 10</t>
        </is>
      </c>
      <c r="C557" s="2" t="inlineStr">
        <is>
          <t>Power Supply</t>
        </is>
      </c>
      <c r="D557" s="2" t="inlineStr">
        <is>
          <t>Plant C</t>
        </is>
      </c>
      <c r="E557" s="2" t="inlineStr">
        <is>
          <t>South</t>
        </is>
      </c>
      <c r="F557" s="12" t="n">
        <v>46168</v>
      </c>
      <c r="G557" s="12" t="n">
        <v>46189</v>
      </c>
      <c r="H557" s="12" t="n">
        <v>46185</v>
      </c>
      <c r="I557" s="12" t="n">
        <v>46184</v>
      </c>
      <c r="J557" s="12" t="n">
        <v>46188</v>
      </c>
      <c r="K557" s="2" t="n">
        <v>419</v>
      </c>
      <c r="L557" s="2" t="inlineStr">
        <is>
          <t>Air</t>
        </is>
      </c>
      <c r="M557" s="2" t="inlineStr">
        <is>
          <t>No Delay</t>
        </is>
      </c>
      <c r="N557" s="4">
        <f>IF(I557&lt;=H557,1,0)</f>
        <v/>
      </c>
      <c r="O557" s="4">
        <f>IF(J557&lt;=G557,1,0)</f>
        <v/>
      </c>
      <c r="P557" s="4">
        <f>MAX(0,I557-H557)</f>
        <v/>
      </c>
      <c r="Q557" s="4">
        <f>MAX(0,J557-G557)</f>
        <v/>
      </c>
      <c r="R557" s="4">
        <f>IF(AND(N557=1,O557=1),"On Track",IF(O557=0,"Customer Delivery Late","Ship Late"))</f>
        <v/>
      </c>
    </row>
    <row r="558">
      <c r="A558" s="2" t="inlineStr">
        <is>
          <t>ORD-00557</t>
        </is>
      </c>
      <c r="B558" s="2" t="inlineStr">
        <is>
          <t>Customer 17</t>
        </is>
      </c>
      <c r="C558" s="2" t="inlineStr">
        <is>
          <t>Relay</t>
        </is>
      </c>
      <c r="D558" s="2" t="inlineStr">
        <is>
          <t>Plant C</t>
        </is>
      </c>
      <c r="E558" s="2" t="inlineStr">
        <is>
          <t>Export</t>
        </is>
      </c>
      <c r="F558" s="12" t="n">
        <v>46125</v>
      </c>
      <c r="G558" s="12" t="n">
        <v>46138</v>
      </c>
      <c r="H558" s="12" t="n">
        <v>46133</v>
      </c>
      <c r="I558" s="12" t="n">
        <v>46133</v>
      </c>
      <c r="J558" s="12" t="n">
        <v>46137</v>
      </c>
      <c r="K558" s="2" t="n">
        <v>446</v>
      </c>
      <c r="L558" s="2" t="inlineStr">
        <is>
          <t>Sea</t>
        </is>
      </c>
      <c r="M558" s="2" t="inlineStr">
        <is>
          <t>No Delay</t>
        </is>
      </c>
      <c r="N558" s="4">
        <f>IF(I558&lt;=H558,1,0)</f>
        <v/>
      </c>
      <c r="O558" s="4">
        <f>IF(J558&lt;=G558,1,0)</f>
        <v/>
      </c>
      <c r="P558" s="4">
        <f>MAX(0,I558-H558)</f>
        <v/>
      </c>
      <c r="Q558" s="4">
        <f>MAX(0,J558-G558)</f>
        <v/>
      </c>
      <c r="R558" s="4">
        <f>IF(AND(N558=1,O558=1),"On Track",IF(O558=0,"Customer Delivery Late","Ship Late"))</f>
        <v/>
      </c>
    </row>
    <row r="559">
      <c r="A559" s="2" t="inlineStr">
        <is>
          <t>ORD-00558</t>
        </is>
      </c>
      <c r="B559" s="2" t="inlineStr">
        <is>
          <t>Customer 15</t>
        </is>
      </c>
      <c r="C559" s="2" t="inlineStr">
        <is>
          <t>Relay</t>
        </is>
      </c>
      <c r="D559" s="2" t="inlineStr">
        <is>
          <t>Plant A</t>
        </is>
      </c>
      <c r="E559" s="2" t="inlineStr">
        <is>
          <t>Central</t>
        </is>
      </c>
      <c r="F559" s="12" t="n">
        <v>46142</v>
      </c>
      <c r="G559" s="12" t="n">
        <v>46155</v>
      </c>
      <c r="H559" s="12" t="n">
        <v>46150</v>
      </c>
      <c r="I559" s="12" t="n">
        <v>46149</v>
      </c>
      <c r="J559" s="12" t="n">
        <v>46155</v>
      </c>
      <c r="K559" s="2" t="n">
        <v>1413</v>
      </c>
      <c r="L559" s="2" t="inlineStr">
        <is>
          <t>Air</t>
        </is>
      </c>
      <c r="M559" s="2" t="inlineStr">
        <is>
          <t>No Delay</t>
        </is>
      </c>
      <c r="N559" s="4">
        <f>IF(I559&lt;=H559,1,0)</f>
        <v/>
      </c>
      <c r="O559" s="4">
        <f>IF(J559&lt;=G559,1,0)</f>
        <v/>
      </c>
      <c r="P559" s="4">
        <f>MAX(0,I559-H559)</f>
        <v/>
      </c>
      <c r="Q559" s="4">
        <f>MAX(0,J559-G559)</f>
        <v/>
      </c>
      <c r="R559" s="4">
        <f>IF(AND(N559=1,O559=1),"On Track",IF(O559=0,"Customer Delivery Late","Ship Late"))</f>
        <v/>
      </c>
    </row>
    <row r="560">
      <c r="A560" s="2" t="inlineStr">
        <is>
          <t>ORD-00559</t>
        </is>
      </c>
      <c r="B560" s="2" t="inlineStr">
        <is>
          <t>Customer 10</t>
        </is>
      </c>
      <c r="C560" s="2" t="inlineStr">
        <is>
          <t>Relay</t>
        </is>
      </c>
      <c r="D560" s="2" t="inlineStr">
        <is>
          <t>Plant B</t>
        </is>
      </c>
      <c r="E560" s="2" t="inlineStr">
        <is>
          <t>Central</t>
        </is>
      </c>
      <c r="F560" s="12" t="n">
        <v>46134</v>
      </c>
      <c r="G560" s="12" t="n">
        <v>46152</v>
      </c>
      <c r="H560" s="12" t="n">
        <v>46149</v>
      </c>
      <c r="I560" s="12" t="n">
        <v>46147</v>
      </c>
      <c r="J560" s="12" t="n">
        <v>46150</v>
      </c>
      <c r="K560" s="2" t="n">
        <v>841</v>
      </c>
      <c r="L560" s="2" t="inlineStr">
        <is>
          <t>Road</t>
        </is>
      </c>
      <c r="M560" s="2" t="inlineStr">
        <is>
          <t>No Delay</t>
        </is>
      </c>
      <c r="N560" s="4">
        <f>IF(I560&lt;=H560,1,0)</f>
        <v/>
      </c>
      <c r="O560" s="4">
        <f>IF(J560&lt;=G560,1,0)</f>
        <v/>
      </c>
      <c r="P560" s="4">
        <f>MAX(0,I560-H560)</f>
        <v/>
      </c>
      <c r="Q560" s="4">
        <f>MAX(0,J560-G560)</f>
        <v/>
      </c>
      <c r="R560" s="4">
        <f>IF(AND(N560=1,O560=1),"On Track",IF(O560=0,"Customer Delivery Late","Ship Late"))</f>
        <v/>
      </c>
    </row>
    <row r="561">
      <c r="A561" s="2" t="inlineStr">
        <is>
          <t>ORD-00560</t>
        </is>
      </c>
      <c r="B561" s="2" t="inlineStr">
        <is>
          <t>Customer 14</t>
        </is>
      </c>
      <c r="C561" s="2" t="inlineStr">
        <is>
          <t>Power Supply</t>
        </is>
      </c>
      <c r="D561" s="2" t="inlineStr">
        <is>
          <t>Plant C</t>
        </is>
      </c>
      <c r="E561" s="2" t="inlineStr">
        <is>
          <t>North</t>
        </is>
      </c>
      <c r="F561" s="12" t="n">
        <v>46052</v>
      </c>
      <c r="G561" s="12" t="n">
        <v>46061</v>
      </c>
      <c r="H561" s="12" t="n">
        <v>46059</v>
      </c>
      <c r="I561" s="12" t="n">
        <v>46058</v>
      </c>
      <c r="J561" s="12" t="n">
        <v>46060</v>
      </c>
      <c r="K561" s="2" t="n">
        <v>423</v>
      </c>
      <c r="L561" s="2" t="inlineStr">
        <is>
          <t>Road</t>
        </is>
      </c>
      <c r="M561" s="2" t="inlineStr">
        <is>
          <t>No Delay</t>
        </is>
      </c>
      <c r="N561" s="4">
        <f>IF(I561&lt;=H561,1,0)</f>
        <v/>
      </c>
      <c r="O561" s="4">
        <f>IF(J561&lt;=G561,1,0)</f>
        <v/>
      </c>
      <c r="P561" s="4">
        <f>MAX(0,I561-H561)</f>
        <v/>
      </c>
      <c r="Q561" s="4">
        <f>MAX(0,J561-G561)</f>
        <v/>
      </c>
      <c r="R561" s="4">
        <f>IF(AND(N561=1,O561=1),"On Track",IF(O561=0,"Customer Delivery Late","Ship Late"))</f>
        <v/>
      </c>
    </row>
    <row r="562">
      <c r="A562" s="2" t="inlineStr">
        <is>
          <t>ORD-00561</t>
        </is>
      </c>
      <c r="B562" s="2" t="inlineStr">
        <is>
          <t>Customer 16</t>
        </is>
      </c>
      <c r="C562" s="2" t="inlineStr">
        <is>
          <t>Breaker</t>
        </is>
      </c>
      <c r="D562" s="2" t="inlineStr">
        <is>
          <t>Plant A</t>
        </is>
      </c>
      <c r="E562" s="2" t="inlineStr">
        <is>
          <t>North</t>
        </is>
      </c>
      <c r="F562" s="12" t="n">
        <v>46092</v>
      </c>
      <c r="G562" s="12" t="n">
        <v>46101</v>
      </c>
      <c r="H562" s="12" t="n">
        <v>46100</v>
      </c>
      <c r="I562" s="12" t="n">
        <v>46099</v>
      </c>
      <c r="J562" s="12" t="n">
        <v>46100</v>
      </c>
      <c r="K562" s="2" t="n">
        <v>652</v>
      </c>
      <c r="L562" s="2" t="inlineStr">
        <is>
          <t>Sea</t>
        </is>
      </c>
      <c r="M562" s="2" t="inlineStr">
        <is>
          <t>No Delay</t>
        </is>
      </c>
      <c r="N562" s="4">
        <f>IF(I562&lt;=H562,1,0)</f>
        <v/>
      </c>
      <c r="O562" s="4">
        <f>IF(J562&lt;=G562,1,0)</f>
        <v/>
      </c>
      <c r="P562" s="4">
        <f>MAX(0,I562-H562)</f>
        <v/>
      </c>
      <c r="Q562" s="4">
        <f>MAX(0,J562-G562)</f>
        <v/>
      </c>
      <c r="R562" s="4">
        <f>IF(AND(N562=1,O562=1),"On Track",IF(O562=0,"Customer Delivery Late","Ship Late"))</f>
        <v/>
      </c>
    </row>
    <row r="563">
      <c r="A563" s="2" t="inlineStr">
        <is>
          <t>ORD-00562</t>
        </is>
      </c>
      <c r="B563" s="2" t="inlineStr">
        <is>
          <t>Customer 24</t>
        </is>
      </c>
      <c r="C563" s="2" t="inlineStr">
        <is>
          <t>Relay</t>
        </is>
      </c>
      <c r="D563" s="2" t="inlineStr">
        <is>
          <t>Plant A</t>
        </is>
      </c>
      <c r="E563" s="2" t="inlineStr">
        <is>
          <t>North</t>
        </is>
      </c>
      <c r="F563" s="12" t="n">
        <v>46099</v>
      </c>
      <c r="G563" s="12" t="n">
        <v>46106</v>
      </c>
      <c r="H563" s="12" t="n">
        <v>46102</v>
      </c>
      <c r="I563" s="12" t="n">
        <v>46102</v>
      </c>
      <c r="J563" s="12" t="n">
        <v>46106</v>
      </c>
      <c r="K563" s="2" t="n">
        <v>1179</v>
      </c>
      <c r="L563" s="2" t="inlineStr">
        <is>
          <t>Sea</t>
        </is>
      </c>
      <c r="M563" s="2" t="inlineStr">
        <is>
          <t>No Delay</t>
        </is>
      </c>
      <c r="N563" s="4">
        <f>IF(I563&lt;=H563,1,0)</f>
        <v/>
      </c>
      <c r="O563" s="4">
        <f>IF(J563&lt;=G563,1,0)</f>
        <v/>
      </c>
      <c r="P563" s="4">
        <f>MAX(0,I563-H563)</f>
        <v/>
      </c>
      <c r="Q563" s="4">
        <f>MAX(0,J563-G563)</f>
        <v/>
      </c>
      <c r="R563" s="4">
        <f>IF(AND(N563=1,O563=1),"On Track",IF(O563=0,"Customer Delivery Late","Ship Late"))</f>
        <v/>
      </c>
    </row>
    <row r="564">
      <c r="A564" s="2" t="inlineStr">
        <is>
          <t>ORD-00563</t>
        </is>
      </c>
      <c r="B564" s="2" t="inlineStr">
        <is>
          <t>Customer 08</t>
        </is>
      </c>
      <c r="C564" s="2" t="inlineStr">
        <is>
          <t>Contactor</t>
        </is>
      </c>
      <c r="D564" s="2" t="inlineStr">
        <is>
          <t>Plant B</t>
        </is>
      </c>
      <c r="E564" s="2" t="inlineStr">
        <is>
          <t>South</t>
        </is>
      </c>
      <c r="F564" s="12" t="n">
        <v>46151</v>
      </c>
      <c r="G564" s="12" t="n">
        <v>46159</v>
      </c>
      <c r="H564" s="12" t="n">
        <v>46154</v>
      </c>
      <c r="I564" s="12" t="n">
        <v>46154</v>
      </c>
      <c r="J564" s="12" t="n">
        <v>46159</v>
      </c>
      <c r="K564" s="2" t="n">
        <v>1206</v>
      </c>
      <c r="L564" s="2" t="inlineStr">
        <is>
          <t>Sea</t>
        </is>
      </c>
      <c r="M564" s="2" t="inlineStr">
        <is>
          <t>No Delay</t>
        </is>
      </c>
      <c r="N564" s="4">
        <f>IF(I564&lt;=H564,1,0)</f>
        <v/>
      </c>
      <c r="O564" s="4">
        <f>IF(J564&lt;=G564,1,0)</f>
        <v/>
      </c>
      <c r="P564" s="4">
        <f>MAX(0,I564-H564)</f>
        <v/>
      </c>
      <c r="Q564" s="4">
        <f>MAX(0,J564-G564)</f>
        <v/>
      </c>
      <c r="R564" s="4">
        <f>IF(AND(N564=1,O564=1),"On Track",IF(O564=0,"Customer Delivery Late","Ship Late"))</f>
        <v/>
      </c>
    </row>
    <row r="565">
      <c r="A565" s="2" t="inlineStr">
        <is>
          <t>ORD-00564</t>
        </is>
      </c>
      <c r="B565" s="2" t="inlineStr">
        <is>
          <t>Customer 15</t>
        </is>
      </c>
      <c r="C565" s="2" t="inlineStr">
        <is>
          <t>Power Supply</t>
        </is>
      </c>
      <c r="D565" s="2" t="inlineStr">
        <is>
          <t>Plant B</t>
        </is>
      </c>
      <c r="E565" s="2" t="inlineStr">
        <is>
          <t>North</t>
        </is>
      </c>
      <c r="F565" s="12" t="n">
        <v>46122</v>
      </c>
      <c r="G565" s="12" t="n">
        <v>46134</v>
      </c>
      <c r="H565" s="12" t="n">
        <v>46130</v>
      </c>
      <c r="I565" s="12" t="n">
        <v>46128</v>
      </c>
      <c r="J565" s="12" t="n">
        <v>46132</v>
      </c>
      <c r="K565" s="2" t="n">
        <v>1014</v>
      </c>
      <c r="L565" s="2" t="inlineStr">
        <is>
          <t>Sea</t>
        </is>
      </c>
      <c r="M565" s="2" t="inlineStr">
        <is>
          <t>No Delay</t>
        </is>
      </c>
      <c r="N565" s="4">
        <f>IF(I565&lt;=H565,1,0)</f>
        <v/>
      </c>
      <c r="O565" s="4">
        <f>IF(J565&lt;=G565,1,0)</f>
        <v/>
      </c>
      <c r="P565" s="4">
        <f>MAX(0,I565-H565)</f>
        <v/>
      </c>
      <c r="Q565" s="4">
        <f>MAX(0,J565-G565)</f>
        <v/>
      </c>
      <c r="R565" s="4">
        <f>IF(AND(N565=1,O565=1),"On Track",IF(O565=0,"Customer Delivery Late","Ship Late"))</f>
        <v/>
      </c>
    </row>
    <row r="566">
      <c r="A566" s="2" t="inlineStr">
        <is>
          <t>ORD-00565</t>
        </is>
      </c>
      <c r="B566" s="2" t="inlineStr">
        <is>
          <t>Customer 30</t>
        </is>
      </c>
      <c r="C566" s="2" t="inlineStr">
        <is>
          <t>Relay</t>
        </is>
      </c>
      <c r="D566" s="2" t="inlineStr">
        <is>
          <t>Plant B</t>
        </is>
      </c>
      <c r="E566" s="2" t="inlineStr">
        <is>
          <t>Export</t>
        </is>
      </c>
      <c r="F566" s="12" t="n">
        <v>46118</v>
      </c>
      <c r="G566" s="12" t="n">
        <v>46126</v>
      </c>
      <c r="H566" s="12" t="n">
        <v>46123</v>
      </c>
      <c r="I566" s="12" t="n">
        <v>46122</v>
      </c>
      <c r="J566" s="12" t="n">
        <v>46125</v>
      </c>
      <c r="K566" s="2" t="n">
        <v>1475</v>
      </c>
      <c r="L566" s="2" t="inlineStr">
        <is>
          <t>Air</t>
        </is>
      </c>
      <c r="M566" s="2" t="inlineStr">
        <is>
          <t>No Delay</t>
        </is>
      </c>
      <c r="N566" s="4">
        <f>IF(I566&lt;=H566,1,0)</f>
        <v/>
      </c>
      <c r="O566" s="4">
        <f>IF(J566&lt;=G566,1,0)</f>
        <v/>
      </c>
      <c r="P566" s="4">
        <f>MAX(0,I566-H566)</f>
        <v/>
      </c>
      <c r="Q566" s="4">
        <f>MAX(0,J566-G566)</f>
        <v/>
      </c>
      <c r="R566" s="4">
        <f>IF(AND(N566=1,O566=1),"On Track",IF(O566=0,"Customer Delivery Late","Ship Late"))</f>
        <v/>
      </c>
    </row>
    <row r="567">
      <c r="A567" s="2" t="inlineStr">
        <is>
          <t>ORD-00566</t>
        </is>
      </c>
      <c r="B567" s="2" t="inlineStr">
        <is>
          <t>Customer 13</t>
        </is>
      </c>
      <c r="C567" s="2" t="inlineStr">
        <is>
          <t>Sensor</t>
        </is>
      </c>
      <c r="D567" s="2" t="inlineStr">
        <is>
          <t>Plant C</t>
        </is>
      </c>
      <c r="E567" s="2" t="inlineStr">
        <is>
          <t>South</t>
        </is>
      </c>
      <c r="F567" s="12" t="n">
        <v>46101</v>
      </c>
      <c r="G567" s="12" t="n">
        <v>46106</v>
      </c>
      <c r="H567" s="12" t="n">
        <v>46101</v>
      </c>
      <c r="I567" s="12" t="n">
        <v>46101</v>
      </c>
      <c r="J567" s="12" t="n">
        <v>46106</v>
      </c>
      <c r="K567" s="2" t="n">
        <v>1413</v>
      </c>
      <c r="L567" s="2" t="inlineStr">
        <is>
          <t>Road</t>
        </is>
      </c>
      <c r="M567" s="2" t="inlineStr">
        <is>
          <t>No Delay</t>
        </is>
      </c>
      <c r="N567" s="4">
        <f>IF(I567&lt;=H567,1,0)</f>
        <v/>
      </c>
      <c r="O567" s="4">
        <f>IF(J567&lt;=G567,1,0)</f>
        <v/>
      </c>
      <c r="P567" s="4">
        <f>MAX(0,I567-H567)</f>
        <v/>
      </c>
      <c r="Q567" s="4">
        <f>MAX(0,J567-G567)</f>
        <v/>
      </c>
      <c r="R567" s="4">
        <f>IF(AND(N567=1,O567=1),"On Track",IF(O567=0,"Customer Delivery Late","Ship Late"))</f>
        <v/>
      </c>
    </row>
    <row r="568">
      <c r="A568" s="2" t="inlineStr">
        <is>
          <t>ORD-00567</t>
        </is>
      </c>
      <c r="B568" s="2" t="inlineStr">
        <is>
          <t>Customer 27</t>
        </is>
      </c>
      <c r="C568" s="2" t="inlineStr">
        <is>
          <t>PLC</t>
        </is>
      </c>
      <c r="D568" s="2" t="inlineStr">
        <is>
          <t>Plant B</t>
        </is>
      </c>
      <c r="E568" s="2" t="inlineStr">
        <is>
          <t>Central</t>
        </is>
      </c>
      <c r="F568" s="12" t="n">
        <v>46159</v>
      </c>
      <c r="G568" s="12" t="n">
        <v>46171</v>
      </c>
      <c r="H568" s="12" t="n">
        <v>46167</v>
      </c>
      <c r="I568" s="12" t="n">
        <v>46166</v>
      </c>
      <c r="J568" s="12" t="n">
        <v>46170</v>
      </c>
      <c r="K568" s="2" t="n">
        <v>338</v>
      </c>
      <c r="L568" s="2" t="inlineStr">
        <is>
          <t>Air</t>
        </is>
      </c>
      <c r="M568" s="2" t="inlineStr">
        <is>
          <t>No Delay</t>
        </is>
      </c>
      <c r="N568" s="4">
        <f>IF(I568&lt;=H568,1,0)</f>
        <v/>
      </c>
      <c r="O568" s="4">
        <f>IF(J568&lt;=G568,1,0)</f>
        <v/>
      </c>
      <c r="P568" s="4">
        <f>MAX(0,I568-H568)</f>
        <v/>
      </c>
      <c r="Q568" s="4">
        <f>MAX(0,J568-G568)</f>
        <v/>
      </c>
      <c r="R568" s="4">
        <f>IF(AND(N568=1,O568=1),"On Track",IF(O568=0,"Customer Delivery Late","Ship Late"))</f>
        <v/>
      </c>
    </row>
    <row r="569">
      <c r="A569" s="2" t="inlineStr">
        <is>
          <t>ORD-00568</t>
        </is>
      </c>
      <c r="B569" s="2" t="inlineStr">
        <is>
          <t>Customer 14</t>
        </is>
      </c>
      <c r="C569" s="2" t="inlineStr">
        <is>
          <t>Drive</t>
        </is>
      </c>
      <c r="D569" s="2" t="inlineStr">
        <is>
          <t>Plant C</t>
        </is>
      </c>
      <c r="E569" s="2" t="inlineStr">
        <is>
          <t>Export</t>
        </is>
      </c>
      <c r="F569" s="12" t="n">
        <v>46184</v>
      </c>
      <c r="G569" s="12" t="n">
        <v>46199</v>
      </c>
      <c r="H569" s="12" t="n">
        <v>46195</v>
      </c>
      <c r="I569" s="12" t="n">
        <v>46194</v>
      </c>
      <c r="J569" s="12" t="n">
        <v>46198</v>
      </c>
      <c r="K569" s="2" t="n">
        <v>215</v>
      </c>
      <c r="L569" s="2" t="inlineStr">
        <is>
          <t>Road</t>
        </is>
      </c>
      <c r="M569" s="2" t="inlineStr">
        <is>
          <t>No Delay</t>
        </is>
      </c>
      <c r="N569" s="4">
        <f>IF(I569&lt;=H569,1,0)</f>
        <v/>
      </c>
      <c r="O569" s="4">
        <f>IF(J569&lt;=G569,1,0)</f>
        <v/>
      </c>
      <c r="P569" s="4">
        <f>MAX(0,I569-H569)</f>
        <v/>
      </c>
      <c r="Q569" s="4">
        <f>MAX(0,J569-G569)</f>
        <v/>
      </c>
      <c r="R569" s="4">
        <f>IF(AND(N569=1,O569=1),"On Track",IF(O569=0,"Customer Delivery Late","Ship Late"))</f>
        <v/>
      </c>
    </row>
    <row r="570">
      <c r="A570" s="2" t="inlineStr">
        <is>
          <t>ORD-00569</t>
        </is>
      </c>
      <c r="B570" s="2" t="inlineStr">
        <is>
          <t>Customer 25</t>
        </is>
      </c>
      <c r="C570" s="2" t="inlineStr">
        <is>
          <t>Breaker</t>
        </is>
      </c>
      <c r="D570" s="2" t="inlineStr">
        <is>
          <t>Plant C</t>
        </is>
      </c>
      <c r="E570" s="2" t="inlineStr">
        <is>
          <t>Central</t>
        </is>
      </c>
      <c r="F570" s="12" t="n">
        <v>46201</v>
      </c>
      <c r="G570" s="12" t="n">
        <v>46214</v>
      </c>
      <c r="H570" s="12" t="n">
        <v>46209</v>
      </c>
      <c r="I570" s="12" t="n">
        <v>46208</v>
      </c>
      <c r="J570" s="12" t="n">
        <v>46213</v>
      </c>
      <c r="K570" s="2" t="n">
        <v>1300</v>
      </c>
      <c r="L570" s="2" t="inlineStr">
        <is>
          <t>Air</t>
        </is>
      </c>
      <c r="M570" s="2" t="inlineStr">
        <is>
          <t>No Delay</t>
        </is>
      </c>
      <c r="N570" s="4">
        <f>IF(I570&lt;=H570,1,0)</f>
        <v/>
      </c>
      <c r="O570" s="4">
        <f>IF(J570&lt;=G570,1,0)</f>
        <v/>
      </c>
      <c r="P570" s="4">
        <f>MAX(0,I570-H570)</f>
        <v/>
      </c>
      <c r="Q570" s="4">
        <f>MAX(0,J570-G570)</f>
        <v/>
      </c>
      <c r="R570" s="4">
        <f>IF(AND(N570=1,O570=1),"On Track",IF(O570=0,"Customer Delivery Late","Ship Late"))</f>
        <v/>
      </c>
    </row>
    <row r="571">
      <c r="A571" s="2" t="inlineStr">
        <is>
          <t>ORD-00570</t>
        </is>
      </c>
      <c r="B571" s="2" t="inlineStr">
        <is>
          <t>Customer 04</t>
        </is>
      </c>
      <c r="C571" s="2" t="inlineStr">
        <is>
          <t>Relay</t>
        </is>
      </c>
      <c r="D571" s="2" t="inlineStr">
        <is>
          <t>Plant A</t>
        </is>
      </c>
      <c r="E571" s="2" t="inlineStr">
        <is>
          <t>Central</t>
        </is>
      </c>
      <c r="F571" s="12" t="n">
        <v>46187</v>
      </c>
      <c r="G571" s="12" t="n">
        <v>46196</v>
      </c>
      <c r="H571" s="12" t="n">
        <v>46195</v>
      </c>
      <c r="I571" s="12" t="n">
        <v>46195</v>
      </c>
      <c r="J571" s="12" t="n">
        <v>46196</v>
      </c>
      <c r="K571" s="2" t="n">
        <v>1226</v>
      </c>
      <c r="L571" s="2" t="inlineStr">
        <is>
          <t>Sea</t>
        </is>
      </c>
      <c r="M571" s="2" t="inlineStr">
        <is>
          <t>No Delay</t>
        </is>
      </c>
      <c r="N571" s="4">
        <f>IF(I571&lt;=H571,1,0)</f>
        <v/>
      </c>
      <c r="O571" s="4">
        <f>IF(J571&lt;=G571,1,0)</f>
        <v/>
      </c>
      <c r="P571" s="4">
        <f>MAX(0,I571-H571)</f>
        <v/>
      </c>
      <c r="Q571" s="4">
        <f>MAX(0,J571-G571)</f>
        <v/>
      </c>
      <c r="R571" s="4">
        <f>IF(AND(N571=1,O571=1),"On Track",IF(O571=0,"Customer Delivery Late","Ship Late"))</f>
        <v/>
      </c>
    </row>
    <row r="572">
      <c r="A572" s="2" t="inlineStr">
        <is>
          <t>ORD-00571</t>
        </is>
      </c>
      <c r="B572" s="2" t="inlineStr">
        <is>
          <t>Customer 19</t>
        </is>
      </c>
      <c r="C572" s="2" t="inlineStr">
        <is>
          <t>Drive</t>
        </is>
      </c>
      <c r="D572" s="2" t="inlineStr">
        <is>
          <t>Plant B</t>
        </is>
      </c>
      <c r="E572" s="2" t="inlineStr">
        <is>
          <t>Central</t>
        </is>
      </c>
      <c r="F572" s="12" t="n">
        <v>46128</v>
      </c>
      <c r="G572" s="12" t="n">
        <v>46143</v>
      </c>
      <c r="H572" s="12" t="n">
        <v>46139</v>
      </c>
      <c r="I572" s="12" t="n">
        <v>46139</v>
      </c>
      <c r="J572" s="12" t="n">
        <v>46143</v>
      </c>
      <c r="K572" s="2" t="n">
        <v>182</v>
      </c>
      <c r="L572" s="2" t="inlineStr">
        <is>
          <t>Air</t>
        </is>
      </c>
      <c r="M572" s="2" t="inlineStr">
        <is>
          <t>No Delay</t>
        </is>
      </c>
      <c r="N572" s="4">
        <f>IF(I572&lt;=H572,1,0)</f>
        <v/>
      </c>
      <c r="O572" s="4">
        <f>IF(J572&lt;=G572,1,0)</f>
        <v/>
      </c>
      <c r="P572" s="4">
        <f>MAX(0,I572-H572)</f>
        <v/>
      </c>
      <c r="Q572" s="4">
        <f>MAX(0,J572-G572)</f>
        <v/>
      </c>
      <c r="R572" s="4">
        <f>IF(AND(N572=1,O572=1),"On Track",IF(O572=0,"Customer Delivery Late","Ship Late"))</f>
        <v/>
      </c>
    </row>
    <row r="573">
      <c r="A573" s="2" t="inlineStr">
        <is>
          <t>ORD-00572</t>
        </is>
      </c>
      <c r="B573" s="2" t="inlineStr">
        <is>
          <t>Customer 30</t>
        </is>
      </c>
      <c r="C573" s="2" t="inlineStr">
        <is>
          <t>PLC</t>
        </is>
      </c>
      <c r="D573" s="2" t="inlineStr">
        <is>
          <t>Plant A</t>
        </is>
      </c>
      <c r="E573" s="2" t="inlineStr">
        <is>
          <t>Export</t>
        </is>
      </c>
      <c r="F573" s="12" t="n">
        <v>46117</v>
      </c>
      <c r="G573" s="12" t="n">
        <v>46127</v>
      </c>
      <c r="H573" s="12" t="n">
        <v>46123</v>
      </c>
      <c r="I573" s="12" t="n">
        <v>46123</v>
      </c>
      <c r="J573" s="12" t="n">
        <v>46126</v>
      </c>
      <c r="K573" s="2" t="n">
        <v>416</v>
      </c>
      <c r="L573" s="2" t="inlineStr">
        <is>
          <t>Air</t>
        </is>
      </c>
      <c r="M573" s="2" t="inlineStr">
        <is>
          <t>No Delay</t>
        </is>
      </c>
      <c r="N573" s="4">
        <f>IF(I573&lt;=H573,1,0)</f>
        <v/>
      </c>
      <c r="O573" s="4">
        <f>IF(J573&lt;=G573,1,0)</f>
        <v/>
      </c>
      <c r="P573" s="4">
        <f>MAX(0,I573-H573)</f>
        <v/>
      </c>
      <c r="Q573" s="4">
        <f>MAX(0,J573-G573)</f>
        <v/>
      </c>
      <c r="R573" s="4">
        <f>IF(AND(N573=1,O573=1),"On Track",IF(O573=0,"Customer Delivery Late","Ship Late"))</f>
        <v/>
      </c>
    </row>
    <row r="574">
      <c r="A574" s="2" t="inlineStr">
        <is>
          <t>ORD-00573</t>
        </is>
      </c>
      <c r="B574" s="2" t="inlineStr">
        <is>
          <t>Customer 12</t>
        </is>
      </c>
      <c r="C574" s="2" t="inlineStr">
        <is>
          <t>Relay</t>
        </is>
      </c>
      <c r="D574" s="2" t="inlineStr">
        <is>
          <t>Plant C</t>
        </is>
      </c>
      <c r="E574" s="2" t="inlineStr">
        <is>
          <t>North</t>
        </is>
      </c>
      <c r="F574" s="12" t="n">
        <v>46202</v>
      </c>
      <c r="G574" s="12" t="n">
        <v>46212</v>
      </c>
      <c r="H574" s="12" t="n">
        <v>46211</v>
      </c>
      <c r="I574" s="12" t="n">
        <v>46210</v>
      </c>
      <c r="J574" s="12" t="n">
        <v>46211</v>
      </c>
      <c r="K574" s="2" t="n">
        <v>38</v>
      </c>
      <c r="L574" s="2" t="inlineStr">
        <is>
          <t>Sea</t>
        </is>
      </c>
      <c r="M574" s="2" t="inlineStr">
        <is>
          <t>No Delay</t>
        </is>
      </c>
      <c r="N574" s="4">
        <f>IF(I574&lt;=H574,1,0)</f>
        <v/>
      </c>
      <c r="O574" s="4">
        <f>IF(J574&lt;=G574,1,0)</f>
        <v/>
      </c>
      <c r="P574" s="4">
        <f>MAX(0,I574-H574)</f>
        <v/>
      </c>
      <c r="Q574" s="4">
        <f>MAX(0,J574-G574)</f>
        <v/>
      </c>
      <c r="R574" s="4">
        <f>IF(AND(N574=1,O574=1),"On Track",IF(O574=0,"Customer Delivery Late","Ship Late"))</f>
        <v/>
      </c>
    </row>
    <row r="575">
      <c r="A575" s="2" t="inlineStr">
        <is>
          <t>ORD-00574</t>
        </is>
      </c>
      <c r="B575" s="2" t="inlineStr">
        <is>
          <t>Customer 07</t>
        </is>
      </c>
      <c r="C575" s="2" t="inlineStr">
        <is>
          <t>Sensor</t>
        </is>
      </c>
      <c r="D575" s="2" t="inlineStr">
        <is>
          <t>Plant B</t>
        </is>
      </c>
      <c r="E575" s="2" t="inlineStr">
        <is>
          <t>Export</t>
        </is>
      </c>
      <c r="F575" s="12" t="n">
        <v>46157</v>
      </c>
      <c r="G575" s="12" t="n">
        <v>46175</v>
      </c>
      <c r="H575" s="12" t="n">
        <v>46171</v>
      </c>
      <c r="I575" s="12" t="n">
        <v>46170</v>
      </c>
      <c r="J575" s="12" t="n">
        <v>46174</v>
      </c>
      <c r="K575" s="2" t="n">
        <v>792</v>
      </c>
      <c r="L575" s="2" t="inlineStr">
        <is>
          <t>Road</t>
        </is>
      </c>
      <c r="M575" s="2" t="inlineStr">
        <is>
          <t>No Delay</t>
        </is>
      </c>
      <c r="N575" s="4">
        <f>IF(I575&lt;=H575,1,0)</f>
        <v/>
      </c>
      <c r="O575" s="4">
        <f>IF(J575&lt;=G575,1,0)</f>
        <v/>
      </c>
      <c r="P575" s="4">
        <f>MAX(0,I575-H575)</f>
        <v/>
      </c>
      <c r="Q575" s="4">
        <f>MAX(0,J575-G575)</f>
        <v/>
      </c>
      <c r="R575" s="4">
        <f>IF(AND(N575=1,O575=1),"On Track",IF(O575=0,"Customer Delivery Late","Ship Late"))</f>
        <v/>
      </c>
    </row>
    <row r="576">
      <c r="A576" s="2" t="inlineStr">
        <is>
          <t>ORD-00575</t>
        </is>
      </c>
      <c r="B576" s="2" t="inlineStr">
        <is>
          <t>Customer 26</t>
        </is>
      </c>
      <c r="C576" s="2" t="inlineStr">
        <is>
          <t>Relay</t>
        </is>
      </c>
      <c r="D576" s="2" t="inlineStr">
        <is>
          <t>Plant A</t>
        </is>
      </c>
      <c r="E576" s="2" t="inlineStr">
        <is>
          <t>South</t>
        </is>
      </c>
      <c r="F576" s="12" t="n">
        <v>46133</v>
      </c>
      <c r="G576" s="12" t="n">
        <v>46144</v>
      </c>
      <c r="H576" s="12" t="n">
        <v>46139</v>
      </c>
      <c r="I576" s="12" t="n">
        <v>46138</v>
      </c>
      <c r="J576" s="12" t="n">
        <v>46143</v>
      </c>
      <c r="K576" s="2" t="n">
        <v>546</v>
      </c>
      <c r="L576" s="2" t="inlineStr">
        <is>
          <t>Road</t>
        </is>
      </c>
      <c r="M576" s="2" t="inlineStr">
        <is>
          <t>No Delay</t>
        </is>
      </c>
      <c r="N576" s="4">
        <f>IF(I576&lt;=H576,1,0)</f>
        <v/>
      </c>
      <c r="O576" s="4">
        <f>IF(J576&lt;=G576,1,0)</f>
        <v/>
      </c>
      <c r="P576" s="4">
        <f>MAX(0,I576-H576)</f>
        <v/>
      </c>
      <c r="Q576" s="4">
        <f>MAX(0,J576-G576)</f>
        <v/>
      </c>
      <c r="R576" s="4">
        <f>IF(AND(N576=1,O576=1),"On Track",IF(O576=0,"Customer Delivery Late","Ship Late"))</f>
        <v/>
      </c>
    </row>
    <row r="577">
      <c r="A577" s="2" t="inlineStr">
        <is>
          <t>ORD-00576</t>
        </is>
      </c>
      <c r="B577" s="2" t="inlineStr">
        <is>
          <t>Customer 23</t>
        </is>
      </c>
      <c r="C577" s="2" t="inlineStr">
        <is>
          <t>Power Supply</t>
        </is>
      </c>
      <c r="D577" s="2" t="inlineStr">
        <is>
          <t>Plant C</t>
        </is>
      </c>
      <c r="E577" s="2" t="inlineStr">
        <is>
          <t>Central</t>
        </is>
      </c>
      <c r="F577" s="12" t="n">
        <v>46181</v>
      </c>
      <c r="G577" s="12" t="n">
        <v>46200</v>
      </c>
      <c r="H577" s="12" t="n">
        <v>46198</v>
      </c>
      <c r="I577" s="12" t="n">
        <v>46198</v>
      </c>
      <c r="J577" s="12" t="n">
        <v>46202</v>
      </c>
      <c r="K577" s="2" t="n">
        <v>1470</v>
      </c>
      <c r="L577" s="2" t="inlineStr">
        <is>
          <t>Air</t>
        </is>
      </c>
      <c r="M577" s="2" t="inlineStr">
        <is>
          <t>Carrier Delay</t>
        </is>
      </c>
      <c r="N577" s="4">
        <f>IF(I577&lt;=H577,1,0)</f>
        <v/>
      </c>
      <c r="O577" s="4">
        <f>IF(J577&lt;=G577,1,0)</f>
        <v/>
      </c>
      <c r="P577" s="4">
        <f>MAX(0,I577-H577)</f>
        <v/>
      </c>
      <c r="Q577" s="4">
        <f>MAX(0,J577-G577)</f>
        <v/>
      </c>
      <c r="R577" s="4">
        <f>IF(AND(N577=1,O577=1),"On Track",IF(O577=0,"Customer Delivery Late","Ship Late"))</f>
        <v/>
      </c>
    </row>
    <row r="578">
      <c r="A578" s="2" t="inlineStr">
        <is>
          <t>ORD-00577</t>
        </is>
      </c>
      <c r="B578" s="2" t="inlineStr">
        <is>
          <t>Customer 08</t>
        </is>
      </c>
      <c r="C578" s="2" t="inlineStr">
        <is>
          <t>Switchgear</t>
        </is>
      </c>
      <c r="D578" s="2" t="inlineStr">
        <is>
          <t>Plant B</t>
        </is>
      </c>
      <c r="E578" s="2" t="inlineStr">
        <is>
          <t>North</t>
        </is>
      </c>
      <c r="F578" s="12" t="n">
        <v>46131</v>
      </c>
      <c r="G578" s="12" t="n">
        <v>46155</v>
      </c>
      <c r="H578" s="12" t="n">
        <v>46152</v>
      </c>
      <c r="I578" s="12" t="n">
        <v>46152</v>
      </c>
      <c r="J578" s="12" t="n">
        <v>46154</v>
      </c>
      <c r="K578" s="2" t="n">
        <v>20</v>
      </c>
      <c r="L578" s="2" t="inlineStr">
        <is>
          <t>Air</t>
        </is>
      </c>
      <c r="M578" s="2" t="inlineStr">
        <is>
          <t>No Delay</t>
        </is>
      </c>
      <c r="N578" s="4">
        <f>IF(I578&lt;=H578,1,0)</f>
        <v/>
      </c>
      <c r="O578" s="4">
        <f>IF(J578&lt;=G578,1,0)</f>
        <v/>
      </c>
      <c r="P578" s="4">
        <f>MAX(0,I578-H578)</f>
        <v/>
      </c>
      <c r="Q578" s="4">
        <f>MAX(0,J578-G578)</f>
        <v/>
      </c>
      <c r="R578" s="4">
        <f>IF(AND(N578=1,O578=1),"On Track",IF(O578=0,"Customer Delivery Late","Ship Late"))</f>
        <v/>
      </c>
    </row>
    <row r="579">
      <c r="A579" s="2" t="inlineStr">
        <is>
          <t>ORD-00578</t>
        </is>
      </c>
      <c r="B579" s="2" t="inlineStr">
        <is>
          <t>Customer 18</t>
        </is>
      </c>
      <c r="C579" s="2" t="inlineStr">
        <is>
          <t>Breaker</t>
        </is>
      </c>
      <c r="D579" s="2" t="inlineStr">
        <is>
          <t>Plant C</t>
        </is>
      </c>
      <c r="E579" s="2" t="inlineStr">
        <is>
          <t>Central</t>
        </is>
      </c>
      <c r="F579" s="12" t="n">
        <v>46152</v>
      </c>
      <c r="G579" s="12" t="n">
        <v>46176</v>
      </c>
      <c r="H579" s="12" t="n">
        <v>46172</v>
      </c>
      <c r="I579" s="12" t="n">
        <v>46171</v>
      </c>
      <c r="J579" s="12" t="n">
        <v>46175</v>
      </c>
      <c r="K579" s="2" t="n">
        <v>543</v>
      </c>
      <c r="L579" s="2" t="inlineStr">
        <is>
          <t>Road</t>
        </is>
      </c>
      <c r="M579" s="2" t="inlineStr">
        <is>
          <t>No Delay</t>
        </is>
      </c>
      <c r="N579" s="4">
        <f>IF(I579&lt;=H579,1,0)</f>
        <v/>
      </c>
      <c r="O579" s="4">
        <f>IF(J579&lt;=G579,1,0)</f>
        <v/>
      </c>
      <c r="P579" s="4">
        <f>MAX(0,I579-H579)</f>
        <v/>
      </c>
      <c r="Q579" s="4">
        <f>MAX(0,J579-G579)</f>
        <v/>
      </c>
      <c r="R579" s="4">
        <f>IF(AND(N579=1,O579=1),"On Track",IF(O579=0,"Customer Delivery Late","Ship Late"))</f>
        <v/>
      </c>
    </row>
    <row r="580">
      <c r="A580" s="2" t="inlineStr">
        <is>
          <t>ORD-00579</t>
        </is>
      </c>
      <c r="B580" s="2" t="inlineStr">
        <is>
          <t>Customer 14</t>
        </is>
      </c>
      <c r="C580" s="2" t="inlineStr">
        <is>
          <t>Relay</t>
        </is>
      </c>
      <c r="D580" s="2" t="inlineStr">
        <is>
          <t>Plant B</t>
        </is>
      </c>
      <c r="E580" s="2" t="inlineStr">
        <is>
          <t>North</t>
        </is>
      </c>
      <c r="F580" s="12" t="n">
        <v>46151</v>
      </c>
      <c r="G580" s="12" t="n">
        <v>46171</v>
      </c>
      <c r="H580" s="12" t="n">
        <v>46168</v>
      </c>
      <c r="I580" s="12" t="n">
        <v>46166</v>
      </c>
      <c r="J580" s="12" t="n">
        <v>46169</v>
      </c>
      <c r="K580" s="2" t="n">
        <v>651</v>
      </c>
      <c r="L580" s="2" t="inlineStr">
        <is>
          <t>Road</t>
        </is>
      </c>
      <c r="M580" s="2" t="inlineStr">
        <is>
          <t>No Delay</t>
        </is>
      </c>
      <c r="N580" s="4">
        <f>IF(I580&lt;=H580,1,0)</f>
        <v/>
      </c>
      <c r="O580" s="4">
        <f>IF(J580&lt;=G580,1,0)</f>
        <v/>
      </c>
      <c r="P580" s="4">
        <f>MAX(0,I580-H580)</f>
        <v/>
      </c>
      <c r="Q580" s="4">
        <f>MAX(0,J580-G580)</f>
        <v/>
      </c>
      <c r="R580" s="4">
        <f>IF(AND(N580=1,O580=1),"On Track",IF(O580=0,"Customer Delivery Late","Ship Late"))</f>
        <v/>
      </c>
    </row>
    <row r="581">
      <c r="A581" s="2" t="inlineStr">
        <is>
          <t>ORD-00580</t>
        </is>
      </c>
      <c r="B581" s="2" t="inlineStr">
        <is>
          <t>Customer 25</t>
        </is>
      </c>
      <c r="C581" s="2" t="inlineStr">
        <is>
          <t>Sensor</t>
        </is>
      </c>
      <c r="D581" s="2" t="inlineStr">
        <is>
          <t>Plant C</t>
        </is>
      </c>
      <c r="E581" s="2" t="inlineStr">
        <is>
          <t>South</t>
        </is>
      </c>
      <c r="F581" s="12" t="n">
        <v>46055</v>
      </c>
      <c r="G581" s="12" t="n">
        <v>46075</v>
      </c>
      <c r="H581" s="12" t="n">
        <v>46072</v>
      </c>
      <c r="I581" s="12" t="n">
        <v>46071</v>
      </c>
      <c r="J581" s="12" t="n">
        <v>46074</v>
      </c>
      <c r="K581" s="2" t="n">
        <v>902</v>
      </c>
      <c r="L581" s="2" t="inlineStr">
        <is>
          <t>Road</t>
        </is>
      </c>
      <c r="M581" s="2" t="inlineStr">
        <is>
          <t>No Delay</t>
        </is>
      </c>
      <c r="N581" s="4">
        <f>IF(I581&lt;=H581,1,0)</f>
        <v/>
      </c>
      <c r="O581" s="4">
        <f>IF(J581&lt;=G581,1,0)</f>
        <v/>
      </c>
      <c r="P581" s="4">
        <f>MAX(0,I581-H581)</f>
        <v/>
      </c>
      <c r="Q581" s="4">
        <f>MAX(0,J581-G581)</f>
        <v/>
      </c>
      <c r="R581" s="4">
        <f>IF(AND(N581=1,O581=1),"On Track",IF(O581=0,"Customer Delivery Late","Ship Late"))</f>
        <v/>
      </c>
    </row>
    <row r="582">
      <c r="A582" s="2" t="inlineStr">
        <is>
          <t>ORD-00581</t>
        </is>
      </c>
      <c r="B582" s="2" t="inlineStr">
        <is>
          <t>Customer 02</t>
        </is>
      </c>
      <c r="C582" s="2" t="inlineStr">
        <is>
          <t>PLC</t>
        </is>
      </c>
      <c r="D582" s="2" t="inlineStr">
        <is>
          <t>Plant A</t>
        </is>
      </c>
      <c r="E582" s="2" t="inlineStr">
        <is>
          <t>North</t>
        </is>
      </c>
      <c r="F582" s="12" t="n">
        <v>46103</v>
      </c>
      <c r="G582" s="12" t="n">
        <v>46123</v>
      </c>
      <c r="H582" s="12" t="n">
        <v>46121</v>
      </c>
      <c r="I582" s="12" t="n">
        <v>46121</v>
      </c>
      <c r="J582" s="12" t="n">
        <v>46122</v>
      </c>
      <c r="K582" s="2" t="n">
        <v>973</v>
      </c>
      <c r="L582" s="2" t="inlineStr">
        <is>
          <t>Air</t>
        </is>
      </c>
      <c r="M582" s="2" t="inlineStr">
        <is>
          <t>No Delay</t>
        </is>
      </c>
      <c r="N582" s="4">
        <f>IF(I582&lt;=H582,1,0)</f>
        <v/>
      </c>
      <c r="O582" s="4">
        <f>IF(J582&lt;=G582,1,0)</f>
        <v/>
      </c>
      <c r="P582" s="4">
        <f>MAX(0,I582-H582)</f>
        <v/>
      </c>
      <c r="Q582" s="4">
        <f>MAX(0,J582-G582)</f>
        <v/>
      </c>
      <c r="R582" s="4">
        <f>IF(AND(N582=1,O582=1),"On Track",IF(O582=0,"Customer Delivery Late","Ship Late"))</f>
        <v/>
      </c>
    </row>
    <row r="583">
      <c r="A583" s="2" t="inlineStr">
        <is>
          <t>ORD-00582</t>
        </is>
      </c>
      <c r="B583" s="2" t="inlineStr">
        <is>
          <t>Customer 23</t>
        </is>
      </c>
      <c r="C583" s="2" t="inlineStr">
        <is>
          <t>Switchgear</t>
        </is>
      </c>
      <c r="D583" s="2" t="inlineStr">
        <is>
          <t>Plant B</t>
        </is>
      </c>
      <c r="E583" s="2" t="inlineStr">
        <is>
          <t>Export</t>
        </is>
      </c>
      <c r="F583" s="12" t="n">
        <v>46064</v>
      </c>
      <c r="G583" s="12" t="n">
        <v>46083</v>
      </c>
      <c r="H583" s="12" t="n">
        <v>46079</v>
      </c>
      <c r="I583" s="12" t="n">
        <v>46078</v>
      </c>
      <c r="J583" s="12" t="n">
        <v>46082</v>
      </c>
      <c r="K583" s="2" t="n">
        <v>240</v>
      </c>
      <c r="L583" s="2" t="inlineStr">
        <is>
          <t>Sea</t>
        </is>
      </c>
      <c r="M583" s="2" t="inlineStr">
        <is>
          <t>No Delay</t>
        </is>
      </c>
      <c r="N583" s="4">
        <f>IF(I583&lt;=H583,1,0)</f>
        <v/>
      </c>
      <c r="O583" s="4">
        <f>IF(J583&lt;=G583,1,0)</f>
        <v/>
      </c>
      <c r="P583" s="4">
        <f>MAX(0,I583-H583)</f>
        <v/>
      </c>
      <c r="Q583" s="4">
        <f>MAX(0,J583-G583)</f>
        <v/>
      </c>
      <c r="R583" s="4">
        <f>IF(AND(N583=1,O583=1),"On Track",IF(O583=0,"Customer Delivery Late","Ship Late"))</f>
        <v/>
      </c>
    </row>
    <row r="584">
      <c r="A584" s="2" t="inlineStr">
        <is>
          <t>ORD-00583</t>
        </is>
      </c>
      <c r="B584" s="2" t="inlineStr">
        <is>
          <t>Customer 27</t>
        </is>
      </c>
      <c r="C584" s="2" t="inlineStr">
        <is>
          <t>Sensor</t>
        </is>
      </c>
      <c r="D584" s="2" t="inlineStr">
        <is>
          <t>Plant C</t>
        </is>
      </c>
      <c r="E584" s="2" t="inlineStr">
        <is>
          <t>Central</t>
        </is>
      </c>
      <c r="F584" s="12" t="n">
        <v>46060</v>
      </c>
      <c r="G584" s="12" t="n">
        <v>46068</v>
      </c>
      <c r="H584" s="12" t="n">
        <v>46065</v>
      </c>
      <c r="I584" s="12" t="n">
        <v>46064</v>
      </c>
      <c r="J584" s="12" t="n">
        <v>46067</v>
      </c>
      <c r="K584" s="2" t="n">
        <v>1205</v>
      </c>
      <c r="L584" s="2" t="inlineStr">
        <is>
          <t>Road</t>
        </is>
      </c>
      <c r="M584" s="2" t="inlineStr">
        <is>
          <t>No Delay</t>
        </is>
      </c>
      <c r="N584" s="4">
        <f>IF(I584&lt;=H584,1,0)</f>
        <v/>
      </c>
      <c r="O584" s="4">
        <f>IF(J584&lt;=G584,1,0)</f>
        <v/>
      </c>
      <c r="P584" s="4">
        <f>MAX(0,I584-H584)</f>
        <v/>
      </c>
      <c r="Q584" s="4">
        <f>MAX(0,J584-G584)</f>
        <v/>
      </c>
      <c r="R584" s="4">
        <f>IF(AND(N584=1,O584=1),"On Track",IF(O584=0,"Customer Delivery Late","Ship Late"))</f>
        <v/>
      </c>
    </row>
    <row r="585">
      <c r="A585" s="2" t="inlineStr">
        <is>
          <t>ORD-00584</t>
        </is>
      </c>
      <c r="B585" s="2" t="inlineStr">
        <is>
          <t>Customer 29</t>
        </is>
      </c>
      <c r="C585" s="2" t="inlineStr">
        <is>
          <t>Drive</t>
        </is>
      </c>
      <c r="D585" s="2" t="inlineStr">
        <is>
          <t>Plant A</t>
        </is>
      </c>
      <c r="E585" s="2" t="inlineStr">
        <is>
          <t>South</t>
        </is>
      </c>
      <c r="F585" s="12" t="n">
        <v>46157</v>
      </c>
      <c r="G585" s="12" t="n">
        <v>46180</v>
      </c>
      <c r="H585" s="12" t="n">
        <v>46178</v>
      </c>
      <c r="I585" s="12" t="n">
        <v>46176</v>
      </c>
      <c r="J585" s="12" t="n">
        <v>46178</v>
      </c>
      <c r="K585" s="2" t="n">
        <v>1405</v>
      </c>
      <c r="L585" s="2" t="inlineStr">
        <is>
          <t>Sea</t>
        </is>
      </c>
      <c r="M585" s="2" t="inlineStr">
        <is>
          <t>No Delay</t>
        </is>
      </c>
      <c r="N585" s="4">
        <f>IF(I585&lt;=H585,1,0)</f>
        <v/>
      </c>
      <c r="O585" s="4">
        <f>IF(J585&lt;=G585,1,0)</f>
        <v/>
      </c>
      <c r="P585" s="4">
        <f>MAX(0,I585-H585)</f>
        <v/>
      </c>
      <c r="Q585" s="4">
        <f>MAX(0,J585-G585)</f>
        <v/>
      </c>
      <c r="R585" s="4">
        <f>IF(AND(N585=1,O585=1),"On Track",IF(O585=0,"Customer Delivery Late","Ship Late"))</f>
        <v/>
      </c>
    </row>
    <row r="586">
      <c r="A586" s="2" t="inlineStr">
        <is>
          <t>ORD-00585</t>
        </is>
      </c>
      <c r="B586" s="2" t="inlineStr">
        <is>
          <t>Customer 15</t>
        </is>
      </c>
      <c r="C586" s="2" t="inlineStr">
        <is>
          <t>Switchgear</t>
        </is>
      </c>
      <c r="D586" s="2" t="inlineStr">
        <is>
          <t>Plant B</t>
        </is>
      </c>
      <c r="E586" s="2" t="inlineStr">
        <is>
          <t>South</t>
        </is>
      </c>
      <c r="F586" s="12" t="n">
        <v>46054</v>
      </c>
      <c r="G586" s="12" t="n">
        <v>46071</v>
      </c>
      <c r="H586" s="12" t="n">
        <v>46068</v>
      </c>
      <c r="I586" s="12" t="n">
        <v>46066</v>
      </c>
      <c r="J586" s="12" t="n">
        <v>46069</v>
      </c>
      <c r="K586" s="2" t="n">
        <v>1226</v>
      </c>
      <c r="L586" s="2" t="inlineStr">
        <is>
          <t>Sea</t>
        </is>
      </c>
      <c r="M586" s="2" t="inlineStr">
        <is>
          <t>No Delay</t>
        </is>
      </c>
      <c r="N586" s="4">
        <f>IF(I586&lt;=H586,1,0)</f>
        <v/>
      </c>
      <c r="O586" s="4">
        <f>IF(J586&lt;=G586,1,0)</f>
        <v/>
      </c>
      <c r="P586" s="4">
        <f>MAX(0,I586-H586)</f>
        <v/>
      </c>
      <c r="Q586" s="4">
        <f>MAX(0,J586-G586)</f>
        <v/>
      </c>
      <c r="R586" s="4">
        <f>IF(AND(N586=1,O586=1),"On Track",IF(O586=0,"Customer Delivery Late","Ship Late"))</f>
        <v/>
      </c>
    </row>
    <row r="587">
      <c r="A587" s="2" t="inlineStr">
        <is>
          <t>ORD-00586</t>
        </is>
      </c>
      <c r="B587" s="2" t="inlineStr">
        <is>
          <t>Customer 28</t>
        </is>
      </c>
      <c r="C587" s="2" t="inlineStr">
        <is>
          <t>Breaker</t>
        </is>
      </c>
      <c r="D587" s="2" t="inlineStr">
        <is>
          <t>Plant C</t>
        </is>
      </c>
      <c r="E587" s="2" t="inlineStr">
        <is>
          <t>South</t>
        </is>
      </c>
      <c r="F587" s="12" t="n">
        <v>46024</v>
      </c>
      <c r="G587" s="12" t="n">
        <v>46039</v>
      </c>
      <c r="H587" s="12" t="n">
        <v>46038</v>
      </c>
      <c r="I587" s="12" t="n">
        <v>46037</v>
      </c>
      <c r="J587" s="12" t="n">
        <v>46039</v>
      </c>
      <c r="K587" s="2" t="n">
        <v>671</v>
      </c>
      <c r="L587" s="2" t="inlineStr">
        <is>
          <t>Road</t>
        </is>
      </c>
      <c r="M587" s="2" t="inlineStr">
        <is>
          <t>No Delay</t>
        </is>
      </c>
      <c r="N587" s="4">
        <f>IF(I587&lt;=H587,1,0)</f>
        <v/>
      </c>
      <c r="O587" s="4">
        <f>IF(J587&lt;=G587,1,0)</f>
        <v/>
      </c>
      <c r="P587" s="4">
        <f>MAX(0,I587-H587)</f>
        <v/>
      </c>
      <c r="Q587" s="4">
        <f>MAX(0,J587-G587)</f>
        <v/>
      </c>
      <c r="R587" s="4">
        <f>IF(AND(N587=1,O587=1),"On Track",IF(O587=0,"Customer Delivery Late","Ship Late"))</f>
        <v/>
      </c>
    </row>
    <row r="588">
      <c r="A588" s="2" t="inlineStr">
        <is>
          <t>ORD-00587</t>
        </is>
      </c>
      <c r="B588" s="2" t="inlineStr">
        <is>
          <t>Customer 25</t>
        </is>
      </c>
      <c r="C588" s="2" t="inlineStr">
        <is>
          <t>Power Supply</t>
        </is>
      </c>
      <c r="D588" s="2" t="inlineStr">
        <is>
          <t>Plant A</t>
        </is>
      </c>
      <c r="E588" s="2" t="inlineStr">
        <is>
          <t>North</t>
        </is>
      </c>
      <c r="F588" s="12" t="n">
        <v>46041</v>
      </c>
      <c r="G588" s="12" t="n">
        <v>46063</v>
      </c>
      <c r="H588" s="12" t="n">
        <v>46058</v>
      </c>
      <c r="I588" s="12" t="n">
        <v>46057</v>
      </c>
      <c r="J588" s="12" t="n">
        <v>46062</v>
      </c>
      <c r="K588" s="2" t="n">
        <v>436</v>
      </c>
      <c r="L588" s="2" t="inlineStr">
        <is>
          <t>Road</t>
        </is>
      </c>
      <c r="M588" s="2" t="inlineStr">
        <is>
          <t>No Delay</t>
        </is>
      </c>
      <c r="N588" s="4">
        <f>IF(I588&lt;=H588,1,0)</f>
        <v/>
      </c>
      <c r="O588" s="4">
        <f>IF(J588&lt;=G588,1,0)</f>
        <v/>
      </c>
      <c r="P588" s="4">
        <f>MAX(0,I588-H588)</f>
        <v/>
      </c>
      <c r="Q588" s="4">
        <f>MAX(0,J588-G588)</f>
        <v/>
      </c>
      <c r="R588" s="4">
        <f>IF(AND(N588=1,O588=1),"On Track",IF(O588=0,"Customer Delivery Late","Ship Late"))</f>
        <v/>
      </c>
    </row>
    <row r="589">
      <c r="A589" s="2" t="inlineStr">
        <is>
          <t>ORD-00588</t>
        </is>
      </c>
      <c r="B589" s="2" t="inlineStr">
        <is>
          <t>Customer 26</t>
        </is>
      </c>
      <c r="C589" s="2" t="inlineStr">
        <is>
          <t>Power Supply</t>
        </is>
      </c>
      <c r="D589" s="2" t="inlineStr">
        <is>
          <t>Plant C</t>
        </is>
      </c>
      <c r="E589" s="2" t="inlineStr">
        <is>
          <t>South</t>
        </is>
      </c>
      <c r="F589" s="12" t="n">
        <v>46122</v>
      </c>
      <c r="G589" s="12" t="n">
        <v>46139</v>
      </c>
      <c r="H589" s="12" t="n">
        <v>46136</v>
      </c>
      <c r="I589" s="12" t="n">
        <v>46136</v>
      </c>
      <c r="J589" s="12" t="n">
        <v>46138</v>
      </c>
      <c r="K589" s="2" t="n">
        <v>1412</v>
      </c>
      <c r="L589" s="2" t="inlineStr">
        <is>
          <t>Sea</t>
        </is>
      </c>
      <c r="M589" s="2" t="inlineStr">
        <is>
          <t>No Delay</t>
        </is>
      </c>
      <c r="N589" s="4">
        <f>IF(I589&lt;=H589,1,0)</f>
        <v/>
      </c>
      <c r="O589" s="4">
        <f>IF(J589&lt;=G589,1,0)</f>
        <v/>
      </c>
      <c r="P589" s="4">
        <f>MAX(0,I589-H589)</f>
        <v/>
      </c>
      <c r="Q589" s="4">
        <f>MAX(0,J589-G589)</f>
        <v/>
      </c>
      <c r="R589" s="4">
        <f>IF(AND(N589=1,O589=1),"On Track",IF(O589=0,"Customer Delivery Late","Ship Late"))</f>
        <v/>
      </c>
    </row>
    <row r="590">
      <c r="A590" s="2" t="inlineStr">
        <is>
          <t>ORD-00589</t>
        </is>
      </c>
      <c r="B590" s="2" t="inlineStr">
        <is>
          <t>Customer 13</t>
        </is>
      </c>
      <c r="C590" s="2" t="inlineStr">
        <is>
          <t>Switchgear</t>
        </is>
      </c>
      <c r="D590" s="2" t="inlineStr">
        <is>
          <t>Plant B</t>
        </is>
      </c>
      <c r="E590" s="2" t="inlineStr">
        <is>
          <t>Export</t>
        </is>
      </c>
      <c r="F590" s="12" t="n">
        <v>46056</v>
      </c>
      <c r="G590" s="12" t="n">
        <v>46072</v>
      </c>
      <c r="H590" s="12" t="n">
        <v>46071</v>
      </c>
      <c r="I590" s="12" t="n">
        <v>46071</v>
      </c>
      <c r="J590" s="12" t="n">
        <v>46072</v>
      </c>
      <c r="K590" s="2" t="n">
        <v>194</v>
      </c>
      <c r="L590" s="2" t="inlineStr">
        <is>
          <t>Air</t>
        </is>
      </c>
      <c r="M590" s="2" t="inlineStr">
        <is>
          <t>No Delay</t>
        </is>
      </c>
      <c r="N590" s="4">
        <f>IF(I590&lt;=H590,1,0)</f>
        <v/>
      </c>
      <c r="O590" s="4">
        <f>IF(J590&lt;=G590,1,0)</f>
        <v/>
      </c>
      <c r="P590" s="4">
        <f>MAX(0,I590-H590)</f>
        <v/>
      </c>
      <c r="Q590" s="4">
        <f>MAX(0,J590-G590)</f>
        <v/>
      </c>
      <c r="R590" s="4">
        <f>IF(AND(N590=1,O590=1),"On Track",IF(O590=0,"Customer Delivery Late","Ship Late"))</f>
        <v/>
      </c>
    </row>
    <row r="591">
      <c r="A591" s="2" t="inlineStr">
        <is>
          <t>ORD-00590</t>
        </is>
      </c>
      <c r="B591" s="2" t="inlineStr">
        <is>
          <t>Customer 15</t>
        </is>
      </c>
      <c r="C591" s="2" t="inlineStr">
        <is>
          <t>PLC</t>
        </is>
      </c>
      <c r="D591" s="2" t="inlineStr">
        <is>
          <t>Plant C</t>
        </is>
      </c>
      <c r="E591" s="2" t="inlineStr">
        <is>
          <t>Central</t>
        </is>
      </c>
      <c r="F591" s="12" t="n">
        <v>46117</v>
      </c>
      <c r="G591" s="12" t="n">
        <v>46141</v>
      </c>
      <c r="H591" s="12" t="n">
        <v>46139</v>
      </c>
      <c r="I591" s="12" t="n">
        <v>46138</v>
      </c>
      <c r="J591" s="12" t="n">
        <v>46139</v>
      </c>
      <c r="K591" s="2" t="n">
        <v>1024</v>
      </c>
      <c r="L591" s="2" t="inlineStr">
        <is>
          <t>Sea</t>
        </is>
      </c>
      <c r="M591" s="2" t="inlineStr">
        <is>
          <t>No Delay</t>
        </is>
      </c>
      <c r="N591" s="4">
        <f>IF(I591&lt;=H591,1,0)</f>
        <v/>
      </c>
      <c r="O591" s="4">
        <f>IF(J591&lt;=G591,1,0)</f>
        <v/>
      </c>
      <c r="P591" s="4">
        <f>MAX(0,I591-H591)</f>
        <v/>
      </c>
      <c r="Q591" s="4">
        <f>MAX(0,J591-G591)</f>
        <v/>
      </c>
      <c r="R591" s="4">
        <f>IF(AND(N591=1,O591=1),"On Track",IF(O591=0,"Customer Delivery Late","Ship Late"))</f>
        <v/>
      </c>
    </row>
    <row r="592">
      <c r="A592" s="2" t="inlineStr">
        <is>
          <t>ORD-00591</t>
        </is>
      </c>
      <c r="B592" s="2" t="inlineStr">
        <is>
          <t>Customer 16</t>
        </is>
      </c>
      <c r="C592" s="2" t="inlineStr">
        <is>
          <t>Sensor</t>
        </is>
      </c>
      <c r="D592" s="2" t="inlineStr">
        <is>
          <t>Plant A</t>
        </is>
      </c>
      <c r="E592" s="2" t="inlineStr">
        <is>
          <t>Central</t>
        </is>
      </c>
      <c r="F592" s="12" t="n">
        <v>46184</v>
      </c>
      <c r="G592" s="12" t="n">
        <v>46209</v>
      </c>
      <c r="H592" s="12" t="n">
        <v>46204</v>
      </c>
      <c r="I592" s="12" t="n">
        <v>46203</v>
      </c>
      <c r="J592" s="12" t="n">
        <v>46207</v>
      </c>
      <c r="K592" s="2" t="n">
        <v>1411</v>
      </c>
      <c r="L592" s="2" t="inlineStr">
        <is>
          <t>Air</t>
        </is>
      </c>
      <c r="M592" s="2" t="inlineStr">
        <is>
          <t>No Delay</t>
        </is>
      </c>
      <c r="N592" s="4">
        <f>IF(I592&lt;=H592,1,0)</f>
        <v/>
      </c>
      <c r="O592" s="4">
        <f>IF(J592&lt;=G592,1,0)</f>
        <v/>
      </c>
      <c r="P592" s="4">
        <f>MAX(0,I592-H592)</f>
        <v/>
      </c>
      <c r="Q592" s="4">
        <f>MAX(0,J592-G592)</f>
        <v/>
      </c>
      <c r="R592" s="4">
        <f>IF(AND(N592=1,O592=1),"On Track",IF(O592=0,"Customer Delivery Late","Ship Late"))</f>
        <v/>
      </c>
    </row>
    <row r="593">
      <c r="A593" s="2" t="inlineStr">
        <is>
          <t>ORD-00592</t>
        </is>
      </c>
      <c r="B593" s="2" t="inlineStr">
        <is>
          <t>Customer 17</t>
        </is>
      </c>
      <c r="C593" s="2" t="inlineStr">
        <is>
          <t>Power Supply</t>
        </is>
      </c>
      <c r="D593" s="2" t="inlineStr">
        <is>
          <t>Plant B</t>
        </is>
      </c>
      <c r="E593" s="2" t="inlineStr">
        <is>
          <t>North</t>
        </is>
      </c>
      <c r="F593" s="12" t="n">
        <v>46086</v>
      </c>
      <c r="G593" s="12" t="n">
        <v>46107</v>
      </c>
      <c r="H593" s="12" t="n">
        <v>46103</v>
      </c>
      <c r="I593" s="12" t="n">
        <v>46101</v>
      </c>
      <c r="J593" s="12" t="n">
        <v>46104</v>
      </c>
      <c r="K593" s="2" t="n">
        <v>961</v>
      </c>
      <c r="L593" s="2" t="inlineStr">
        <is>
          <t>Sea</t>
        </is>
      </c>
      <c r="M593" s="2" t="inlineStr">
        <is>
          <t>No Delay</t>
        </is>
      </c>
      <c r="N593" s="4">
        <f>IF(I593&lt;=H593,1,0)</f>
        <v/>
      </c>
      <c r="O593" s="4">
        <f>IF(J593&lt;=G593,1,0)</f>
        <v/>
      </c>
      <c r="P593" s="4">
        <f>MAX(0,I593-H593)</f>
        <v/>
      </c>
      <c r="Q593" s="4">
        <f>MAX(0,J593-G593)</f>
        <v/>
      </c>
      <c r="R593" s="4">
        <f>IF(AND(N593=1,O593=1),"On Track",IF(O593=0,"Customer Delivery Late","Ship Late"))</f>
        <v/>
      </c>
    </row>
    <row r="594">
      <c r="A594" s="2" t="inlineStr">
        <is>
          <t>ORD-00593</t>
        </is>
      </c>
      <c r="B594" s="2" t="inlineStr">
        <is>
          <t>Customer 15</t>
        </is>
      </c>
      <c r="C594" s="2" t="inlineStr">
        <is>
          <t>Relay</t>
        </is>
      </c>
      <c r="D594" s="2" t="inlineStr">
        <is>
          <t>Plant A</t>
        </is>
      </c>
      <c r="E594" s="2" t="inlineStr">
        <is>
          <t>Export</t>
        </is>
      </c>
      <c r="F594" s="12" t="n">
        <v>46168</v>
      </c>
      <c r="G594" s="12" t="n">
        <v>46181</v>
      </c>
      <c r="H594" s="12" t="n">
        <v>46178</v>
      </c>
      <c r="I594" s="12" t="n">
        <v>46176</v>
      </c>
      <c r="J594" s="12" t="n">
        <v>46178</v>
      </c>
      <c r="K594" s="2" t="n">
        <v>102</v>
      </c>
      <c r="L594" s="2" t="inlineStr">
        <is>
          <t>Road</t>
        </is>
      </c>
      <c r="M594" s="2" t="inlineStr">
        <is>
          <t>No Delay</t>
        </is>
      </c>
      <c r="N594" s="4">
        <f>IF(I594&lt;=H594,1,0)</f>
        <v/>
      </c>
      <c r="O594" s="4">
        <f>IF(J594&lt;=G594,1,0)</f>
        <v/>
      </c>
      <c r="P594" s="4">
        <f>MAX(0,I594-H594)</f>
        <v/>
      </c>
      <c r="Q594" s="4">
        <f>MAX(0,J594-G594)</f>
        <v/>
      </c>
      <c r="R594" s="4">
        <f>IF(AND(N594=1,O594=1),"On Track",IF(O594=0,"Customer Delivery Late","Ship Late"))</f>
        <v/>
      </c>
    </row>
    <row r="595">
      <c r="A595" s="2" t="inlineStr">
        <is>
          <t>ORD-00594</t>
        </is>
      </c>
      <c r="B595" s="2" t="inlineStr">
        <is>
          <t>Customer 11</t>
        </is>
      </c>
      <c r="C595" s="2" t="inlineStr">
        <is>
          <t>Relay</t>
        </is>
      </c>
      <c r="D595" s="2" t="inlineStr">
        <is>
          <t>Plant A</t>
        </is>
      </c>
      <c r="E595" s="2" t="inlineStr">
        <is>
          <t>Central</t>
        </is>
      </c>
      <c r="F595" s="12" t="n">
        <v>46129</v>
      </c>
      <c r="G595" s="12" t="n">
        <v>46143</v>
      </c>
      <c r="H595" s="12" t="n">
        <v>46140</v>
      </c>
      <c r="I595" s="12" t="n">
        <v>46139</v>
      </c>
      <c r="J595" s="12" t="n">
        <v>46143</v>
      </c>
      <c r="K595" s="2" t="n">
        <v>170</v>
      </c>
      <c r="L595" s="2" t="inlineStr">
        <is>
          <t>Sea</t>
        </is>
      </c>
      <c r="M595" s="2" t="inlineStr">
        <is>
          <t>No Delay</t>
        </is>
      </c>
      <c r="N595" s="4">
        <f>IF(I595&lt;=H595,1,0)</f>
        <v/>
      </c>
      <c r="O595" s="4">
        <f>IF(J595&lt;=G595,1,0)</f>
        <v/>
      </c>
      <c r="P595" s="4">
        <f>MAX(0,I595-H595)</f>
        <v/>
      </c>
      <c r="Q595" s="4">
        <f>MAX(0,J595-G595)</f>
        <v/>
      </c>
      <c r="R595" s="4">
        <f>IF(AND(N595=1,O595=1),"On Track",IF(O595=0,"Customer Delivery Late","Ship Late"))</f>
        <v/>
      </c>
    </row>
    <row r="596">
      <c r="A596" s="2" t="inlineStr">
        <is>
          <t>ORD-00595</t>
        </is>
      </c>
      <c r="B596" s="2" t="inlineStr">
        <is>
          <t>Customer 06</t>
        </is>
      </c>
      <c r="C596" s="2" t="inlineStr">
        <is>
          <t>Switchgear</t>
        </is>
      </c>
      <c r="D596" s="2" t="inlineStr">
        <is>
          <t>Plant B</t>
        </is>
      </c>
      <c r="E596" s="2" t="inlineStr">
        <is>
          <t>Export</t>
        </is>
      </c>
      <c r="F596" s="12" t="n">
        <v>46177</v>
      </c>
      <c r="G596" s="12" t="n">
        <v>46190</v>
      </c>
      <c r="H596" s="12" t="n">
        <v>46189</v>
      </c>
      <c r="I596" s="12" t="n">
        <v>46187</v>
      </c>
      <c r="J596" s="12" t="n">
        <v>46188</v>
      </c>
      <c r="K596" s="2" t="n">
        <v>1357</v>
      </c>
      <c r="L596" s="2" t="inlineStr">
        <is>
          <t>Sea</t>
        </is>
      </c>
      <c r="M596" s="2" t="inlineStr">
        <is>
          <t>No Delay</t>
        </is>
      </c>
      <c r="N596" s="4">
        <f>IF(I596&lt;=H596,1,0)</f>
        <v/>
      </c>
      <c r="O596" s="4">
        <f>IF(J596&lt;=G596,1,0)</f>
        <v/>
      </c>
      <c r="P596" s="4">
        <f>MAX(0,I596-H596)</f>
        <v/>
      </c>
      <c r="Q596" s="4">
        <f>MAX(0,J596-G596)</f>
        <v/>
      </c>
      <c r="R596" s="4">
        <f>IF(AND(N596=1,O596=1),"On Track",IF(O596=0,"Customer Delivery Late","Ship Late"))</f>
        <v/>
      </c>
    </row>
    <row r="597">
      <c r="A597" s="2" t="inlineStr">
        <is>
          <t>ORD-00596</t>
        </is>
      </c>
      <c r="B597" s="2" t="inlineStr">
        <is>
          <t>Customer 03</t>
        </is>
      </c>
      <c r="C597" s="2" t="inlineStr">
        <is>
          <t>Relay</t>
        </is>
      </c>
      <c r="D597" s="2" t="inlineStr">
        <is>
          <t>Plant A</t>
        </is>
      </c>
      <c r="E597" s="2" t="inlineStr">
        <is>
          <t>North</t>
        </is>
      </c>
      <c r="F597" s="12" t="n">
        <v>46177</v>
      </c>
      <c r="G597" s="12" t="n">
        <v>46197</v>
      </c>
      <c r="H597" s="12" t="n">
        <v>46194</v>
      </c>
      <c r="I597" s="12" t="n">
        <v>46194</v>
      </c>
      <c r="J597" s="12" t="n">
        <v>46197</v>
      </c>
      <c r="K597" s="2" t="n">
        <v>400</v>
      </c>
      <c r="L597" s="2" t="inlineStr">
        <is>
          <t>Road</t>
        </is>
      </c>
      <c r="M597" s="2" t="inlineStr">
        <is>
          <t>No Delay</t>
        </is>
      </c>
      <c r="N597" s="4">
        <f>IF(I597&lt;=H597,1,0)</f>
        <v/>
      </c>
      <c r="O597" s="4">
        <f>IF(J597&lt;=G597,1,0)</f>
        <v/>
      </c>
      <c r="P597" s="4">
        <f>MAX(0,I597-H597)</f>
        <v/>
      </c>
      <c r="Q597" s="4">
        <f>MAX(0,J597-G597)</f>
        <v/>
      </c>
      <c r="R597" s="4">
        <f>IF(AND(N597=1,O597=1),"On Track",IF(O597=0,"Customer Delivery Late","Ship Late"))</f>
        <v/>
      </c>
    </row>
    <row r="598">
      <c r="A598" s="2" t="inlineStr">
        <is>
          <t>ORD-00597</t>
        </is>
      </c>
      <c r="B598" s="2" t="inlineStr">
        <is>
          <t>Customer 21</t>
        </is>
      </c>
      <c r="C598" s="2" t="inlineStr">
        <is>
          <t>PLC</t>
        </is>
      </c>
      <c r="D598" s="2" t="inlineStr">
        <is>
          <t>Plant A</t>
        </is>
      </c>
      <c r="E598" s="2" t="inlineStr">
        <is>
          <t>South</t>
        </is>
      </c>
      <c r="F598" s="12" t="n">
        <v>46027</v>
      </c>
      <c r="G598" s="12" t="n">
        <v>46038</v>
      </c>
      <c r="H598" s="12" t="n">
        <v>46037</v>
      </c>
      <c r="I598" s="12" t="n">
        <v>46037</v>
      </c>
      <c r="J598" s="12" t="n">
        <v>46038</v>
      </c>
      <c r="K598" s="2" t="n">
        <v>959</v>
      </c>
      <c r="L598" s="2" t="inlineStr">
        <is>
          <t>Road</t>
        </is>
      </c>
      <c r="M598" s="2" t="inlineStr">
        <is>
          <t>No Delay</t>
        </is>
      </c>
      <c r="N598" s="4">
        <f>IF(I598&lt;=H598,1,0)</f>
        <v/>
      </c>
      <c r="O598" s="4">
        <f>IF(J598&lt;=G598,1,0)</f>
        <v/>
      </c>
      <c r="P598" s="4">
        <f>MAX(0,I598-H598)</f>
        <v/>
      </c>
      <c r="Q598" s="4">
        <f>MAX(0,J598-G598)</f>
        <v/>
      </c>
      <c r="R598" s="4">
        <f>IF(AND(N598=1,O598=1),"On Track",IF(O598=0,"Customer Delivery Late","Ship Late"))</f>
        <v/>
      </c>
    </row>
    <row r="599">
      <c r="A599" s="2" t="inlineStr">
        <is>
          <t>ORD-00598</t>
        </is>
      </c>
      <c r="B599" s="2" t="inlineStr">
        <is>
          <t>Customer 28</t>
        </is>
      </c>
      <c r="C599" s="2" t="inlineStr">
        <is>
          <t>Switchgear</t>
        </is>
      </c>
      <c r="D599" s="2" t="inlineStr">
        <is>
          <t>Plant C</t>
        </is>
      </c>
      <c r="E599" s="2" t="inlineStr">
        <is>
          <t>Central</t>
        </is>
      </c>
      <c r="F599" s="12" t="n">
        <v>46144</v>
      </c>
      <c r="G599" s="12" t="n">
        <v>46162</v>
      </c>
      <c r="H599" s="12" t="n">
        <v>46161</v>
      </c>
      <c r="I599" s="12" t="n">
        <v>46159</v>
      </c>
      <c r="J599" s="12" t="n">
        <v>46160</v>
      </c>
      <c r="K599" s="2" t="n">
        <v>422</v>
      </c>
      <c r="L599" s="2" t="inlineStr">
        <is>
          <t>Air</t>
        </is>
      </c>
      <c r="M599" s="2" t="inlineStr">
        <is>
          <t>No Delay</t>
        </is>
      </c>
      <c r="N599" s="4">
        <f>IF(I599&lt;=H599,1,0)</f>
        <v/>
      </c>
      <c r="O599" s="4">
        <f>IF(J599&lt;=G599,1,0)</f>
        <v/>
      </c>
      <c r="P599" s="4">
        <f>MAX(0,I599-H599)</f>
        <v/>
      </c>
      <c r="Q599" s="4">
        <f>MAX(0,J599-G599)</f>
        <v/>
      </c>
      <c r="R599" s="4">
        <f>IF(AND(N599=1,O599=1),"On Track",IF(O599=0,"Customer Delivery Late","Ship Late"))</f>
        <v/>
      </c>
    </row>
    <row r="600">
      <c r="A600" s="2" t="inlineStr">
        <is>
          <t>ORD-00599</t>
        </is>
      </c>
      <c r="B600" s="2" t="inlineStr">
        <is>
          <t>Customer 24</t>
        </is>
      </c>
      <c r="C600" s="2" t="inlineStr">
        <is>
          <t>Sensor</t>
        </is>
      </c>
      <c r="D600" s="2" t="inlineStr">
        <is>
          <t>Plant A</t>
        </is>
      </c>
      <c r="E600" s="2" t="inlineStr">
        <is>
          <t>Export</t>
        </is>
      </c>
      <c r="F600" s="12" t="n">
        <v>46168</v>
      </c>
      <c r="G600" s="12" t="n">
        <v>46185</v>
      </c>
      <c r="H600" s="12" t="n">
        <v>46184</v>
      </c>
      <c r="I600" s="12" t="n">
        <v>46182</v>
      </c>
      <c r="J600" s="12" t="n">
        <v>46183</v>
      </c>
      <c r="K600" s="2" t="n">
        <v>828</v>
      </c>
      <c r="L600" s="2" t="inlineStr">
        <is>
          <t>Air</t>
        </is>
      </c>
      <c r="M600" s="2" t="inlineStr">
        <is>
          <t>No Delay</t>
        </is>
      </c>
      <c r="N600" s="4">
        <f>IF(I600&lt;=H600,1,0)</f>
        <v/>
      </c>
      <c r="O600" s="4">
        <f>IF(J600&lt;=G600,1,0)</f>
        <v/>
      </c>
      <c r="P600" s="4">
        <f>MAX(0,I600-H600)</f>
        <v/>
      </c>
      <c r="Q600" s="4">
        <f>MAX(0,J600-G600)</f>
        <v/>
      </c>
      <c r="R600" s="4">
        <f>IF(AND(N600=1,O600=1),"On Track",IF(O600=0,"Customer Delivery Late","Ship Late"))</f>
        <v/>
      </c>
    </row>
    <row r="601">
      <c r="A601" s="2" t="inlineStr">
        <is>
          <t>ORD-00600</t>
        </is>
      </c>
      <c r="B601" s="2" t="inlineStr">
        <is>
          <t>Customer 14</t>
        </is>
      </c>
      <c r="C601" s="2" t="inlineStr">
        <is>
          <t>Drive</t>
        </is>
      </c>
      <c r="D601" s="2" t="inlineStr">
        <is>
          <t>Plant C</t>
        </is>
      </c>
      <c r="E601" s="2" t="inlineStr">
        <is>
          <t>North</t>
        </is>
      </c>
      <c r="F601" s="12" t="n">
        <v>46154</v>
      </c>
      <c r="G601" s="12" t="n">
        <v>46177</v>
      </c>
      <c r="H601" s="12" t="n">
        <v>46172</v>
      </c>
      <c r="I601" s="12" t="n">
        <v>46171</v>
      </c>
      <c r="J601" s="12" t="n">
        <v>46175</v>
      </c>
      <c r="K601" s="2" t="n">
        <v>558</v>
      </c>
      <c r="L601" s="2" t="inlineStr">
        <is>
          <t>Sea</t>
        </is>
      </c>
      <c r="M601" s="2" t="inlineStr">
        <is>
          <t>No Delay</t>
        </is>
      </c>
      <c r="N601" s="4">
        <f>IF(I601&lt;=H601,1,0)</f>
        <v/>
      </c>
      <c r="O601" s="4">
        <f>IF(J601&lt;=G601,1,0)</f>
        <v/>
      </c>
      <c r="P601" s="4">
        <f>MAX(0,I601-H601)</f>
        <v/>
      </c>
      <c r="Q601" s="4">
        <f>MAX(0,J601-G601)</f>
        <v/>
      </c>
      <c r="R601" s="4">
        <f>IF(AND(N601=1,O601=1),"On Track",IF(O601=0,"Customer Delivery Late","Ship Late"))</f>
        <v/>
      </c>
    </row>
    <row r="602">
      <c r="A602" s="2" t="inlineStr">
        <is>
          <t>ORD-00601</t>
        </is>
      </c>
      <c r="B602" s="2" t="inlineStr">
        <is>
          <t>Customer 01</t>
        </is>
      </c>
      <c r="C602" s="2" t="inlineStr">
        <is>
          <t>Relay</t>
        </is>
      </c>
      <c r="D602" s="2" t="inlineStr">
        <is>
          <t>Plant B</t>
        </is>
      </c>
      <c r="E602" s="2" t="inlineStr">
        <is>
          <t>Central</t>
        </is>
      </c>
      <c r="F602" s="12" t="n">
        <v>46129</v>
      </c>
      <c r="G602" s="12" t="n">
        <v>46149</v>
      </c>
      <c r="H602" s="12" t="n">
        <v>46148</v>
      </c>
      <c r="I602" s="12" t="n">
        <v>46148</v>
      </c>
      <c r="J602" s="12" t="n">
        <v>46149</v>
      </c>
      <c r="K602" s="2" t="n">
        <v>971</v>
      </c>
      <c r="L602" s="2" t="inlineStr">
        <is>
          <t>Air</t>
        </is>
      </c>
      <c r="M602" s="2" t="inlineStr">
        <is>
          <t>No Delay</t>
        </is>
      </c>
      <c r="N602" s="4">
        <f>IF(I602&lt;=H602,1,0)</f>
        <v/>
      </c>
      <c r="O602" s="4">
        <f>IF(J602&lt;=G602,1,0)</f>
        <v/>
      </c>
      <c r="P602" s="4">
        <f>MAX(0,I602-H602)</f>
        <v/>
      </c>
      <c r="Q602" s="4">
        <f>MAX(0,J602-G602)</f>
        <v/>
      </c>
      <c r="R602" s="4">
        <f>IF(AND(N602=1,O602=1),"On Track",IF(O602=0,"Customer Delivery Late","Ship Late"))</f>
        <v/>
      </c>
    </row>
    <row r="603">
      <c r="A603" s="2" t="inlineStr">
        <is>
          <t>ORD-00602</t>
        </is>
      </c>
      <c r="B603" s="2" t="inlineStr">
        <is>
          <t>Customer 22</t>
        </is>
      </c>
      <c r="C603" s="2" t="inlineStr">
        <is>
          <t>Switchgear</t>
        </is>
      </c>
      <c r="D603" s="2" t="inlineStr">
        <is>
          <t>Plant A</t>
        </is>
      </c>
      <c r="E603" s="2" t="inlineStr">
        <is>
          <t>South</t>
        </is>
      </c>
      <c r="F603" s="12" t="n">
        <v>46135</v>
      </c>
      <c r="G603" s="12" t="n">
        <v>46147</v>
      </c>
      <c r="H603" s="12" t="n">
        <v>46142</v>
      </c>
      <c r="I603" s="12" t="n">
        <v>46142</v>
      </c>
      <c r="J603" s="12" t="n">
        <v>46148</v>
      </c>
      <c r="K603" s="2" t="n">
        <v>1490</v>
      </c>
      <c r="L603" s="2" t="inlineStr">
        <is>
          <t>Sea</t>
        </is>
      </c>
      <c r="M603" s="2" t="inlineStr">
        <is>
          <t>Customer Change</t>
        </is>
      </c>
      <c r="N603" s="4">
        <f>IF(I603&lt;=H603,1,0)</f>
        <v/>
      </c>
      <c r="O603" s="4">
        <f>IF(J603&lt;=G603,1,0)</f>
        <v/>
      </c>
      <c r="P603" s="4">
        <f>MAX(0,I603-H603)</f>
        <v/>
      </c>
      <c r="Q603" s="4">
        <f>MAX(0,J603-G603)</f>
        <v/>
      </c>
      <c r="R603" s="4">
        <f>IF(AND(N603=1,O603=1),"On Track",IF(O603=0,"Customer Delivery Late","Ship Late"))</f>
        <v/>
      </c>
    </row>
    <row r="604">
      <c r="A604" s="2" t="inlineStr">
        <is>
          <t>ORD-00603</t>
        </is>
      </c>
      <c r="B604" s="2" t="inlineStr">
        <is>
          <t>Customer 03</t>
        </is>
      </c>
      <c r="C604" s="2" t="inlineStr">
        <is>
          <t>Switchgear</t>
        </is>
      </c>
      <c r="D604" s="2" t="inlineStr">
        <is>
          <t>Plant A</t>
        </is>
      </c>
      <c r="E604" s="2" t="inlineStr">
        <is>
          <t>Central</t>
        </is>
      </c>
      <c r="F604" s="12" t="n">
        <v>46122</v>
      </c>
      <c r="G604" s="12" t="n">
        <v>46140</v>
      </c>
      <c r="H604" s="12" t="n">
        <v>46137</v>
      </c>
      <c r="I604" s="12" t="n">
        <v>46135</v>
      </c>
      <c r="J604" s="12" t="n">
        <v>46138</v>
      </c>
      <c r="K604" s="2" t="n">
        <v>418</v>
      </c>
      <c r="L604" s="2" t="inlineStr">
        <is>
          <t>Road</t>
        </is>
      </c>
      <c r="M604" s="2" t="inlineStr">
        <is>
          <t>No Delay</t>
        </is>
      </c>
      <c r="N604" s="4">
        <f>IF(I604&lt;=H604,1,0)</f>
        <v/>
      </c>
      <c r="O604" s="4">
        <f>IF(J604&lt;=G604,1,0)</f>
        <v/>
      </c>
      <c r="P604" s="4">
        <f>MAX(0,I604-H604)</f>
        <v/>
      </c>
      <c r="Q604" s="4">
        <f>MAX(0,J604-G604)</f>
        <v/>
      </c>
      <c r="R604" s="4">
        <f>IF(AND(N604=1,O604=1),"On Track",IF(O604=0,"Customer Delivery Late","Ship Late"))</f>
        <v/>
      </c>
    </row>
    <row r="605">
      <c r="A605" s="2" t="inlineStr">
        <is>
          <t>ORD-00604</t>
        </is>
      </c>
      <c r="B605" s="2" t="inlineStr">
        <is>
          <t>Customer 02</t>
        </is>
      </c>
      <c r="C605" s="2" t="inlineStr">
        <is>
          <t>Breaker</t>
        </is>
      </c>
      <c r="D605" s="2" t="inlineStr">
        <is>
          <t>Plant B</t>
        </is>
      </c>
      <c r="E605" s="2" t="inlineStr">
        <is>
          <t>South</t>
        </is>
      </c>
      <c r="F605" s="12" t="n">
        <v>46178</v>
      </c>
      <c r="G605" s="12" t="n">
        <v>46198</v>
      </c>
      <c r="H605" s="12" t="n">
        <v>46197</v>
      </c>
      <c r="I605" s="12" t="n">
        <v>46196</v>
      </c>
      <c r="J605" s="12" t="n">
        <v>46197</v>
      </c>
      <c r="K605" s="2" t="n">
        <v>741</v>
      </c>
      <c r="L605" s="2" t="inlineStr">
        <is>
          <t>Sea</t>
        </is>
      </c>
      <c r="M605" s="2" t="inlineStr">
        <is>
          <t>No Delay</t>
        </is>
      </c>
      <c r="N605" s="4">
        <f>IF(I605&lt;=H605,1,0)</f>
        <v/>
      </c>
      <c r="O605" s="4">
        <f>IF(J605&lt;=G605,1,0)</f>
        <v/>
      </c>
      <c r="P605" s="4">
        <f>MAX(0,I605-H605)</f>
        <v/>
      </c>
      <c r="Q605" s="4">
        <f>MAX(0,J605-G605)</f>
        <v/>
      </c>
      <c r="R605" s="4">
        <f>IF(AND(N605=1,O605=1),"On Track",IF(O605=0,"Customer Delivery Late","Ship Late"))</f>
        <v/>
      </c>
    </row>
    <row r="606">
      <c r="A606" s="2" t="inlineStr">
        <is>
          <t>ORD-00605</t>
        </is>
      </c>
      <c r="B606" s="2" t="inlineStr">
        <is>
          <t>Customer 08</t>
        </is>
      </c>
      <c r="C606" s="2" t="inlineStr">
        <is>
          <t>Contactor</t>
        </is>
      </c>
      <c r="D606" s="2" t="inlineStr">
        <is>
          <t>Plant C</t>
        </is>
      </c>
      <c r="E606" s="2" t="inlineStr">
        <is>
          <t>Central</t>
        </is>
      </c>
      <c r="F606" s="12" t="n">
        <v>46063</v>
      </c>
      <c r="G606" s="12" t="n">
        <v>46073</v>
      </c>
      <c r="H606" s="12" t="n">
        <v>46068</v>
      </c>
      <c r="I606" s="12" t="n">
        <v>46066</v>
      </c>
      <c r="J606" s="12" t="n">
        <v>46071</v>
      </c>
      <c r="K606" s="2" t="n">
        <v>1006</v>
      </c>
      <c r="L606" s="2" t="inlineStr">
        <is>
          <t>Air</t>
        </is>
      </c>
      <c r="M606" s="2" t="inlineStr">
        <is>
          <t>No Delay</t>
        </is>
      </c>
      <c r="N606" s="4">
        <f>IF(I606&lt;=H606,1,0)</f>
        <v/>
      </c>
      <c r="O606" s="4">
        <f>IF(J606&lt;=G606,1,0)</f>
        <v/>
      </c>
      <c r="P606" s="4">
        <f>MAX(0,I606-H606)</f>
        <v/>
      </c>
      <c r="Q606" s="4">
        <f>MAX(0,J606-G606)</f>
        <v/>
      </c>
      <c r="R606" s="4">
        <f>IF(AND(N606=1,O606=1),"On Track",IF(O606=0,"Customer Delivery Late","Ship Late"))</f>
        <v/>
      </c>
    </row>
    <row r="607">
      <c r="A607" s="2" t="inlineStr">
        <is>
          <t>ORD-00606</t>
        </is>
      </c>
      <c r="B607" s="2" t="inlineStr">
        <is>
          <t>Customer 28</t>
        </is>
      </c>
      <c r="C607" s="2" t="inlineStr">
        <is>
          <t>Contactor</t>
        </is>
      </c>
      <c r="D607" s="2" t="inlineStr">
        <is>
          <t>Plant C</t>
        </is>
      </c>
      <c r="E607" s="2" t="inlineStr">
        <is>
          <t>North</t>
        </is>
      </c>
      <c r="F607" s="12" t="n">
        <v>46110</v>
      </c>
      <c r="G607" s="12" t="n">
        <v>46126</v>
      </c>
      <c r="H607" s="12" t="n">
        <v>46125</v>
      </c>
      <c r="I607" s="12" t="n">
        <v>46125</v>
      </c>
      <c r="J607" s="12" t="n">
        <v>46126</v>
      </c>
      <c r="K607" s="2" t="n">
        <v>906</v>
      </c>
      <c r="L607" s="2" t="inlineStr">
        <is>
          <t>Air</t>
        </is>
      </c>
      <c r="M607" s="2" t="inlineStr">
        <is>
          <t>No Delay</t>
        </is>
      </c>
      <c r="N607" s="4">
        <f>IF(I607&lt;=H607,1,0)</f>
        <v/>
      </c>
      <c r="O607" s="4">
        <f>IF(J607&lt;=G607,1,0)</f>
        <v/>
      </c>
      <c r="P607" s="4">
        <f>MAX(0,I607-H607)</f>
        <v/>
      </c>
      <c r="Q607" s="4">
        <f>MAX(0,J607-G607)</f>
        <v/>
      </c>
      <c r="R607" s="4">
        <f>IF(AND(N607=1,O607=1),"On Track",IF(O607=0,"Customer Delivery Late","Ship Late"))</f>
        <v/>
      </c>
    </row>
    <row r="608">
      <c r="A608" s="2" t="inlineStr">
        <is>
          <t>ORD-00607</t>
        </is>
      </c>
      <c r="B608" s="2" t="inlineStr">
        <is>
          <t>Customer 21</t>
        </is>
      </c>
      <c r="C608" s="2" t="inlineStr">
        <is>
          <t>Contactor</t>
        </is>
      </c>
      <c r="D608" s="2" t="inlineStr">
        <is>
          <t>Plant A</t>
        </is>
      </c>
      <c r="E608" s="2" t="inlineStr">
        <is>
          <t>South</t>
        </is>
      </c>
      <c r="F608" s="12" t="n">
        <v>46051</v>
      </c>
      <c r="G608" s="12" t="n">
        <v>46059</v>
      </c>
      <c r="H608" s="12" t="n">
        <v>46054</v>
      </c>
      <c r="I608" s="12" t="n">
        <v>46052</v>
      </c>
      <c r="J608" s="12" t="n">
        <v>46058</v>
      </c>
      <c r="K608" s="2" t="n">
        <v>331</v>
      </c>
      <c r="L608" s="2" t="inlineStr">
        <is>
          <t>Sea</t>
        </is>
      </c>
      <c r="M608" s="2" t="inlineStr">
        <is>
          <t>No Delay</t>
        </is>
      </c>
      <c r="N608" s="4">
        <f>IF(I608&lt;=H608,1,0)</f>
        <v/>
      </c>
      <c r="O608" s="4">
        <f>IF(J608&lt;=G608,1,0)</f>
        <v/>
      </c>
      <c r="P608" s="4">
        <f>MAX(0,I608-H608)</f>
        <v/>
      </c>
      <c r="Q608" s="4">
        <f>MAX(0,J608-G608)</f>
        <v/>
      </c>
      <c r="R608" s="4">
        <f>IF(AND(N608=1,O608=1),"On Track",IF(O608=0,"Customer Delivery Late","Ship Late"))</f>
        <v/>
      </c>
    </row>
    <row r="609">
      <c r="A609" s="2" t="inlineStr">
        <is>
          <t>ORD-00608</t>
        </is>
      </c>
      <c r="B609" s="2" t="inlineStr">
        <is>
          <t>Customer 05</t>
        </is>
      </c>
      <c r="C609" s="2" t="inlineStr">
        <is>
          <t>Contactor</t>
        </is>
      </c>
      <c r="D609" s="2" t="inlineStr">
        <is>
          <t>Plant A</t>
        </is>
      </c>
      <c r="E609" s="2" t="inlineStr">
        <is>
          <t>Export</t>
        </is>
      </c>
      <c r="F609" s="12" t="n">
        <v>46097</v>
      </c>
      <c r="G609" s="12" t="n">
        <v>46116</v>
      </c>
      <c r="H609" s="12" t="n">
        <v>46111</v>
      </c>
      <c r="I609" s="12" t="n">
        <v>46109</v>
      </c>
      <c r="J609" s="12" t="n">
        <v>46114</v>
      </c>
      <c r="K609" s="2" t="n">
        <v>861</v>
      </c>
      <c r="L609" s="2" t="inlineStr">
        <is>
          <t>Road</t>
        </is>
      </c>
      <c r="M609" s="2" t="inlineStr">
        <is>
          <t>No Delay</t>
        </is>
      </c>
      <c r="N609" s="4">
        <f>IF(I609&lt;=H609,1,0)</f>
        <v/>
      </c>
      <c r="O609" s="4">
        <f>IF(J609&lt;=G609,1,0)</f>
        <v/>
      </c>
      <c r="P609" s="4">
        <f>MAX(0,I609-H609)</f>
        <v/>
      </c>
      <c r="Q609" s="4">
        <f>MAX(0,J609-G609)</f>
        <v/>
      </c>
      <c r="R609" s="4">
        <f>IF(AND(N609=1,O609=1),"On Track",IF(O609=0,"Customer Delivery Late","Ship Late"))</f>
        <v/>
      </c>
    </row>
    <row r="610">
      <c r="A610" s="2" t="inlineStr">
        <is>
          <t>ORD-00609</t>
        </is>
      </c>
      <c r="B610" s="2" t="inlineStr">
        <is>
          <t>Customer 25</t>
        </is>
      </c>
      <c r="C610" s="2" t="inlineStr">
        <is>
          <t>Power Supply</t>
        </is>
      </c>
      <c r="D610" s="2" t="inlineStr">
        <is>
          <t>Plant B</t>
        </is>
      </c>
      <c r="E610" s="2" t="inlineStr">
        <is>
          <t>Central</t>
        </is>
      </c>
      <c r="F610" s="12" t="n">
        <v>46085</v>
      </c>
      <c r="G610" s="12" t="n">
        <v>46105</v>
      </c>
      <c r="H610" s="12" t="n">
        <v>46102</v>
      </c>
      <c r="I610" s="12" t="n">
        <v>46100</v>
      </c>
      <c r="J610" s="12" t="n">
        <v>46103</v>
      </c>
      <c r="K610" s="2" t="n">
        <v>320</v>
      </c>
      <c r="L610" s="2" t="inlineStr">
        <is>
          <t>Sea</t>
        </is>
      </c>
      <c r="M610" s="2" t="inlineStr">
        <is>
          <t>No Delay</t>
        </is>
      </c>
      <c r="N610" s="4">
        <f>IF(I610&lt;=H610,1,0)</f>
        <v/>
      </c>
      <c r="O610" s="4">
        <f>IF(J610&lt;=G610,1,0)</f>
        <v/>
      </c>
      <c r="P610" s="4">
        <f>MAX(0,I610-H610)</f>
        <v/>
      </c>
      <c r="Q610" s="4">
        <f>MAX(0,J610-G610)</f>
        <v/>
      </c>
      <c r="R610" s="4">
        <f>IF(AND(N610=1,O610=1),"On Track",IF(O610=0,"Customer Delivery Late","Ship Late"))</f>
        <v/>
      </c>
    </row>
    <row r="611">
      <c r="A611" s="2" t="inlineStr">
        <is>
          <t>ORD-00610</t>
        </is>
      </c>
      <c r="B611" s="2" t="inlineStr">
        <is>
          <t>Customer 17</t>
        </is>
      </c>
      <c r="C611" s="2" t="inlineStr">
        <is>
          <t>Drive</t>
        </is>
      </c>
      <c r="D611" s="2" t="inlineStr">
        <is>
          <t>Plant A</t>
        </is>
      </c>
      <c r="E611" s="2" t="inlineStr">
        <is>
          <t>Export</t>
        </is>
      </c>
      <c r="F611" s="12" t="n">
        <v>46130</v>
      </c>
      <c r="G611" s="12" t="n">
        <v>46142</v>
      </c>
      <c r="H611" s="12" t="n">
        <v>46140</v>
      </c>
      <c r="I611" s="12" t="n">
        <v>46139</v>
      </c>
      <c r="J611" s="12" t="n">
        <v>46141</v>
      </c>
      <c r="K611" s="2" t="n">
        <v>308</v>
      </c>
      <c r="L611" s="2" t="inlineStr">
        <is>
          <t>Road</t>
        </is>
      </c>
      <c r="M611" s="2" t="inlineStr">
        <is>
          <t>No Delay</t>
        </is>
      </c>
      <c r="N611" s="4">
        <f>IF(I611&lt;=H611,1,0)</f>
        <v/>
      </c>
      <c r="O611" s="4">
        <f>IF(J611&lt;=G611,1,0)</f>
        <v/>
      </c>
      <c r="P611" s="4">
        <f>MAX(0,I611-H611)</f>
        <v/>
      </c>
      <c r="Q611" s="4">
        <f>MAX(0,J611-G611)</f>
        <v/>
      </c>
      <c r="R611" s="4">
        <f>IF(AND(N611=1,O611=1),"On Track",IF(O611=0,"Customer Delivery Late","Ship Late"))</f>
        <v/>
      </c>
    </row>
    <row r="612">
      <c r="A612" s="2" t="inlineStr">
        <is>
          <t>ORD-00611</t>
        </is>
      </c>
      <c r="B612" s="2" t="inlineStr">
        <is>
          <t>Customer 25</t>
        </is>
      </c>
      <c r="C612" s="2" t="inlineStr">
        <is>
          <t>Breaker</t>
        </is>
      </c>
      <c r="D612" s="2" t="inlineStr">
        <is>
          <t>Plant C</t>
        </is>
      </c>
      <c r="E612" s="2" t="inlineStr">
        <is>
          <t>Central</t>
        </is>
      </c>
      <c r="F612" s="12" t="n">
        <v>46155</v>
      </c>
      <c r="G612" s="12" t="n">
        <v>46162</v>
      </c>
      <c r="H612" s="12" t="n">
        <v>46161</v>
      </c>
      <c r="I612" s="12" t="n">
        <v>46160</v>
      </c>
      <c r="J612" s="12" t="n">
        <v>46161</v>
      </c>
      <c r="K612" s="2" t="n">
        <v>1186</v>
      </c>
      <c r="L612" s="2" t="inlineStr">
        <is>
          <t>Road</t>
        </is>
      </c>
      <c r="M612" s="2" t="inlineStr">
        <is>
          <t>No Delay</t>
        </is>
      </c>
      <c r="N612" s="4">
        <f>IF(I612&lt;=H612,1,0)</f>
        <v/>
      </c>
      <c r="O612" s="4">
        <f>IF(J612&lt;=G612,1,0)</f>
        <v/>
      </c>
      <c r="P612" s="4">
        <f>MAX(0,I612-H612)</f>
        <v/>
      </c>
      <c r="Q612" s="4">
        <f>MAX(0,J612-G612)</f>
        <v/>
      </c>
      <c r="R612" s="4">
        <f>IF(AND(N612=1,O612=1),"On Track",IF(O612=0,"Customer Delivery Late","Ship Late"))</f>
        <v/>
      </c>
    </row>
    <row r="613">
      <c r="A613" s="2" t="inlineStr">
        <is>
          <t>ORD-00612</t>
        </is>
      </c>
      <c r="B613" s="2" t="inlineStr">
        <is>
          <t>Customer 01</t>
        </is>
      </c>
      <c r="C613" s="2" t="inlineStr">
        <is>
          <t>Sensor</t>
        </is>
      </c>
      <c r="D613" s="2" t="inlineStr">
        <is>
          <t>Plant C</t>
        </is>
      </c>
      <c r="E613" s="2" t="inlineStr">
        <is>
          <t>Central</t>
        </is>
      </c>
      <c r="F613" s="12" t="n">
        <v>46184</v>
      </c>
      <c r="G613" s="12" t="n">
        <v>46205</v>
      </c>
      <c r="H613" s="12" t="n">
        <v>46202</v>
      </c>
      <c r="I613" s="12" t="n">
        <v>46202</v>
      </c>
      <c r="J613" s="12" t="n">
        <v>46205</v>
      </c>
      <c r="K613" s="2" t="n">
        <v>1444</v>
      </c>
      <c r="L613" s="2" t="inlineStr">
        <is>
          <t>Air</t>
        </is>
      </c>
      <c r="M613" s="2" t="inlineStr">
        <is>
          <t>No Delay</t>
        </is>
      </c>
      <c r="N613" s="4">
        <f>IF(I613&lt;=H613,1,0)</f>
        <v/>
      </c>
      <c r="O613" s="4">
        <f>IF(J613&lt;=G613,1,0)</f>
        <v/>
      </c>
      <c r="P613" s="4">
        <f>MAX(0,I613-H613)</f>
        <v/>
      </c>
      <c r="Q613" s="4">
        <f>MAX(0,J613-G613)</f>
        <v/>
      </c>
      <c r="R613" s="4">
        <f>IF(AND(N613=1,O613=1),"On Track",IF(O613=0,"Customer Delivery Late","Ship Late"))</f>
        <v/>
      </c>
    </row>
    <row r="614">
      <c r="A614" s="2" t="inlineStr">
        <is>
          <t>ORD-00613</t>
        </is>
      </c>
      <c r="B614" s="2" t="inlineStr">
        <is>
          <t>Customer 26</t>
        </is>
      </c>
      <c r="C614" s="2" t="inlineStr">
        <is>
          <t>Power Supply</t>
        </is>
      </c>
      <c r="D614" s="2" t="inlineStr">
        <is>
          <t>Plant A</t>
        </is>
      </c>
      <c r="E614" s="2" t="inlineStr">
        <is>
          <t>South</t>
        </is>
      </c>
      <c r="F614" s="12" t="n">
        <v>46137</v>
      </c>
      <c r="G614" s="12" t="n">
        <v>46162</v>
      </c>
      <c r="H614" s="12" t="n">
        <v>46160</v>
      </c>
      <c r="I614" s="12" t="n">
        <v>46160</v>
      </c>
      <c r="J614" s="12" t="n">
        <v>46162</v>
      </c>
      <c r="K614" s="2" t="n">
        <v>182</v>
      </c>
      <c r="L614" s="2" t="inlineStr">
        <is>
          <t>Road</t>
        </is>
      </c>
      <c r="M614" s="2" t="inlineStr">
        <is>
          <t>No Delay</t>
        </is>
      </c>
      <c r="N614" s="4">
        <f>IF(I614&lt;=H614,1,0)</f>
        <v/>
      </c>
      <c r="O614" s="4">
        <f>IF(J614&lt;=G614,1,0)</f>
        <v/>
      </c>
      <c r="P614" s="4">
        <f>MAX(0,I614-H614)</f>
        <v/>
      </c>
      <c r="Q614" s="4">
        <f>MAX(0,J614-G614)</f>
        <v/>
      </c>
      <c r="R614" s="4">
        <f>IF(AND(N614=1,O614=1),"On Track",IF(O614=0,"Customer Delivery Late","Ship Late"))</f>
        <v/>
      </c>
    </row>
    <row r="615">
      <c r="A615" s="2" t="inlineStr">
        <is>
          <t>ORD-00614</t>
        </is>
      </c>
      <c r="B615" s="2" t="inlineStr">
        <is>
          <t>Customer 07</t>
        </is>
      </c>
      <c r="C615" s="2" t="inlineStr">
        <is>
          <t>Contactor</t>
        </is>
      </c>
      <c r="D615" s="2" t="inlineStr">
        <is>
          <t>Plant C</t>
        </is>
      </c>
      <c r="E615" s="2" t="inlineStr">
        <is>
          <t>South</t>
        </is>
      </c>
      <c r="F615" s="12" t="n">
        <v>46160</v>
      </c>
      <c r="G615" s="12" t="n">
        <v>46175</v>
      </c>
      <c r="H615" s="12" t="n">
        <v>46171</v>
      </c>
      <c r="I615" s="12" t="n">
        <v>46171</v>
      </c>
      <c r="J615" s="12" t="n">
        <v>46176</v>
      </c>
      <c r="K615" s="2" t="n">
        <v>1077</v>
      </c>
      <c r="L615" s="2" t="inlineStr">
        <is>
          <t>Air</t>
        </is>
      </c>
      <c r="M615" s="2" t="inlineStr">
        <is>
          <t>Carrier Delay</t>
        </is>
      </c>
      <c r="N615" s="4">
        <f>IF(I615&lt;=H615,1,0)</f>
        <v/>
      </c>
      <c r="O615" s="4">
        <f>IF(J615&lt;=G615,1,0)</f>
        <v/>
      </c>
      <c r="P615" s="4">
        <f>MAX(0,I615-H615)</f>
        <v/>
      </c>
      <c r="Q615" s="4">
        <f>MAX(0,J615-G615)</f>
        <v/>
      </c>
      <c r="R615" s="4">
        <f>IF(AND(N615=1,O615=1),"On Track",IF(O615=0,"Customer Delivery Late","Ship Late"))</f>
        <v/>
      </c>
    </row>
    <row r="616">
      <c r="A616" s="2" t="inlineStr">
        <is>
          <t>ORD-00615</t>
        </is>
      </c>
      <c r="B616" s="2" t="inlineStr">
        <is>
          <t>Customer 10</t>
        </is>
      </c>
      <c r="C616" s="2" t="inlineStr">
        <is>
          <t>Power Supply</t>
        </is>
      </c>
      <c r="D616" s="2" t="inlineStr">
        <is>
          <t>Plant C</t>
        </is>
      </c>
      <c r="E616" s="2" t="inlineStr">
        <is>
          <t>North</t>
        </is>
      </c>
      <c r="F616" s="12" t="n">
        <v>46185</v>
      </c>
      <c r="G616" s="12" t="n">
        <v>46195</v>
      </c>
      <c r="H616" s="12" t="n">
        <v>46194</v>
      </c>
      <c r="I616" s="12" t="n">
        <v>46194</v>
      </c>
      <c r="J616" s="12" t="n">
        <v>46195</v>
      </c>
      <c r="K616" s="2" t="n">
        <v>132</v>
      </c>
      <c r="L616" s="2" t="inlineStr">
        <is>
          <t>Air</t>
        </is>
      </c>
      <c r="M616" s="2" t="inlineStr">
        <is>
          <t>No Delay</t>
        </is>
      </c>
      <c r="N616" s="4">
        <f>IF(I616&lt;=H616,1,0)</f>
        <v/>
      </c>
      <c r="O616" s="4">
        <f>IF(J616&lt;=G616,1,0)</f>
        <v/>
      </c>
      <c r="P616" s="4">
        <f>MAX(0,I616-H616)</f>
        <v/>
      </c>
      <c r="Q616" s="4">
        <f>MAX(0,J616-G616)</f>
        <v/>
      </c>
      <c r="R616" s="4">
        <f>IF(AND(N616=1,O616=1),"On Track",IF(O616=0,"Customer Delivery Late","Ship Late"))</f>
        <v/>
      </c>
    </row>
    <row r="617">
      <c r="A617" s="2" t="inlineStr">
        <is>
          <t>ORD-00616</t>
        </is>
      </c>
      <c r="B617" s="2" t="inlineStr">
        <is>
          <t>Customer 24</t>
        </is>
      </c>
      <c r="C617" s="2" t="inlineStr">
        <is>
          <t>Breaker</t>
        </is>
      </c>
      <c r="D617" s="2" t="inlineStr">
        <is>
          <t>Plant B</t>
        </is>
      </c>
      <c r="E617" s="2" t="inlineStr">
        <is>
          <t>South</t>
        </is>
      </c>
      <c r="F617" s="12" t="n">
        <v>46089</v>
      </c>
      <c r="G617" s="12" t="n">
        <v>46114</v>
      </c>
      <c r="H617" s="12" t="n">
        <v>46109</v>
      </c>
      <c r="I617" s="12" t="n">
        <v>46107</v>
      </c>
      <c r="J617" s="12" t="n">
        <v>46112</v>
      </c>
      <c r="K617" s="2" t="n">
        <v>493</v>
      </c>
      <c r="L617" s="2" t="inlineStr">
        <is>
          <t>Sea</t>
        </is>
      </c>
      <c r="M617" s="2" t="inlineStr">
        <is>
          <t>No Delay</t>
        </is>
      </c>
      <c r="N617" s="4">
        <f>IF(I617&lt;=H617,1,0)</f>
        <v/>
      </c>
      <c r="O617" s="4">
        <f>IF(J617&lt;=G617,1,0)</f>
        <v/>
      </c>
      <c r="P617" s="4">
        <f>MAX(0,I617-H617)</f>
        <v/>
      </c>
      <c r="Q617" s="4">
        <f>MAX(0,J617-G617)</f>
        <v/>
      </c>
      <c r="R617" s="4">
        <f>IF(AND(N617=1,O617=1),"On Track",IF(O617=0,"Customer Delivery Late","Ship Late"))</f>
        <v/>
      </c>
    </row>
    <row r="618">
      <c r="A618" s="2" t="inlineStr">
        <is>
          <t>ORD-00617</t>
        </is>
      </c>
      <c r="B618" s="2" t="inlineStr">
        <is>
          <t>Customer 26</t>
        </is>
      </c>
      <c r="C618" s="2" t="inlineStr">
        <is>
          <t>Relay</t>
        </is>
      </c>
      <c r="D618" s="2" t="inlineStr">
        <is>
          <t>Plant C</t>
        </is>
      </c>
      <c r="E618" s="2" t="inlineStr">
        <is>
          <t>Export</t>
        </is>
      </c>
      <c r="F618" s="12" t="n">
        <v>46171</v>
      </c>
      <c r="G618" s="12" t="n">
        <v>46194</v>
      </c>
      <c r="H618" s="12" t="n">
        <v>46189</v>
      </c>
      <c r="I618" s="12" t="n">
        <v>46187</v>
      </c>
      <c r="J618" s="12" t="n">
        <v>46192</v>
      </c>
      <c r="K618" s="2" t="n">
        <v>1074</v>
      </c>
      <c r="L618" s="2" t="inlineStr">
        <is>
          <t>Sea</t>
        </is>
      </c>
      <c r="M618" s="2" t="inlineStr">
        <is>
          <t>No Delay</t>
        </is>
      </c>
      <c r="N618" s="4">
        <f>IF(I618&lt;=H618,1,0)</f>
        <v/>
      </c>
      <c r="O618" s="4">
        <f>IF(J618&lt;=G618,1,0)</f>
        <v/>
      </c>
      <c r="P618" s="4">
        <f>MAX(0,I618-H618)</f>
        <v/>
      </c>
      <c r="Q618" s="4">
        <f>MAX(0,J618-G618)</f>
        <v/>
      </c>
      <c r="R618" s="4">
        <f>IF(AND(N618=1,O618=1),"On Track",IF(O618=0,"Customer Delivery Late","Ship Late"))</f>
        <v/>
      </c>
    </row>
    <row r="619">
      <c r="A619" s="2" t="inlineStr">
        <is>
          <t>ORD-00618</t>
        </is>
      </c>
      <c r="B619" s="2" t="inlineStr">
        <is>
          <t>Customer 23</t>
        </is>
      </c>
      <c r="C619" s="2" t="inlineStr">
        <is>
          <t>Power Supply</t>
        </is>
      </c>
      <c r="D619" s="2" t="inlineStr">
        <is>
          <t>Plant B</t>
        </is>
      </c>
      <c r="E619" s="2" t="inlineStr">
        <is>
          <t>North</t>
        </is>
      </c>
      <c r="F619" s="12" t="n">
        <v>46086</v>
      </c>
      <c r="G619" s="12" t="n">
        <v>46094</v>
      </c>
      <c r="H619" s="12" t="n">
        <v>46091</v>
      </c>
      <c r="I619" s="12" t="n">
        <v>46089</v>
      </c>
      <c r="J619" s="12" t="n">
        <v>46092</v>
      </c>
      <c r="K619" s="2" t="n">
        <v>198</v>
      </c>
      <c r="L619" s="2" t="inlineStr">
        <is>
          <t>Road</t>
        </is>
      </c>
      <c r="M619" s="2" t="inlineStr">
        <is>
          <t>No Delay</t>
        </is>
      </c>
      <c r="N619" s="4">
        <f>IF(I619&lt;=H619,1,0)</f>
        <v/>
      </c>
      <c r="O619" s="4">
        <f>IF(J619&lt;=G619,1,0)</f>
        <v/>
      </c>
      <c r="P619" s="4">
        <f>MAX(0,I619-H619)</f>
        <v/>
      </c>
      <c r="Q619" s="4">
        <f>MAX(0,J619-G619)</f>
        <v/>
      </c>
      <c r="R619" s="4">
        <f>IF(AND(N619=1,O619=1),"On Track",IF(O619=0,"Customer Delivery Late","Ship Late"))</f>
        <v/>
      </c>
    </row>
    <row r="620">
      <c r="A620" s="2" t="inlineStr">
        <is>
          <t>ORD-00619</t>
        </is>
      </c>
      <c r="B620" s="2" t="inlineStr">
        <is>
          <t>Customer 18</t>
        </is>
      </c>
      <c r="C620" s="2" t="inlineStr">
        <is>
          <t>Power Supply</t>
        </is>
      </c>
      <c r="D620" s="2" t="inlineStr">
        <is>
          <t>Plant B</t>
        </is>
      </c>
      <c r="E620" s="2" t="inlineStr">
        <is>
          <t>Export</t>
        </is>
      </c>
      <c r="F620" s="12" t="n">
        <v>46131</v>
      </c>
      <c r="G620" s="12" t="n">
        <v>46140</v>
      </c>
      <c r="H620" s="12" t="n">
        <v>46136</v>
      </c>
      <c r="I620" s="12" t="n">
        <v>46134</v>
      </c>
      <c r="J620" s="12" t="n">
        <v>46139</v>
      </c>
      <c r="K620" s="2" t="n">
        <v>1313</v>
      </c>
      <c r="L620" s="2" t="inlineStr">
        <is>
          <t>Air</t>
        </is>
      </c>
      <c r="M620" s="2" t="inlineStr">
        <is>
          <t>No Delay</t>
        </is>
      </c>
      <c r="N620" s="4">
        <f>IF(I620&lt;=H620,1,0)</f>
        <v/>
      </c>
      <c r="O620" s="4">
        <f>IF(J620&lt;=G620,1,0)</f>
        <v/>
      </c>
      <c r="P620" s="4">
        <f>MAX(0,I620-H620)</f>
        <v/>
      </c>
      <c r="Q620" s="4">
        <f>MAX(0,J620-G620)</f>
        <v/>
      </c>
      <c r="R620" s="4">
        <f>IF(AND(N620=1,O620=1),"On Track",IF(O620=0,"Customer Delivery Late","Ship Late"))</f>
        <v/>
      </c>
    </row>
    <row r="621">
      <c r="A621" s="2" t="inlineStr">
        <is>
          <t>ORD-00620</t>
        </is>
      </c>
      <c r="B621" s="2" t="inlineStr">
        <is>
          <t>Customer 05</t>
        </is>
      </c>
      <c r="C621" s="2" t="inlineStr">
        <is>
          <t>Contactor</t>
        </is>
      </c>
      <c r="D621" s="2" t="inlineStr">
        <is>
          <t>Plant C</t>
        </is>
      </c>
      <c r="E621" s="2" t="inlineStr">
        <is>
          <t>Central</t>
        </is>
      </c>
      <c r="F621" s="12" t="n">
        <v>46135</v>
      </c>
      <c r="G621" s="12" t="n">
        <v>46155</v>
      </c>
      <c r="H621" s="12" t="n">
        <v>46151</v>
      </c>
      <c r="I621" s="12" t="n">
        <v>46149</v>
      </c>
      <c r="J621" s="12" t="n">
        <v>46153</v>
      </c>
      <c r="K621" s="2" t="n">
        <v>942</v>
      </c>
      <c r="L621" s="2" t="inlineStr">
        <is>
          <t>Air</t>
        </is>
      </c>
      <c r="M621" s="2" t="inlineStr">
        <is>
          <t>No Delay</t>
        </is>
      </c>
      <c r="N621" s="4">
        <f>IF(I621&lt;=H621,1,0)</f>
        <v/>
      </c>
      <c r="O621" s="4">
        <f>IF(J621&lt;=G621,1,0)</f>
        <v/>
      </c>
      <c r="P621" s="4">
        <f>MAX(0,I621-H621)</f>
        <v/>
      </c>
      <c r="Q621" s="4">
        <f>MAX(0,J621-G621)</f>
        <v/>
      </c>
      <c r="R621" s="4">
        <f>IF(AND(N621=1,O621=1),"On Track",IF(O621=0,"Customer Delivery Late","Ship Late"))</f>
        <v/>
      </c>
    </row>
    <row r="622">
      <c r="A622" s="2" t="inlineStr">
        <is>
          <t>ORD-00621</t>
        </is>
      </c>
      <c r="B622" s="2" t="inlineStr">
        <is>
          <t>Customer 19</t>
        </is>
      </c>
      <c r="C622" s="2" t="inlineStr">
        <is>
          <t>Sensor</t>
        </is>
      </c>
      <c r="D622" s="2" t="inlineStr">
        <is>
          <t>Plant A</t>
        </is>
      </c>
      <c r="E622" s="2" t="inlineStr">
        <is>
          <t>Central</t>
        </is>
      </c>
      <c r="F622" s="12" t="n">
        <v>46031</v>
      </c>
      <c r="G622" s="12" t="n">
        <v>46041</v>
      </c>
      <c r="H622" s="12" t="n">
        <v>46036</v>
      </c>
      <c r="I622" s="12" t="n">
        <v>46034</v>
      </c>
      <c r="J622" s="12" t="n">
        <v>46038</v>
      </c>
      <c r="K622" s="2" t="n">
        <v>251</v>
      </c>
      <c r="L622" s="2" t="inlineStr">
        <is>
          <t>Air</t>
        </is>
      </c>
      <c r="M622" s="2" t="inlineStr">
        <is>
          <t>No Delay</t>
        </is>
      </c>
      <c r="N622" s="4">
        <f>IF(I622&lt;=H622,1,0)</f>
        <v/>
      </c>
      <c r="O622" s="4">
        <f>IF(J622&lt;=G622,1,0)</f>
        <v/>
      </c>
      <c r="P622" s="4">
        <f>MAX(0,I622-H622)</f>
        <v/>
      </c>
      <c r="Q622" s="4">
        <f>MAX(0,J622-G622)</f>
        <v/>
      </c>
      <c r="R622" s="4">
        <f>IF(AND(N622=1,O622=1),"On Track",IF(O622=0,"Customer Delivery Late","Ship Late"))</f>
        <v/>
      </c>
    </row>
    <row r="623">
      <c r="A623" s="2" t="inlineStr">
        <is>
          <t>ORD-00622</t>
        </is>
      </c>
      <c r="B623" s="2" t="inlineStr">
        <is>
          <t>Customer 14</t>
        </is>
      </c>
      <c r="C623" s="2" t="inlineStr">
        <is>
          <t>Breaker</t>
        </is>
      </c>
      <c r="D623" s="2" t="inlineStr">
        <is>
          <t>Plant B</t>
        </is>
      </c>
      <c r="E623" s="2" t="inlineStr">
        <is>
          <t>South</t>
        </is>
      </c>
      <c r="F623" s="12" t="n">
        <v>46101</v>
      </c>
      <c r="G623" s="12" t="n">
        <v>46117</v>
      </c>
      <c r="H623" s="12" t="n">
        <v>46114</v>
      </c>
      <c r="I623" s="12" t="n">
        <v>46112</v>
      </c>
      <c r="J623" s="12" t="n">
        <v>46115</v>
      </c>
      <c r="K623" s="2" t="n">
        <v>451</v>
      </c>
      <c r="L623" s="2" t="inlineStr">
        <is>
          <t>Road</t>
        </is>
      </c>
      <c r="M623" s="2" t="inlineStr">
        <is>
          <t>No Delay</t>
        </is>
      </c>
      <c r="N623" s="4">
        <f>IF(I623&lt;=H623,1,0)</f>
        <v/>
      </c>
      <c r="O623" s="4">
        <f>IF(J623&lt;=G623,1,0)</f>
        <v/>
      </c>
      <c r="P623" s="4">
        <f>MAX(0,I623-H623)</f>
        <v/>
      </c>
      <c r="Q623" s="4">
        <f>MAX(0,J623-G623)</f>
        <v/>
      </c>
      <c r="R623" s="4">
        <f>IF(AND(N623=1,O623=1),"On Track",IF(O623=0,"Customer Delivery Late","Ship Late"))</f>
        <v/>
      </c>
    </row>
    <row r="624">
      <c r="A624" s="2" t="inlineStr">
        <is>
          <t>ORD-00623</t>
        </is>
      </c>
      <c r="B624" s="2" t="inlineStr">
        <is>
          <t>Customer 10</t>
        </is>
      </c>
      <c r="C624" s="2" t="inlineStr">
        <is>
          <t>Switchgear</t>
        </is>
      </c>
      <c r="D624" s="2" t="inlineStr">
        <is>
          <t>Plant B</t>
        </is>
      </c>
      <c r="E624" s="2" t="inlineStr">
        <is>
          <t>Export</t>
        </is>
      </c>
      <c r="F624" s="12" t="n">
        <v>46148</v>
      </c>
      <c r="G624" s="12" t="n">
        <v>46153</v>
      </c>
      <c r="H624" s="12" t="n">
        <v>46152</v>
      </c>
      <c r="I624" s="12" t="n">
        <v>46150</v>
      </c>
      <c r="J624" s="12" t="n">
        <v>46151</v>
      </c>
      <c r="K624" s="2" t="n">
        <v>983</v>
      </c>
      <c r="L624" s="2" t="inlineStr">
        <is>
          <t>Sea</t>
        </is>
      </c>
      <c r="M624" s="2" t="inlineStr">
        <is>
          <t>No Delay</t>
        </is>
      </c>
      <c r="N624" s="4">
        <f>IF(I624&lt;=H624,1,0)</f>
        <v/>
      </c>
      <c r="O624" s="4">
        <f>IF(J624&lt;=G624,1,0)</f>
        <v/>
      </c>
      <c r="P624" s="4">
        <f>MAX(0,I624-H624)</f>
        <v/>
      </c>
      <c r="Q624" s="4">
        <f>MAX(0,J624-G624)</f>
        <v/>
      </c>
      <c r="R624" s="4">
        <f>IF(AND(N624=1,O624=1),"On Track",IF(O624=0,"Customer Delivery Late","Ship Late"))</f>
        <v/>
      </c>
    </row>
    <row r="625">
      <c r="A625" s="2" t="inlineStr">
        <is>
          <t>ORD-00624</t>
        </is>
      </c>
      <c r="B625" s="2" t="inlineStr">
        <is>
          <t>Customer 24</t>
        </is>
      </c>
      <c r="C625" s="2" t="inlineStr">
        <is>
          <t>Drive</t>
        </is>
      </c>
      <c r="D625" s="2" t="inlineStr">
        <is>
          <t>Plant A</t>
        </is>
      </c>
      <c r="E625" s="2" t="inlineStr">
        <is>
          <t>Export</t>
        </is>
      </c>
      <c r="F625" s="12" t="n">
        <v>46178</v>
      </c>
      <c r="G625" s="12" t="n">
        <v>46187</v>
      </c>
      <c r="H625" s="12" t="n">
        <v>46185</v>
      </c>
      <c r="I625" s="12" t="n">
        <v>46184</v>
      </c>
      <c r="J625" s="12" t="n">
        <v>46186</v>
      </c>
      <c r="K625" s="2" t="n">
        <v>803</v>
      </c>
      <c r="L625" s="2" t="inlineStr">
        <is>
          <t>Road</t>
        </is>
      </c>
      <c r="M625" s="2" t="inlineStr">
        <is>
          <t>No Delay</t>
        </is>
      </c>
      <c r="N625" s="4">
        <f>IF(I625&lt;=H625,1,0)</f>
        <v/>
      </c>
      <c r="O625" s="4">
        <f>IF(J625&lt;=G625,1,0)</f>
        <v/>
      </c>
      <c r="P625" s="4">
        <f>MAX(0,I625-H625)</f>
        <v/>
      </c>
      <c r="Q625" s="4">
        <f>MAX(0,J625-G625)</f>
        <v/>
      </c>
      <c r="R625" s="4">
        <f>IF(AND(N625=1,O625=1),"On Track",IF(O625=0,"Customer Delivery Late","Ship Late"))</f>
        <v/>
      </c>
    </row>
    <row r="626">
      <c r="A626" s="2" t="inlineStr">
        <is>
          <t>ORD-00625</t>
        </is>
      </c>
      <c r="B626" s="2" t="inlineStr">
        <is>
          <t>Customer 28</t>
        </is>
      </c>
      <c r="C626" s="2" t="inlineStr">
        <is>
          <t>Relay</t>
        </is>
      </c>
      <c r="D626" s="2" t="inlineStr">
        <is>
          <t>Plant C</t>
        </is>
      </c>
      <c r="E626" s="2" t="inlineStr">
        <is>
          <t>North</t>
        </is>
      </c>
      <c r="F626" s="12" t="n">
        <v>46124</v>
      </c>
      <c r="G626" s="12" t="n">
        <v>46139</v>
      </c>
      <c r="H626" s="12" t="n">
        <v>46134</v>
      </c>
      <c r="I626" s="12" t="n">
        <v>46134</v>
      </c>
      <c r="J626" s="12" t="n">
        <v>46139</v>
      </c>
      <c r="K626" s="2" t="n">
        <v>1181</v>
      </c>
      <c r="L626" s="2" t="inlineStr">
        <is>
          <t>Sea</t>
        </is>
      </c>
      <c r="M626" s="2" t="inlineStr">
        <is>
          <t>No Delay</t>
        </is>
      </c>
      <c r="N626" s="4">
        <f>IF(I626&lt;=H626,1,0)</f>
        <v/>
      </c>
      <c r="O626" s="4">
        <f>IF(J626&lt;=G626,1,0)</f>
        <v/>
      </c>
      <c r="P626" s="4">
        <f>MAX(0,I626-H626)</f>
        <v/>
      </c>
      <c r="Q626" s="4">
        <f>MAX(0,J626-G626)</f>
        <v/>
      </c>
      <c r="R626" s="4">
        <f>IF(AND(N626=1,O626=1),"On Track",IF(O626=0,"Customer Delivery Late","Ship Late"))</f>
        <v/>
      </c>
    </row>
    <row r="627">
      <c r="A627" s="2" t="inlineStr">
        <is>
          <t>ORD-00626</t>
        </is>
      </c>
      <c r="B627" s="2" t="inlineStr">
        <is>
          <t>Customer 25</t>
        </is>
      </c>
      <c r="C627" s="2" t="inlineStr">
        <is>
          <t>Breaker</t>
        </is>
      </c>
      <c r="D627" s="2" t="inlineStr">
        <is>
          <t>Plant C</t>
        </is>
      </c>
      <c r="E627" s="2" t="inlineStr">
        <is>
          <t>Central</t>
        </is>
      </c>
      <c r="F627" s="12" t="n">
        <v>46102</v>
      </c>
      <c r="G627" s="12" t="n">
        <v>46124</v>
      </c>
      <c r="H627" s="12" t="n">
        <v>46123</v>
      </c>
      <c r="I627" s="12" t="n">
        <v>46121</v>
      </c>
      <c r="J627" s="12" t="n">
        <v>46123</v>
      </c>
      <c r="K627" s="2" t="n">
        <v>984</v>
      </c>
      <c r="L627" s="2" t="inlineStr">
        <is>
          <t>Sea</t>
        </is>
      </c>
      <c r="M627" s="2" t="inlineStr">
        <is>
          <t>No Delay</t>
        </is>
      </c>
      <c r="N627" s="4">
        <f>IF(I627&lt;=H627,1,0)</f>
        <v/>
      </c>
      <c r="O627" s="4">
        <f>IF(J627&lt;=G627,1,0)</f>
        <v/>
      </c>
      <c r="P627" s="4">
        <f>MAX(0,I627-H627)</f>
        <v/>
      </c>
      <c r="Q627" s="4">
        <f>MAX(0,J627-G627)</f>
        <v/>
      </c>
      <c r="R627" s="4">
        <f>IF(AND(N627=1,O627=1),"On Track",IF(O627=0,"Customer Delivery Late","Ship Late"))</f>
        <v/>
      </c>
    </row>
    <row r="628">
      <c r="A628" s="2" t="inlineStr">
        <is>
          <t>ORD-00627</t>
        </is>
      </c>
      <c r="B628" s="2" t="inlineStr">
        <is>
          <t>Customer 23</t>
        </is>
      </c>
      <c r="C628" s="2" t="inlineStr">
        <is>
          <t>Switchgear</t>
        </is>
      </c>
      <c r="D628" s="2" t="inlineStr">
        <is>
          <t>Plant A</t>
        </is>
      </c>
      <c r="E628" s="2" t="inlineStr">
        <is>
          <t>South</t>
        </is>
      </c>
      <c r="F628" s="12" t="n">
        <v>46027</v>
      </c>
      <c r="G628" s="12" t="n">
        <v>46035</v>
      </c>
      <c r="H628" s="12" t="n">
        <v>46030</v>
      </c>
      <c r="I628" s="12" t="n">
        <v>46028</v>
      </c>
      <c r="J628" s="12" t="n">
        <v>46033</v>
      </c>
      <c r="K628" s="2" t="n">
        <v>832</v>
      </c>
      <c r="L628" s="2" t="inlineStr">
        <is>
          <t>Sea</t>
        </is>
      </c>
      <c r="M628" s="2" t="inlineStr">
        <is>
          <t>No Delay</t>
        </is>
      </c>
      <c r="N628" s="4">
        <f>IF(I628&lt;=H628,1,0)</f>
        <v/>
      </c>
      <c r="O628" s="4">
        <f>IF(J628&lt;=G628,1,0)</f>
        <v/>
      </c>
      <c r="P628" s="4">
        <f>MAX(0,I628-H628)</f>
        <v/>
      </c>
      <c r="Q628" s="4">
        <f>MAX(0,J628-G628)</f>
        <v/>
      </c>
      <c r="R628" s="4">
        <f>IF(AND(N628=1,O628=1),"On Track",IF(O628=0,"Customer Delivery Late","Ship Late"))</f>
        <v/>
      </c>
    </row>
    <row r="629">
      <c r="A629" s="2" t="inlineStr">
        <is>
          <t>ORD-00628</t>
        </is>
      </c>
      <c r="B629" s="2" t="inlineStr">
        <is>
          <t>Customer 11</t>
        </is>
      </c>
      <c r="C629" s="2" t="inlineStr">
        <is>
          <t>Power Supply</t>
        </is>
      </c>
      <c r="D629" s="2" t="inlineStr">
        <is>
          <t>Plant B</t>
        </is>
      </c>
      <c r="E629" s="2" t="inlineStr">
        <is>
          <t>North</t>
        </is>
      </c>
      <c r="F629" s="12" t="n">
        <v>46034</v>
      </c>
      <c r="G629" s="12" t="n">
        <v>46054</v>
      </c>
      <c r="H629" s="12" t="n">
        <v>46053</v>
      </c>
      <c r="I629" s="12" t="n">
        <v>46051</v>
      </c>
      <c r="J629" s="12" t="n">
        <v>46052</v>
      </c>
      <c r="K629" s="2" t="n">
        <v>244</v>
      </c>
      <c r="L629" s="2" t="inlineStr">
        <is>
          <t>Road</t>
        </is>
      </c>
      <c r="M629" s="2" t="inlineStr">
        <is>
          <t>No Delay</t>
        </is>
      </c>
      <c r="N629" s="4">
        <f>IF(I629&lt;=H629,1,0)</f>
        <v/>
      </c>
      <c r="O629" s="4">
        <f>IF(J629&lt;=G629,1,0)</f>
        <v/>
      </c>
      <c r="P629" s="4">
        <f>MAX(0,I629-H629)</f>
        <v/>
      </c>
      <c r="Q629" s="4">
        <f>MAX(0,J629-G629)</f>
        <v/>
      </c>
      <c r="R629" s="4">
        <f>IF(AND(N629=1,O629=1),"On Track",IF(O629=0,"Customer Delivery Late","Ship Late"))</f>
        <v/>
      </c>
    </row>
    <row r="630">
      <c r="A630" s="2" t="inlineStr">
        <is>
          <t>ORD-00629</t>
        </is>
      </c>
      <c r="B630" s="2" t="inlineStr">
        <is>
          <t>Customer 14</t>
        </is>
      </c>
      <c r="C630" s="2" t="inlineStr">
        <is>
          <t>Relay</t>
        </is>
      </c>
      <c r="D630" s="2" t="inlineStr">
        <is>
          <t>Plant A</t>
        </is>
      </c>
      <c r="E630" s="2" t="inlineStr">
        <is>
          <t>South</t>
        </is>
      </c>
      <c r="F630" s="12" t="n">
        <v>46161</v>
      </c>
      <c r="G630" s="12" t="n">
        <v>46171</v>
      </c>
      <c r="H630" s="12" t="n">
        <v>46168</v>
      </c>
      <c r="I630" s="12" t="n">
        <v>46167</v>
      </c>
      <c r="J630" s="12" t="n">
        <v>46170</v>
      </c>
      <c r="K630" s="2" t="n">
        <v>381</v>
      </c>
      <c r="L630" s="2" t="inlineStr">
        <is>
          <t>Road</t>
        </is>
      </c>
      <c r="M630" s="2" t="inlineStr">
        <is>
          <t>No Delay</t>
        </is>
      </c>
      <c r="N630" s="4">
        <f>IF(I630&lt;=H630,1,0)</f>
        <v/>
      </c>
      <c r="O630" s="4">
        <f>IF(J630&lt;=G630,1,0)</f>
        <v/>
      </c>
      <c r="P630" s="4">
        <f>MAX(0,I630-H630)</f>
        <v/>
      </c>
      <c r="Q630" s="4">
        <f>MAX(0,J630-G630)</f>
        <v/>
      </c>
      <c r="R630" s="4">
        <f>IF(AND(N630=1,O630=1),"On Track",IF(O630=0,"Customer Delivery Late","Ship Late"))</f>
        <v/>
      </c>
    </row>
    <row r="631">
      <c r="A631" s="2" t="inlineStr">
        <is>
          <t>ORD-00630</t>
        </is>
      </c>
      <c r="B631" s="2" t="inlineStr">
        <is>
          <t>Customer 27</t>
        </is>
      </c>
      <c r="C631" s="2" t="inlineStr">
        <is>
          <t>Contactor</t>
        </is>
      </c>
      <c r="D631" s="2" t="inlineStr">
        <is>
          <t>Plant A</t>
        </is>
      </c>
      <c r="E631" s="2" t="inlineStr">
        <is>
          <t>Central</t>
        </is>
      </c>
      <c r="F631" s="12" t="n">
        <v>46037</v>
      </c>
      <c r="G631" s="12" t="n">
        <v>46051</v>
      </c>
      <c r="H631" s="12" t="n">
        <v>46047</v>
      </c>
      <c r="I631" s="12" t="n">
        <v>46045</v>
      </c>
      <c r="J631" s="12" t="n">
        <v>46049</v>
      </c>
      <c r="K631" s="2" t="n">
        <v>500</v>
      </c>
      <c r="L631" s="2" t="inlineStr">
        <is>
          <t>Sea</t>
        </is>
      </c>
      <c r="M631" s="2" t="inlineStr">
        <is>
          <t>No Delay</t>
        </is>
      </c>
      <c r="N631" s="4">
        <f>IF(I631&lt;=H631,1,0)</f>
        <v/>
      </c>
      <c r="O631" s="4">
        <f>IF(J631&lt;=G631,1,0)</f>
        <v/>
      </c>
      <c r="P631" s="4">
        <f>MAX(0,I631-H631)</f>
        <v/>
      </c>
      <c r="Q631" s="4">
        <f>MAX(0,J631-G631)</f>
        <v/>
      </c>
      <c r="R631" s="4">
        <f>IF(AND(N631=1,O631=1),"On Track",IF(O631=0,"Customer Delivery Late","Ship Late"))</f>
        <v/>
      </c>
    </row>
    <row r="632">
      <c r="A632" s="2" t="inlineStr">
        <is>
          <t>ORD-00631</t>
        </is>
      </c>
      <c r="B632" s="2" t="inlineStr">
        <is>
          <t>Customer 11</t>
        </is>
      </c>
      <c r="C632" s="2" t="inlineStr">
        <is>
          <t>Switchgear</t>
        </is>
      </c>
      <c r="D632" s="2" t="inlineStr">
        <is>
          <t>Plant C</t>
        </is>
      </c>
      <c r="E632" s="2" t="inlineStr">
        <is>
          <t>Export</t>
        </is>
      </c>
      <c r="F632" s="12" t="n">
        <v>46173</v>
      </c>
      <c r="G632" s="12" t="n">
        <v>46185</v>
      </c>
      <c r="H632" s="12" t="n">
        <v>46181</v>
      </c>
      <c r="I632" s="12" t="n">
        <v>46181</v>
      </c>
      <c r="J632" s="12" t="n">
        <v>46184</v>
      </c>
      <c r="K632" s="2" t="n">
        <v>144</v>
      </c>
      <c r="L632" s="2" t="inlineStr">
        <is>
          <t>Air</t>
        </is>
      </c>
      <c r="M632" s="2" t="inlineStr">
        <is>
          <t>No Delay</t>
        </is>
      </c>
      <c r="N632" s="4">
        <f>IF(I632&lt;=H632,1,0)</f>
        <v/>
      </c>
      <c r="O632" s="4">
        <f>IF(J632&lt;=G632,1,0)</f>
        <v/>
      </c>
      <c r="P632" s="4">
        <f>MAX(0,I632-H632)</f>
        <v/>
      </c>
      <c r="Q632" s="4">
        <f>MAX(0,J632-G632)</f>
        <v/>
      </c>
      <c r="R632" s="4">
        <f>IF(AND(N632=1,O632=1),"On Track",IF(O632=0,"Customer Delivery Late","Ship Late"))</f>
        <v/>
      </c>
    </row>
    <row r="633">
      <c r="A633" s="2" t="inlineStr">
        <is>
          <t>ORD-00632</t>
        </is>
      </c>
      <c r="B633" s="2" t="inlineStr">
        <is>
          <t>Customer 22</t>
        </is>
      </c>
      <c r="C633" s="2" t="inlineStr">
        <is>
          <t>Contactor</t>
        </is>
      </c>
      <c r="D633" s="2" t="inlineStr">
        <is>
          <t>Plant A</t>
        </is>
      </c>
      <c r="E633" s="2" t="inlineStr">
        <is>
          <t>Central</t>
        </is>
      </c>
      <c r="F633" s="12" t="n">
        <v>46030</v>
      </c>
      <c r="G633" s="12" t="n">
        <v>46048</v>
      </c>
      <c r="H633" s="12" t="n">
        <v>46046</v>
      </c>
      <c r="I633" s="12" t="n">
        <v>46044</v>
      </c>
      <c r="J633" s="12" t="n">
        <v>46047</v>
      </c>
      <c r="K633" s="2" t="n">
        <v>633</v>
      </c>
      <c r="L633" s="2" t="inlineStr">
        <is>
          <t>Sea</t>
        </is>
      </c>
      <c r="M633" s="2" t="inlineStr">
        <is>
          <t>No Delay</t>
        </is>
      </c>
      <c r="N633" s="4">
        <f>IF(I633&lt;=H633,1,0)</f>
        <v/>
      </c>
      <c r="O633" s="4">
        <f>IF(J633&lt;=G633,1,0)</f>
        <v/>
      </c>
      <c r="P633" s="4">
        <f>MAX(0,I633-H633)</f>
        <v/>
      </c>
      <c r="Q633" s="4">
        <f>MAX(0,J633-G633)</f>
        <v/>
      </c>
      <c r="R633" s="4">
        <f>IF(AND(N633=1,O633=1),"On Track",IF(O633=0,"Customer Delivery Late","Ship Late"))</f>
        <v/>
      </c>
    </row>
    <row r="634">
      <c r="A634" s="2" t="inlineStr">
        <is>
          <t>ORD-00633</t>
        </is>
      </c>
      <c r="B634" s="2" t="inlineStr">
        <is>
          <t>Customer 06</t>
        </is>
      </c>
      <c r="C634" s="2" t="inlineStr">
        <is>
          <t>PLC</t>
        </is>
      </c>
      <c r="D634" s="2" t="inlineStr">
        <is>
          <t>Plant C</t>
        </is>
      </c>
      <c r="E634" s="2" t="inlineStr">
        <is>
          <t>Export</t>
        </is>
      </c>
      <c r="F634" s="12" t="n">
        <v>46127</v>
      </c>
      <c r="G634" s="12" t="n">
        <v>46146</v>
      </c>
      <c r="H634" s="12" t="n">
        <v>46145</v>
      </c>
      <c r="I634" s="12" t="n">
        <v>46145</v>
      </c>
      <c r="J634" s="12" t="n">
        <v>46146</v>
      </c>
      <c r="K634" s="2" t="n">
        <v>1146</v>
      </c>
      <c r="L634" s="2" t="inlineStr">
        <is>
          <t>Air</t>
        </is>
      </c>
      <c r="M634" s="2" t="inlineStr">
        <is>
          <t>No Delay</t>
        </is>
      </c>
      <c r="N634" s="4">
        <f>IF(I634&lt;=H634,1,0)</f>
        <v/>
      </c>
      <c r="O634" s="4">
        <f>IF(J634&lt;=G634,1,0)</f>
        <v/>
      </c>
      <c r="P634" s="4">
        <f>MAX(0,I634-H634)</f>
        <v/>
      </c>
      <c r="Q634" s="4">
        <f>MAX(0,J634-G634)</f>
        <v/>
      </c>
      <c r="R634" s="4">
        <f>IF(AND(N634=1,O634=1),"On Track",IF(O634=0,"Customer Delivery Late","Ship Late"))</f>
        <v/>
      </c>
    </row>
    <row r="635">
      <c r="A635" s="2" t="inlineStr">
        <is>
          <t>ORD-00634</t>
        </is>
      </c>
      <c r="B635" s="2" t="inlineStr">
        <is>
          <t>Customer 20</t>
        </is>
      </c>
      <c r="C635" s="2" t="inlineStr">
        <is>
          <t>Sensor</t>
        </is>
      </c>
      <c r="D635" s="2" t="inlineStr">
        <is>
          <t>Plant C</t>
        </is>
      </c>
      <c r="E635" s="2" t="inlineStr">
        <is>
          <t>Export</t>
        </is>
      </c>
      <c r="F635" s="12" t="n">
        <v>46033</v>
      </c>
      <c r="G635" s="12" t="n">
        <v>46038</v>
      </c>
      <c r="H635" s="12" t="n">
        <v>46034</v>
      </c>
      <c r="I635" s="12" t="n">
        <v>46034</v>
      </c>
      <c r="J635" s="12" t="n">
        <v>46042</v>
      </c>
      <c r="K635" s="2" t="n">
        <v>729</v>
      </c>
      <c r="L635" s="2" t="inlineStr">
        <is>
          <t>Sea</t>
        </is>
      </c>
      <c r="M635" s="2" t="inlineStr">
        <is>
          <t>Carrier Delay</t>
        </is>
      </c>
      <c r="N635" s="4">
        <f>IF(I635&lt;=H635,1,0)</f>
        <v/>
      </c>
      <c r="O635" s="4">
        <f>IF(J635&lt;=G635,1,0)</f>
        <v/>
      </c>
      <c r="P635" s="4">
        <f>MAX(0,I635-H635)</f>
        <v/>
      </c>
      <c r="Q635" s="4">
        <f>MAX(0,J635-G635)</f>
        <v/>
      </c>
      <c r="R635" s="4">
        <f>IF(AND(N635=1,O635=1),"On Track",IF(O635=0,"Customer Delivery Late","Ship Late"))</f>
        <v/>
      </c>
    </row>
    <row r="636">
      <c r="A636" s="2" t="inlineStr">
        <is>
          <t>ORD-00635</t>
        </is>
      </c>
      <c r="B636" s="2" t="inlineStr">
        <is>
          <t>Customer 23</t>
        </is>
      </c>
      <c r="C636" s="2" t="inlineStr">
        <is>
          <t>Contactor</t>
        </is>
      </c>
      <c r="D636" s="2" t="inlineStr">
        <is>
          <t>Plant A</t>
        </is>
      </c>
      <c r="E636" s="2" t="inlineStr">
        <is>
          <t>South</t>
        </is>
      </c>
      <c r="F636" s="12" t="n">
        <v>46077</v>
      </c>
      <c r="G636" s="12" t="n">
        <v>46100</v>
      </c>
      <c r="H636" s="12" t="n">
        <v>46095</v>
      </c>
      <c r="I636" s="12" t="n">
        <v>46093</v>
      </c>
      <c r="J636" s="12" t="n">
        <v>46098</v>
      </c>
      <c r="K636" s="2" t="n">
        <v>894</v>
      </c>
      <c r="L636" s="2" t="inlineStr">
        <is>
          <t>Road</t>
        </is>
      </c>
      <c r="M636" s="2" t="inlineStr">
        <is>
          <t>No Delay</t>
        </is>
      </c>
      <c r="N636" s="4">
        <f>IF(I636&lt;=H636,1,0)</f>
        <v/>
      </c>
      <c r="O636" s="4">
        <f>IF(J636&lt;=G636,1,0)</f>
        <v/>
      </c>
      <c r="P636" s="4">
        <f>MAX(0,I636-H636)</f>
        <v/>
      </c>
      <c r="Q636" s="4">
        <f>MAX(0,J636-G636)</f>
        <v/>
      </c>
      <c r="R636" s="4">
        <f>IF(AND(N636=1,O636=1),"On Track",IF(O636=0,"Customer Delivery Late","Ship Late"))</f>
        <v/>
      </c>
    </row>
    <row r="637">
      <c r="A637" s="2" t="inlineStr">
        <is>
          <t>ORD-00636</t>
        </is>
      </c>
      <c r="B637" s="2" t="inlineStr">
        <is>
          <t>Customer 22</t>
        </is>
      </c>
      <c r="C637" s="2" t="inlineStr">
        <is>
          <t>Drive</t>
        </is>
      </c>
      <c r="D637" s="2" t="inlineStr">
        <is>
          <t>Plant B</t>
        </is>
      </c>
      <c r="E637" s="2" t="inlineStr">
        <is>
          <t>Central</t>
        </is>
      </c>
      <c r="F637" s="12" t="n">
        <v>46179</v>
      </c>
      <c r="G637" s="12" t="n">
        <v>46200</v>
      </c>
      <c r="H637" s="12" t="n">
        <v>46197</v>
      </c>
      <c r="I637" s="12" t="n">
        <v>46196</v>
      </c>
      <c r="J637" s="12" t="n">
        <v>46199</v>
      </c>
      <c r="K637" s="2" t="n">
        <v>951</v>
      </c>
      <c r="L637" s="2" t="inlineStr">
        <is>
          <t>Sea</t>
        </is>
      </c>
      <c r="M637" s="2" t="inlineStr">
        <is>
          <t>No Delay</t>
        </is>
      </c>
      <c r="N637" s="4">
        <f>IF(I637&lt;=H637,1,0)</f>
        <v/>
      </c>
      <c r="O637" s="4">
        <f>IF(J637&lt;=G637,1,0)</f>
        <v/>
      </c>
      <c r="P637" s="4">
        <f>MAX(0,I637-H637)</f>
        <v/>
      </c>
      <c r="Q637" s="4">
        <f>MAX(0,J637-G637)</f>
        <v/>
      </c>
      <c r="R637" s="4">
        <f>IF(AND(N637=1,O637=1),"On Track",IF(O637=0,"Customer Delivery Late","Ship Late"))</f>
        <v/>
      </c>
    </row>
    <row r="638">
      <c r="A638" s="2" t="inlineStr">
        <is>
          <t>ORD-00637</t>
        </is>
      </c>
      <c r="B638" s="2" t="inlineStr">
        <is>
          <t>Customer 22</t>
        </is>
      </c>
      <c r="C638" s="2" t="inlineStr">
        <is>
          <t>Relay</t>
        </is>
      </c>
      <c r="D638" s="2" t="inlineStr">
        <is>
          <t>Plant B</t>
        </is>
      </c>
      <c r="E638" s="2" t="inlineStr">
        <is>
          <t>Export</t>
        </is>
      </c>
      <c r="F638" s="12" t="n">
        <v>46107</v>
      </c>
      <c r="G638" s="12" t="n">
        <v>46112</v>
      </c>
      <c r="H638" s="12" t="n">
        <v>46110</v>
      </c>
      <c r="I638" s="12" t="n">
        <v>46108</v>
      </c>
      <c r="J638" s="12" t="n">
        <v>46109</v>
      </c>
      <c r="K638" s="2" t="n">
        <v>814</v>
      </c>
      <c r="L638" s="2" t="inlineStr">
        <is>
          <t>Sea</t>
        </is>
      </c>
      <c r="M638" s="2" t="inlineStr">
        <is>
          <t>No Delay</t>
        </is>
      </c>
      <c r="N638" s="4">
        <f>IF(I638&lt;=H638,1,0)</f>
        <v/>
      </c>
      <c r="O638" s="4">
        <f>IF(J638&lt;=G638,1,0)</f>
        <v/>
      </c>
      <c r="P638" s="4">
        <f>MAX(0,I638-H638)</f>
        <v/>
      </c>
      <c r="Q638" s="4">
        <f>MAX(0,J638-G638)</f>
        <v/>
      </c>
      <c r="R638" s="4">
        <f>IF(AND(N638=1,O638=1),"On Track",IF(O638=0,"Customer Delivery Late","Ship Late"))</f>
        <v/>
      </c>
    </row>
    <row r="639">
      <c r="A639" s="2" t="inlineStr">
        <is>
          <t>ORD-00638</t>
        </is>
      </c>
      <c r="B639" s="2" t="inlineStr">
        <is>
          <t>Customer 27</t>
        </is>
      </c>
      <c r="C639" s="2" t="inlineStr">
        <is>
          <t>Power Supply</t>
        </is>
      </c>
      <c r="D639" s="2" t="inlineStr">
        <is>
          <t>Plant C</t>
        </is>
      </c>
      <c r="E639" s="2" t="inlineStr">
        <is>
          <t>South</t>
        </is>
      </c>
      <c r="F639" s="12" t="n">
        <v>46043</v>
      </c>
      <c r="G639" s="12" t="n">
        <v>46068</v>
      </c>
      <c r="H639" s="12" t="n">
        <v>46067</v>
      </c>
      <c r="I639" s="12" t="n">
        <v>46067</v>
      </c>
      <c r="J639" s="12" t="n">
        <v>46068</v>
      </c>
      <c r="K639" s="2" t="n">
        <v>802</v>
      </c>
      <c r="L639" s="2" t="inlineStr">
        <is>
          <t>Road</t>
        </is>
      </c>
      <c r="M639" s="2" t="inlineStr">
        <is>
          <t>No Delay</t>
        </is>
      </c>
      <c r="N639" s="4">
        <f>IF(I639&lt;=H639,1,0)</f>
        <v/>
      </c>
      <c r="O639" s="4">
        <f>IF(J639&lt;=G639,1,0)</f>
        <v/>
      </c>
      <c r="P639" s="4">
        <f>MAX(0,I639-H639)</f>
        <v/>
      </c>
      <c r="Q639" s="4">
        <f>MAX(0,J639-G639)</f>
        <v/>
      </c>
      <c r="R639" s="4">
        <f>IF(AND(N639=1,O639=1),"On Track",IF(O639=0,"Customer Delivery Late","Ship Late"))</f>
        <v/>
      </c>
    </row>
    <row r="640">
      <c r="A640" s="2" t="inlineStr">
        <is>
          <t>ORD-00639</t>
        </is>
      </c>
      <c r="B640" s="2" t="inlineStr">
        <is>
          <t>Customer 01</t>
        </is>
      </c>
      <c r="C640" s="2" t="inlineStr">
        <is>
          <t>Sensor</t>
        </is>
      </c>
      <c r="D640" s="2" t="inlineStr">
        <is>
          <t>Plant C</t>
        </is>
      </c>
      <c r="E640" s="2" t="inlineStr">
        <is>
          <t>South</t>
        </is>
      </c>
      <c r="F640" s="12" t="n">
        <v>46201</v>
      </c>
      <c r="G640" s="12" t="n">
        <v>46206</v>
      </c>
      <c r="H640" s="12" t="n">
        <v>46205</v>
      </c>
      <c r="I640" s="12" t="n">
        <v>46203</v>
      </c>
      <c r="J640" s="12" t="n">
        <v>46204</v>
      </c>
      <c r="K640" s="2" t="n">
        <v>402</v>
      </c>
      <c r="L640" s="2" t="inlineStr">
        <is>
          <t>Road</t>
        </is>
      </c>
      <c r="M640" s="2" t="inlineStr">
        <is>
          <t>No Delay</t>
        </is>
      </c>
      <c r="N640" s="4">
        <f>IF(I640&lt;=H640,1,0)</f>
        <v/>
      </c>
      <c r="O640" s="4">
        <f>IF(J640&lt;=G640,1,0)</f>
        <v/>
      </c>
      <c r="P640" s="4">
        <f>MAX(0,I640-H640)</f>
        <v/>
      </c>
      <c r="Q640" s="4">
        <f>MAX(0,J640-G640)</f>
        <v/>
      </c>
      <c r="R640" s="4">
        <f>IF(AND(N640=1,O640=1),"On Track",IF(O640=0,"Customer Delivery Late","Ship Late"))</f>
        <v/>
      </c>
    </row>
    <row r="641">
      <c r="A641" s="2" t="inlineStr">
        <is>
          <t>ORD-00640</t>
        </is>
      </c>
      <c r="B641" s="2" t="inlineStr">
        <is>
          <t>Customer 02</t>
        </is>
      </c>
      <c r="C641" s="2" t="inlineStr">
        <is>
          <t>Sensor</t>
        </is>
      </c>
      <c r="D641" s="2" t="inlineStr">
        <is>
          <t>Plant B</t>
        </is>
      </c>
      <c r="E641" s="2" t="inlineStr">
        <is>
          <t>Central</t>
        </is>
      </c>
      <c r="F641" s="12" t="n">
        <v>46180</v>
      </c>
      <c r="G641" s="12" t="n">
        <v>46205</v>
      </c>
      <c r="H641" s="12" t="n">
        <v>46202</v>
      </c>
      <c r="I641" s="12" t="n">
        <v>46200</v>
      </c>
      <c r="J641" s="12" t="n">
        <v>46203</v>
      </c>
      <c r="K641" s="2" t="n">
        <v>24</v>
      </c>
      <c r="L641" s="2" t="inlineStr">
        <is>
          <t>Road</t>
        </is>
      </c>
      <c r="M641" s="2" t="inlineStr">
        <is>
          <t>No Delay</t>
        </is>
      </c>
      <c r="N641" s="4">
        <f>IF(I641&lt;=H641,1,0)</f>
        <v/>
      </c>
      <c r="O641" s="4">
        <f>IF(J641&lt;=G641,1,0)</f>
        <v/>
      </c>
      <c r="P641" s="4">
        <f>MAX(0,I641-H641)</f>
        <v/>
      </c>
      <c r="Q641" s="4">
        <f>MAX(0,J641-G641)</f>
        <v/>
      </c>
      <c r="R641" s="4">
        <f>IF(AND(N641=1,O641=1),"On Track",IF(O641=0,"Customer Delivery Late","Ship Late"))</f>
        <v/>
      </c>
    </row>
    <row r="642">
      <c r="A642" s="2" t="inlineStr">
        <is>
          <t>ORD-00641</t>
        </is>
      </c>
      <c r="B642" s="2" t="inlineStr">
        <is>
          <t>Customer 22</t>
        </is>
      </c>
      <c r="C642" s="2" t="inlineStr">
        <is>
          <t>Relay</t>
        </is>
      </c>
      <c r="D642" s="2" t="inlineStr">
        <is>
          <t>Plant A</t>
        </is>
      </c>
      <c r="E642" s="2" t="inlineStr">
        <is>
          <t>Central</t>
        </is>
      </c>
      <c r="F642" s="12" t="n">
        <v>46186</v>
      </c>
      <c r="G642" s="12" t="n">
        <v>46203</v>
      </c>
      <c r="H642" s="12" t="n">
        <v>46202</v>
      </c>
      <c r="I642" s="12" t="n">
        <v>46202</v>
      </c>
      <c r="J642" s="12" t="n">
        <v>46203</v>
      </c>
      <c r="K642" s="2" t="n">
        <v>143</v>
      </c>
      <c r="L642" s="2" t="inlineStr">
        <is>
          <t>Road</t>
        </is>
      </c>
      <c r="M642" s="2" t="inlineStr">
        <is>
          <t>No Delay</t>
        </is>
      </c>
      <c r="N642" s="4">
        <f>IF(I642&lt;=H642,1,0)</f>
        <v/>
      </c>
      <c r="O642" s="4">
        <f>IF(J642&lt;=G642,1,0)</f>
        <v/>
      </c>
      <c r="P642" s="4">
        <f>MAX(0,I642-H642)</f>
        <v/>
      </c>
      <c r="Q642" s="4">
        <f>MAX(0,J642-G642)</f>
        <v/>
      </c>
      <c r="R642" s="4">
        <f>IF(AND(N642=1,O642=1),"On Track",IF(O642=0,"Customer Delivery Late","Ship Late"))</f>
        <v/>
      </c>
    </row>
    <row r="643">
      <c r="A643" s="2" t="inlineStr">
        <is>
          <t>ORD-00642</t>
        </is>
      </c>
      <c r="B643" s="2" t="inlineStr">
        <is>
          <t>Customer 01</t>
        </is>
      </c>
      <c r="C643" s="2" t="inlineStr">
        <is>
          <t>Sensor</t>
        </is>
      </c>
      <c r="D643" s="2" t="inlineStr">
        <is>
          <t>Plant C</t>
        </is>
      </c>
      <c r="E643" s="2" t="inlineStr">
        <is>
          <t>Export</t>
        </is>
      </c>
      <c r="F643" s="12" t="n">
        <v>46089</v>
      </c>
      <c r="G643" s="12" t="n">
        <v>46112</v>
      </c>
      <c r="H643" s="12" t="n">
        <v>46110</v>
      </c>
      <c r="I643" s="12" t="n">
        <v>46110</v>
      </c>
      <c r="J643" s="12" t="n">
        <v>46112</v>
      </c>
      <c r="K643" s="2" t="n">
        <v>14</v>
      </c>
      <c r="L643" s="2" t="inlineStr">
        <is>
          <t>Air</t>
        </is>
      </c>
      <c r="M643" s="2" t="inlineStr">
        <is>
          <t>No Delay</t>
        </is>
      </c>
      <c r="N643" s="4">
        <f>IF(I643&lt;=H643,1,0)</f>
        <v/>
      </c>
      <c r="O643" s="4">
        <f>IF(J643&lt;=G643,1,0)</f>
        <v/>
      </c>
      <c r="P643" s="4">
        <f>MAX(0,I643-H643)</f>
        <v/>
      </c>
      <c r="Q643" s="4">
        <f>MAX(0,J643-G643)</f>
        <v/>
      </c>
      <c r="R643" s="4">
        <f>IF(AND(N643=1,O643=1),"On Track",IF(O643=0,"Customer Delivery Late","Ship Late"))</f>
        <v/>
      </c>
    </row>
    <row r="644">
      <c r="A644" s="2" t="inlineStr">
        <is>
          <t>ORD-00643</t>
        </is>
      </c>
      <c r="B644" s="2" t="inlineStr">
        <is>
          <t>Customer 22</t>
        </is>
      </c>
      <c r="C644" s="2" t="inlineStr">
        <is>
          <t>Switchgear</t>
        </is>
      </c>
      <c r="D644" s="2" t="inlineStr">
        <is>
          <t>Plant B</t>
        </is>
      </c>
      <c r="E644" s="2" t="inlineStr">
        <is>
          <t>South</t>
        </is>
      </c>
      <c r="F644" s="12" t="n">
        <v>46187</v>
      </c>
      <c r="G644" s="12" t="n">
        <v>46212</v>
      </c>
      <c r="H644" s="12" t="n">
        <v>46211</v>
      </c>
      <c r="I644" s="12" t="n">
        <v>46210</v>
      </c>
      <c r="J644" s="12" t="n">
        <v>46211</v>
      </c>
      <c r="K644" s="2" t="n">
        <v>1069</v>
      </c>
      <c r="L644" s="2" t="inlineStr">
        <is>
          <t>Road</t>
        </is>
      </c>
      <c r="M644" s="2" t="inlineStr">
        <is>
          <t>No Delay</t>
        </is>
      </c>
      <c r="N644" s="4">
        <f>IF(I644&lt;=H644,1,0)</f>
        <v/>
      </c>
      <c r="O644" s="4">
        <f>IF(J644&lt;=G644,1,0)</f>
        <v/>
      </c>
      <c r="P644" s="4">
        <f>MAX(0,I644-H644)</f>
        <v/>
      </c>
      <c r="Q644" s="4">
        <f>MAX(0,J644-G644)</f>
        <v/>
      </c>
      <c r="R644" s="4">
        <f>IF(AND(N644=1,O644=1),"On Track",IF(O644=0,"Customer Delivery Late","Ship Late"))</f>
        <v/>
      </c>
    </row>
    <row r="645">
      <c r="A645" s="2" t="inlineStr">
        <is>
          <t>ORD-00644</t>
        </is>
      </c>
      <c r="B645" s="2" t="inlineStr">
        <is>
          <t>Customer 03</t>
        </is>
      </c>
      <c r="C645" s="2" t="inlineStr">
        <is>
          <t>Breaker</t>
        </is>
      </c>
      <c r="D645" s="2" t="inlineStr">
        <is>
          <t>Plant C</t>
        </is>
      </c>
      <c r="E645" s="2" t="inlineStr">
        <is>
          <t>Central</t>
        </is>
      </c>
      <c r="F645" s="12" t="n">
        <v>46080</v>
      </c>
      <c r="G645" s="12" t="n">
        <v>46086</v>
      </c>
      <c r="H645" s="12" t="n">
        <v>46083</v>
      </c>
      <c r="I645" s="12" t="n">
        <v>46083</v>
      </c>
      <c r="J645" s="12" t="n">
        <v>46088</v>
      </c>
      <c r="K645" s="2" t="n">
        <v>1422</v>
      </c>
      <c r="L645" s="2" t="inlineStr">
        <is>
          <t>Air</t>
        </is>
      </c>
      <c r="M645" s="2" t="inlineStr">
        <is>
          <t>Carrier Delay</t>
        </is>
      </c>
      <c r="N645" s="4">
        <f>IF(I645&lt;=H645,1,0)</f>
        <v/>
      </c>
      <c r="O645" s="4">
        <f>IF(J645&lt;=G645,1,0)</f>
        <v/>
      </c>
      <c r="P645" s="4">
        <f>MAX(0,I645-H645)</f>
        <v/>
      </c>
      <c r="Q645" s="4">
        <f>MAX(0,J645-G645)</f>
        <v/>
      </c>
      <c r="R645" s="4">
        <f>IF(AND(N645=1,O645=1),"On Track",IF(O645=0,"Customer Delivery Late","Ship Late"))</f>
        <v/>
      </c>
    </row>
    <row r="646">
      <c r="A646" s="2" t="inlineStr">
        <is>
          <t>ORD-00645</t>
        </is>
      </c>
      <c r="B646" s="2" t="inlineStr">
        <is>
          <t>Customer 14</t>
        </is>
      </c>
      <c r="C646" s="2" t="inlineStr">
        <is>
          <t>Breaker</t>
        </is>
      </c>
      <c r="D646" s="2" t="inlineStr">
        <is>
          <t>Plant C</t>
        </is>
      </c>
      <c r="E646" s="2" t="inlineStr">
        <is>
          <t>South</t>
        </is>
      </c>
      <c r="F646" s="12" t="n">
        <v>46042</v>
      </c>
      <c r="G646" s="12" t="n">
        <v>46054</v>
      </c>
      <c r="H646" s="12" t="n">
        <v>46052</v>
      </c>
      <c r="I646" s="12" t="n">
        <v>46051</v>
      </c>
      <c r="J646" s="12" t="n">
        <v>46052</v>
      </c>
      <c r="K646" s="2" t="n">
        <v>522</v>
      </c>
      <c r="L646" s="2" t="inlineStr">
        <is>
          <t>Road</t>
        </is>
      </c>
      <c r="M646" s="2" t="inlineStr">
        <is>
          <t>No Delay</t>
        </is>
      </c>
      <c r="N646" s="4">
        <f>IF(I646&lt;=H646,1,0)</f>
        <v/>
      </c>
      <c r="O646" s="4">
        <f>IF(J646&lt;=G646,1,0)</f>
        <v/>
      </c>
      <c r="P646" s="4">
        <f>MAX(0,I646-H646)</f>
        <v/>
      </c>
      <c r="Q646" s="4">
        <f>MAX(0,J646-G646)</f>
        <v/>
      </c>
      <c r="R646" s="4">
        <f>IF(AND(N646=1,O646=1),"On Track",IF(O646=0,"Customer Delivery Late","Ship Late"))</f>
        <v/>
      </c>
    </row>
    <row r="647">
      <c r="A647" s="2" t="inlineStr">
        <is>
          <t>ORD-00646</t>
        </is>
      </c>
      <c r="B647" s="2" t="inlineStr">
        <is>
          <t>Customer 03</t>
        </is>
      </c>
      <c r="C647" s="2" t="inlineStr">
        <is>
          <t>Switchgear</t>
        </is>
      </c>
      <c r="D647" s="2" t="inlineStr">
        <is>
          <t>Plant A</t>
        </is>
      </c>
      <c r="E647" s="2" t="inlineStr">
        <is>
          <t>Export</t>
        </is>
      </c>
      <c r="F647" s="12" t="n">
        <v>46050</v>
      </c>
      <c r="G647" s="12" t="n">
        <v>46070</v>
      </c>
      <c r="H647" s="12" t="n">
        <v>46068</v>
      </c>
      <c r="I647" s="12" t="n">
        <v>46066</v>
      </c>
      <c r="J647" s="12" t="n">
        <v>46069</v>
      </c>
      <c r="K647" s="2" t="n">
        <v>1195</v>
      </c>
      <c r="L647" s="2" t="inlineStr">
        <is>
          <t>Road</t>
        </is>
      </c>
      <c r="M647" s="2" t="inlineStr">
        <is>
          <t>No Delay</t>
        </is>
      </c>
      <c r="N647" s="4">
        <f>IF(I647&lt;=H647,1,0)</f>
        <v/>
      </c>
      <c r="O647" s="4">
        <f>IF(J647&lt;=G647,1,0)</f>
        <v/>
      </c>
      <c r="P647" s="4">
        <f>MAX(0,I647-H647)</f>
        <v/>
      </c>
      <c r="Q647" s="4">
        <f>MAX(0,J647-G647)</f>
        <v/>
      </c>
      <c r="R647" s="4">
        <f>IF(AND(N647=1,O647=1),"On Track",IF(O647=0,"Customer Delivery Late","Ship Late"))</f>
        <v/>
      </c>
    </row>
    <row r="648">
      <c r="A648" s="2" t="inlineStr">
        <is>
          <t>ORD-00647</t>
        </is>
      </c>
      <c r="B648" s="2" t="inlineStr">
        <is>
          <t>Customer 26</t>
        </is>
      </c>
      <c r="C648" s="2" t="inlineStr">
        <is>
          <t>Switchgear</t>
        </is>
      </c>
      <c r="D648" s="2" t="inlineStr">
        <is>
          <t>Plant A</t>
        </is>
      </c>
      <c r="E648" s="2" t="inlineStr">
        <is>
          <t>South</t>
        </is>
      </c>
      <c r="F648" s="12" t="n">
        <v>46044</v>
      </c>
      <c r="G648" s="12" t="n">
        <v>46050</v>
      </c>
      <c r="H648" s="12" t="n">
        <v>46049</v>
      </c>
      <c r="I648" s="12" t="n">
        <v>46049</v>
      </c>
      <c r="J648" s="12" t="n">
        <v>46050</v>
      </c>
      <c r="K648" s="2" t="n">
        <v>1260</v>
      </c>
      <c r="L648" s="2" t="inlineStr">
        <is>
          <t>Sea</t>
        </is>
      </c>
      <c r="M648" s="2" t="inlineStr">
        <is>
          <t>No Delay</t>
        </is>
      </c>
      <c r="N648" s="4">
        <f>IF(I648&lt;=H648,1,0)</f>
        <v/>
      </c>
      <c r="O648" s="4">
        <f>IF(J648&lt;=G648,1,0)</f>
        <v/>
      </c>
      <c r="P648" s="4">
        <f>MAX(0,I648-H648)</f>
        <v/>
      </c>
      <c r="Q648" s="4">
        <f>MAX(0,J648-G648)</f>
        <v/>
      </c>
      <c r="R648" s="4">
        <f>IF(AND(N648=1,O648=1),"On Track",IF(O648=0,"Customer Delivery Late","Ship Late"))</f>
        <v/>
      </c>
    </row>
    <row r="649">
      <c r="A649" s="2" t="inlineStr">
        <is>
          <t>ORD-00648</t>
        </is>
      </c>
      <c r="B649" s="2" t="inlineStr">
        <is>
          <t>Customer 13</t>
        </is>
      </c>
      <c r="C649" s="2" t="inlineStr">
        <is>
          <t>Contactor</t>
        </is>
      </c>
      <c r="D649" s="2" t="inlineStr">
        <is>
          <t>Plant C</t>
        </is>
      </c>
      <c r="E649" s="2" t="inlineStr">
        <is>
          <t>Export</t>
        </is>
      </c>
      <c r="F649" s="12" t="n">
        <v>46133</v>
      </c>
      <c r="G649" s="12" t="n">
        <v>46140</v>
      </c>
      <c r="H649" s="12" t="n">
        <v>46139</v>
      </c>
      <c r="I649" s="12" t="n">
        <v>46139</v>
      </c>
      <c r="J649" s="12" t="n">
        <v>46140</v>
      </c>
      <c r="K649" s="2" t="n">
        <v>487</v>
      </c>
      <c r="L649" s="2" t="inlineStr">
        <is>
          <t>Sea</t>
        </is>
      </c>
      <c r="M649" s="2" t="inlineStr">
        <is>
          <t>No Delay</t>
        </is>
      </c>
      <c r="N649" s="4">
        <f>IF(I649&lt;=H649,1,0)</f>
        <v/>
      </c>
      <c r="O649" s="4">
        <f>IF(J649&lt;=G649,1,0)</f>
        <v/>
      </c>
      <c r="P649" s="4">
        <f>MAX(0,I649-H649)</f>
        <v/>
      </c>
      <c r="Q649" s="4">
        <f>MAX(0,J649-G649)</f>
        <v/>
      </c>
      <c r="R649" s="4">
        <f>IF(AND(N649=1,O649=1),"On Track",IF(O649=0,"Customer Delivery Late","Ship Late"))</f>
        <v/>
      </c>
    </row>
    <row r="650">
      <c r="A650" s="2" t="inlineStr">
        <is>
          <t>ORD-00649</t>
        </is>
      </c>
      <c r="B650" s="2" t="inlineStr">
        <is>
          <t>Customer 11</t>
        </is>
      </c>
      <c r="C650" s="2" t="inlineStr">
        <is>
          <t>Breaker</t>
        </is>
      </c>
      <c r="D650" s="2" t="inlineStr">
        <is>
          <t>Plant B</t>
        </is>
      </c>
      <c r="E650" s="2" t="inlineStr">
        <is>
          <t>South</t>
        </is>
      </c>
      <c r="F650" s="12" t="n">
        <v>46191</v>
      </c>
      <c r="G650" s="12" t="n">
        <v>46215</v>
      </c>
      <c r="H650" s="12" t="n">
        <v>46214</v>
      </c>
      <c r="I650" s="12" t="n">
        <v>46213</v>
      </c>
      <c r="J650" s="12" t="n">
        <v>46215</v>
      </c>
      <c r="K650" s="2" t="n">
        <v>1213</v>
      </c>
      <c r="L650" s="2" t="inlineStr">
        <is>
          <t>Road</t>
        </is>
      </c>
      <c r="M650" s="2" t="inlineStr">
        <is>
          <t>No Delay</t>
        </is>
      </c>
      <c r="N650" s="4">
        <f>IF(I650&lt;=H650,1,0)</f>
        <v/>
      </c>
      <c r="O650" s="4">
        <f>IF(J650&lt;=G650,1,0)</f>
        <v/>
      </c>
      <c r="P650" s="4">
        <f>MAX(0,I650-H650)</f>
        <v/>
      </c>
      <c r="Q650" s="4">
        <f>MAX(0,J650-G650)</f>
        <v/>
      </c>
      <c r="R650" s="4">
        <f>IF(AND(N650=1,O650=1),"On Track",IF(O650=0,"Customer Delivery Late","Ship Late"))</f>
        <v/>
      </c>
    </row>
    <row r="651">
      <c r="A651" s="2" t="inlineStr">
        <is>
          <t>ORD-00650</t>
        </is>
      </c>
      <c r="B651" s="2" t="inlineStr">
        <is>
          <t>Customer 17</t>
        </is>
      </c>
      <c r="C651" s="2" t="inlineStr">
        <is>
          <t>Sensor</t>
        </is>
      </c>
      <c r="D651" s="2" t="inlineStr">
        <is>
          <t>Plant B</t>
        </is>
      </c>
      <c r="E651" s="2" t="inlineStr">
        <is>
          <t>Export</t>
        </is>
      </c>
      <c r="F651" s="12" t="n">
        <v>46050</v>
      </c>
      <c r="G651" s="12" t="n">
        <v>46058</v>
      </c>
      <c r="H651" s="12" t="n">
        <v>46057</v>
      </c>
      <c r="I651" s="12" t="n">
        <v>46055</v>
      </c>
      <c r="J651" s="12" t="n">
        <v>46057</v>
      </c>
      <c r="K651" s="2" t="n">
        <v>995</v>
      </c>
      <c r="L651" s="2" t="inlineStr">
        <is>
          <t>Sea</t>
        </is>
      </c>
      <c r="M651" s="2" t="inlineStr">
        <is>
          <t>No Delay</t>
        </is>
      </c>
      <c r="N651" s="4">
        <f>IF(I651&lt;=H651,1,0)</f>
        <v/>
      </c>
      <c r="O651" s="4">
        <f>IF(J651&lt;=G651,1,0)</f>
        <v/>
      </c>
      <c r="P651" s="4">
        <f>MAX(0,I651-H651)</f>
        <v/>
      </c>
      <c r="Q651" s="4">
        <f>MAX(0,J651-G651)</f>
        <v/>
      </c>
      <c r="R651" s="4">
        <f>IF(AND(N651=1,O651=1),"On Track",IF(O651=0,"Customer Delivery Late","Ship Late"))</f>
        <v/>
      </c>
    </row>
    <row r="652">
      <c r="A652" s="2" t="inlineStr">
        <is>
          <t>ORD-00651</t>
        </is>
      </c>
      <c r="B652" s="2" t="inlineStr">
        <is>
          <t>Customer 14</t>
        </is>
      </c>
      <c r="C652" s="2" t="inlineStr">
        <is>
          <t>Drive</t>
        </is>
      </c>
      <c r="D652" s="2" t="inlineStr">
        <is>
          <t>Plant B</t>
        </is>
      </c>
      <c r="E652" s="2" t="inlineStr">
        <is>
          <t>Central</t>
        </is>
      </c>
      <c r="F652" s="12" t="n">
        <v>46181</v>
      </c>
      <c r="G652" s="12" t="n">
        <v>46200</v>
      </c>
      <c r="H652" s="12" t="n">
        <v>46198</v>
      </c>
      <c r="I652" s="12" t="n">
        <v>46196</v>
      </c>
      <c r="J652" s="12" t="n">
        <v>46198</v>
      </c>
      <c r="K652" s="2" t="n">
        <v>311</v>
      </c>
      <c r="L652" s="2" t="inlineStr">
        <is>
          <t>Air</t>
        </is>
      </c>
      <c r="M652" s="2" t="inlineStr">
        <is>
          <t>No Delay</t>
        </is>
      </c>
      <c r="N652" s="4">
        <f>IF(I652&lt;=H652,1,0)</f>
        <v/>
      </c>
      <c r="O652" s="4">
        <f>IF(J652&lt;=G652,1,0)</f>
        <v/>
      </c>
      <c r="P652" s="4">
        <f>MAX(0,I652-H652)</f>
        <v/>
      </c>
      <c r="Q652" s="4">
        <f>MAX(0,J652-G652)</f>
        <v/>
      </c>
      <c r="R652" s="4">
        <f>IF(AND(N652=1,O652=1),"On Track",IF(O652=0,"Customer Delivery Late","Ship Late"))</f>
        <v/>
      </c>
    </row>
    <row r="653">
      <c r="A653" s="2" t="inlineStr">
        <is>
          <t>ORD-00652</t>
        </is>
      </c>
      <c r="B653" s="2" t="inlineStr">
        <is>
          <t>Customer 27</t>
        </is>
      </c>
      <c r="C653" s="2" t="inlineStr">
        <is>
          <t>Breaker</t>
        </is>
      </c>
      <c r="D653" s="2" t="inlineStr">
        <is>
          <t>Plant B</t>
        </is>
      </c>
      <c r="E653" s="2" t="inlineStr">
        <is>
          <t>South</t>
        </is>
      </c>
      <c r="F653" s="12" t="n">
        <v>46102</v>
      </c>
      <c r="G653" s="12" t="n">
        <v>46126</v>
      </c>
      <c r="H653" s="12" t="n">
        <v>46123</v>
      </c>
      <c r="I653" s="12" t="n">
        <v>46121</v>
      </c>
      <c r="J653" s="12" t="n">
        <v>46123</v>
      </c>
      <c r="K653" s="2" t="n">
        <v>410</v>
      </c>
      <c r="L653" s="2" t="inlineStr">
        <is>
          <t>Road</t>
        </is>
      </c>
      <c r="M653" s="2" t="inlineStr">
        <is>
          <t>No Delay</t>
        </is>
      </c>
      <c r="N653" s="4">
        <f>IF(I653&lt;=H653,1,0)</f>
        <v/>
      </c>
      <c r="O653" s="4">
        <f>IF(J653&lt;=G653,1,0)</f>
        <v/>
      </c>
      <c r="P653" s="4">
        <f>MAX(0,I653-H653)</f>
        <v/>
      </c>
      <c r="Q653" s="4">
        <f>MAX(0,J653-G653)</f>
        <v/>
      </c>
      <c r="R653" s="4">
        <f>IF(AND(N653=1,O653=1),"On Track",IF(O653=0,"Customer Delivery Late","Ship Late"))</f>
        <v/>
      </c>
    </row>
    <row r="654">
      <c r="A654" s="2" t="inlineStr">
        <is>
          <t>ORD-00653</t>
        </is>
      </c>
      <c r="B654" s="2" t="inlineStr">
        <is>
          <t>Customer 11</t>
        </is>
      </c>
      <c r="C654" s="2" t="inlineStr">
        <is>
          <t>Drive</t>
        </is>
      </c>
      <c r="D654" s="2" t="inlineStr">
        <is>
          <t>Plant C</t>
        </is>
      </c>
      <c r="E654" s="2" t="inlineStr">
        <is>
          <t>South</t>
        </is>
      </c>
      <c r="F654" s="12" t="n">
        <v>46186</v>
      </c>
      <c r="G654" s="12" t="n">
        <v>46197</v>
      </c>
      <c r="H654" s="12" t="n">
        <v>46196</v>
      </c>
      <c r="I654" s="12" t="n">
        <v>46196</v>
      </c>
      <c r="J654" s="12" t="n">
        <v>46197</v>
      </c>
      <c r="K654" s="2" t="n">
        <v>867</v>
      </c>
      <c r="L654" s="2" t="inlineStr">
        <is>
          <t>Air</t>
        </is>
      </c>
      <c r="M654" s="2" t="inlineStr">
        <is>
          <t>No Delay</t>
        </is>
      </c>
      <c r="N654" s="4">
        <f>IF(I654&lt;=H654,1,0)</f>
        <v/>
      </c>
      <c r="O654" s="4">
        <f>IF(J654&lt;=G654,1,0)</f>
        <v/>
      </c>
      <c r="P654" s="4">
        <f>MAX(0,I654-H654)</f>
        <v/>
      </c>
      <c r="Q654" s="4">
        <f>MAX(0,J654-G654)</f>
        <v/>
      </c>
      <c r="R654" s="4">
        <f>IF(AND(N654=1,O654=1),"On Track",IF(O654=0,"Customer Delivery Late","Ship Late"))</f>
        <v/>
      </c>
    </row>
    <row r="655">
      <c r="A655" s="2" t="inlineStr">
        <is>
          <t>ORD-00654</t>
        </is>
      </c>
      <c r="B655" s="2" t="inlineStr">
        <is>
          <t>Customer 21</t>
        </is>
      </c>
      <c r="C655" s="2" t="inlineStr">
        <is>
          <t>PLC</t>
        </is>
      </c>
      <c r="D655" s="2" t="inlineStr">
        <is>
          <t>Plant C</t>
        </is>
      </c>
      <c r="E655" s="2" t="inlineStr">
        <is>
          <t>Central</t>
        </is>
      </c>
      <c r="F655" s="12" t="n">
        <v>46064</v>
      </c>
      <c r="G655" s="12" t="n">
        <v>46072</v>
      </c>
      <c r="H655" s="12" t="n">
        <v>46068</v>
      </c>
      <c r="I655" s="12" t="n">
        <v>46066</v>
      </c>
      <c r="J655" s="12" t="n">
        <v>46070</v>
      </c>
      <c r="K655" s="2" t="n">
        <v>965</v>
      </c>
      <c r="L655" s="2" t="inlineStr">
        <is>
          <t>Sea</t>
        </is>
      </c>
      <c r="M655" s="2" t="inlineStr">
        <is>
          <t>No Delay</t>
        </is>
      </c>
      <c r="N655" s="4">
        <f>IF(I655&lt;=H655,1,0)</f>
        <v/>
      </c>
      <c r="O655" s="4">
        <f>IF(J655&lt;=G655,1,0)</f>
        <v/>
      </c>
      <c r="P655" s="4">
        <f>MAX(0,I655-H655)</f>
        <v/>
      </c>
      <c r="Q655" s="4">
        <f>MAX(0,J655-G655)</f>
        <v/>
      </c>
      <c r="R655" s="4">
        <f>IF(AND(N655=1,O655=1),"On Track",IF(O655=0,"Customer Delivery Late","Ship Late"))</f>
        <v/>
      </c>
    </row>
    <row r="656">
      <c r="A656" s="2" t="inlineStr">
        <is>
          <t>ORD-00655</t>
        </is>
      </c>
      <c r="B656" s="2" t="inlineStr">
        <is>
          <t>Customer 27</t>
        </is>
      </c>
      <c r="C656" s="2" t="inlineStr">
        <is>
          <t>Breaker</t>
        </is>
      </c>
      <c r="D656" s="2" t="inlineStr">
        <is>
          <t>Plant B</t>
        </is>
      </c>
      <c r="E656" s="2" t="inlineStr">
        <is>
          <t>North</t>
        </is>
      </c>
      <c r="F656" s="12" t="n">
        <v>46077</v>
      </c>
      <c r="G656" s="12" t="n">
        <v>46089</v>
      </c>
      <c r="H656" s="12" t="n">
        <v>46085</v>
      </c>
      <c r="I656" s="12" t="n">
        <v>46084</v>
      </c>
      <c r="J656" s="12" t="n">
        <v>46088</v>
      </c>
      <c r="K656" s="2" t="n">
        <v>161</v>
      </c>
      <c r="L656" s="2" t="inlineStr">
        <is>
          <t>Air</t>
        </is>
      </c>
      <c r="M656" s="2" t="inlineStr">
        <is>
          <t>No Delay</t>
        </is>
      </c>
      <c r="N656" s="4">
        <f>IF(I656&lt;=H656,1,0)</f>
        <v/>
      </c>
      <c r="O656" s="4">
        <f>IF(J656&lt;=G656,1,0)</f>
        <v/>
      </c>
      <c r="P656" s="4">
        <f>MAX(0,I656-H656)</f>
        <v/>
      </c>
      <c r="Q656" s="4">
        <f>MAX(0,J656-G656)</f>
        <v/>
      </c>
      <c r="R656" s="4">
        <f>IF(AND(N656=1,O656=1),"On Track",IF(O656=0,"Customer Delivery Late","Ship Late"))</f>
        <v/>
      </c>
    </row>
    <row r="657">
      <c r="A657" s="2" t="inlineStr">
        <is>
          <t>ORD-00656</t>
        </is>
      </c>
      <c r="B657" s="2" t="inlineStr">
        <is>
          <t>Customer 12</t>
        </is>
      </c>
      <c r="C657" s="2" t="inlineStr">
        <is>
          <t>Breaker</t>
        </is>
      </c>
      <c r="D657" s="2" t="inlineStr">
        <is>
          <t>Plant A</t>
        </is>
      </c>
      <c r="E657" s="2" t="inlineStr">
        <is>
          <t>Central</t>
        </is>
      </c>
      <c r="F657" s="12" t="n">
        <v>46030</v>
      </c>
      <c r="G657" s="12" t="n">
        <v>46052</v>
      </c>
      <c r="H657" s="12" t="n">
        <v>46051</v>
      </c>
      <c r="I657" s="12" t="n">
        <v>46050</v>
      </c>
      <c r="J657" s="12" t="n">
        <v>46052</v>
      </c>
      <c r="K657" s="2" t="n">
        <v>415</v>
      </c>
      <c r="L657" s="2" t="inlineStr">
        <is>
          <t>Air</t>
        </is>
      </c>
      <c r="M657" s="2" t="inlineStr">
        <is>
          <t>No Delay</t>
        </is>
      </c>
      <c r="N657" s="4">
        <f>IF(I657&lt;=H657,1,0)</f>
        <v/>
      </c>
      <c r="O657" s="4">
        <f>IF(J657&lt;=G657,1,0)</f>
        <v/>
      </c>
      <c r="P657" s="4">
        <f>MAX(0,I657-H657)</f>
        <v/>
      </c>
      <c r="Q657" s="4">
        <f>MAX(0,J657-G657)</f>
        <v/>
      </c>
      <c r="R657" s="4">
        <f>IF(AND(N657=1,O657=1),"On Track",IF(O657=0,"Customer Delivery Late","Ship Late"))</f>
        <v/>
      </c>
    </row>
    <row r="658">
      <c r="A658" s="2" t="inlineStr">
        <is>
          <t>ORD-00657</t>
        </is>
      </c>
      <c r="B658" s="2" t="inlineStr">
        <is>
          <t>Customer 06</t>
        </is>
      </c>
      <c r="C658" s="2" t="inlineStr">
        <is>
          <t>Sensor</t>
        </is>
      </c>
      <c r="D658" s="2" t="inlineStr">
        <is>
          <t>Plant A</t>
        </is>
      </c>
      <c r="E658" s="2" t="inlineStr">
        <is>
          <t>North</t>
        </is>
      </c>
      <c r="F658" s="12" t="n">
        <v>46067</v>
      </c>
      <c r="G658" s="12" t="n">
        <v>46079</v>
      </c>
      <c r="H658" s="12" t="n">
        <v>46076</v>
      </c>
      <c r="I658" s="12" t="n">
        <v>46075</v>
      </c>
      <c r="J658" s="12" t="n">
        <v>46078</v>
      </c>
      <c r="K658" s="2" t="n">
        <v>1397</v>
      </c>
      <c r="L658" s="2" t="inlineStr">
        <is>
          <t>Road</t>
        </is>
      </c>
      <c r="M658" s="2" t="inlineStr">
        <is>
          <t>No Delay</t>
        </is>
      </c>
      <c r="N658" s="4">
        <f>IF(I658&lt;=H658,1,0)</f>
        <v/>
      </c>
      <c r="O658" s="4">
        <f>IF(J658&lt;=G658,1,0)</f>
        <v/>
      </c>
      <c r="P658" s="4">
        <f>MAX(0,I658-H658)</f>
        <v/>
      </c>
      <c r="Q658" s="4">
        <f>MAX(0,J658-G658)</f>
        <v/>
      </c>
      <c r="R658" s="4">
        <f>IF(AND(N658=1,O658=1),"On Track",IF(O658=0,"Customer Delivery Late","Ship Late"))</f>
        <v/>
      </c>
    </row>
    <row r="659">
      <c r="A659" s="2" t="inlineStr">
        <is>
          <t>ORD-00658</t>
        </is>
      </c>
      <c r="B659" s="2" t="inlineStr">
        <is>
          <t>Customer 26</t>
        </is>
      </c>
      <c r="C659" s="2" t="inlineStr">
        <is>
          <t>Drive</t>
        </is>
      </c>
      <c r="D659" s="2" t="inlineStr">
        <is>
          <t>Plant C</t>
        </is>
      </c>
      <c r="E659" s="2" t="inlineStr">
        <is>
          <t>Central</t>
        </is>
      </c>
      <c r="F659" s="12" t="n">
        <v>46120</v>
      </c>
      <c r="G659" s="12" t="n">
        <v>46145</v>
      </c>
      <c r="H659" s="12" t="n">
        <v>46144</v>
      </c>
      <c r="I659" s="12" t="n">
        <v>46142</v>
      </c>
      <c r="J659" s="12" t="n">
        <v>46143</v>
      </c>
      <c r="K659" s="2" t="n">
        <v>1089</v>
      </c>
      <c r="L659" s="2" t="inlineStr">
        <is>
          <t>Sea</t>
        </is>
      </c>
      <c r="M659" s="2" t="inlineStr">
        <is>
          <t>No Delay</t>
        </is>
      </c>
      <c r="N659" s="4">
        <f>IF(I659&lt;=H659,1,0)</f>
        <v/>
      </c>
      <c r="O659" s="4">
        <f>IF(J659&lt;=G659,1,0)</f>
        <v/>
      </c>
      <c r="P659" s="4">
        <f>MAX(0,I659-H659)</f>
        <v/>
      </c>
      <c r="Q659" s="4">
        <f>MAX(0,J659-G659)</f>
        <v/>
      </c>
      <c r="R659" s="4">
        <f>IF(AND(N659=1,O659=1),"On Track",IF(O659=0,"Customer Delivery Late","Ship Late"))</f>
        <v/>
      </c>
    </row>
    <row r="660">
      <c r="A660" s="2" t="inlineStr">
        <is>
          <t>ORD-00659</t>
        </is>
      </c>
      <c r="B660" s="2" t="inlineStr">
        <is>
          <t>Customer 23</t>
        </is>
      </c>
      <c r="C660" s="2" t="inlineStr">
        <is>
          <t>Drive</t>
        </is>
      </c>
      <c r="D660" s="2" t="inlineStr">
        <is>
          <t>Plant B</t>
        </is>
      </c>
      <c r="E660" s="2" t="inlineStr">
        <is>
          <t>Export</t>
        </is>
      </c>
      <c r="F660" s="12" t="n">
        <v>46134</v>
      </c>
      <c r="G660" s="12" t="n">
        <v>46141</v>
      </c>
      <c r="H660" s="12" t="n">
        <v>46140</v>
      </c>
      <c r="I660" s="12" t="n">
        <v>46138</v>
      </c>
      <c r="J660" s="12" t="n">
        <v>46139</v>
      </c>
      <c r="K660" s="2" t="n">
        <v>1312</v>
      </c>
      <c r="L660" s="2" t="inlineStr">
        <is>
          <t>Road</t>
        </is>
      </c>
      <c r="M660" s="2" t="inlineStr">
        <is>
          <t>No Delay</t>
        </is>
      </c>
      <c r="N660" s="4">
        <f>IF(I660&lt;=H660,1,0)</f>
        <v/>
      </c>
      <c r="O660" s="4">
        <f>IF(J660&lt;=G660,1,0)</f>
        <v/>
      </c>
      <c r="P660" s="4">
        <f>MAX(0,I660-H660)</f>
        <v/>
      </c>
      <c r="Q660" s="4">
        <f>MAX(0,J660-G660)</f>
        <v/>
      </c>
      <c r="R660" s="4">
        <f>IF(AND(N660=1,O660=1),"On Track",IF(O660=0,"Customer Delivery Late","Ship Late"))</f>
        <v/>
      </c>
    </row>
    <row r="661">
      <c r="A661" s="2" t="inlineStr">
        <is>
          <t>ORD-00660</t>
        </is>
      </c>
      <c r="B661" s="2" t="inlineStr">
        <is>
          <t>Customer 02</t>
        </is>
      </c>
      <c r="C661" s="2" t="inlineStr">
        <is>
          <t>Sensor</t>
        </is>
      </c>
      <c r="D661" s="2" t="inlineStr">
        <is>
          <t>Plant A</t>
        </is>
      </c>
      <c r="E661" s="2" t="inlineStr">
        <is>
          <t>Export</t>
        </is>
      </c>
      <c r="F661" s="12" t="n">
        <v>46034</v>
      </c>
      <c r="G661" s="12" t="n">
        <v>46058</v>
      </c>
      <c r="H661" s="12" t="n">
        <v>46053</v>
      </c>
      <c r="I661" s="12" t="n">
        <v>46053</v>
      </c>
      <c r="J661" s="12" t="n">
        <v>46058</v>
      </c>
      <c r="K661" s="2" t="n">
        <v>438</v>
      </c>
      <c r="L661" s="2" t="inlineStr">
        <is>
          <t>Sea</t>
        </is>
      </c>
      <c r="M661" s="2" t="inlineStr">
        <is>
          <t>No Delay</t>
        </is>
      </c>
      <c r="N661" s="4">
        <f>IF(I661&lt;=H661,1,0)</f>
        <v/>
      </c>
      <c r="O661" s="4">
        <f>IF(J661&lt;=G661,1,0)</f>
        <v/>
      </c>
      <c r="P661" s="4">
        <f>MAX(0,I661-H661)</f>
        <v/>
      </c>
      <c r="Q661" s="4">
        <f>MAX(0,J661-G661)</f>
        <v/>
      </c>
      <c r="R661" s="4">
        <f>IF(AND(N661=1,O661=1),"On Track",IF(O661=0,"Customer Delivery Late","Ship Late"))</f>
        <v/>
      </c>
    </row>
    <row r="662">
      <c r="A662" s="2" t="inlineStr">
        <is>
          <t>ORD-00661</t>
        </is>
      </c>
      <c r="B662" s="2" t="inlineStr">
        <is>
          <t>Customer 15</t>
        </is>
      </c>
      <c r="C662" s="2" t="inlineStr">
        <is>
          <t>Relay</t>
        </is>
      </c>
      <c r="D662" s="2" t="inlineStr">
        <is>
          <t>Plant B</t>
        </is>
      </c>
      <c r="E662" s="2" t="inlineStr">
        <is>
          <t>South</t>
        </is>
      </c>
      <c r="F662" s="12" t="n">
        <v>46043</v>
      </c>
      <c r="G662" s="12" t="n">
        <v>46063</v>
      </c>
      <c r="H662" s="12" t="n">
        <v>46058</v>
      </c>
      <c r="I662" s="12" t="n">
        <v>46058</v>
      </c>
      <c r="J662" s="12" t="n">
        <v>46064</v>
      </c>
      <c r="K662" s="2" t="n">
        <v>1086</v>
      </c>
      <c r="L662" s="2" t="inlineStr">
        <is>
          <t>Sea</t>
        </is>
      </c>
      <c r="M662" s="2" t="inlineStr">
        <is>
          <t>Capacity Constraint</t>
        </is>
      </c>
      <c r="N662" s="4">
        <f>IF(I662&lt;=H662,1,0)</f>
        <v/>
      </c>
      <c r="O662" s="4">
        <f>IF(J662&lt;=G662,1,0)</f>
        <v/>
      </c>
      <c r="P662" s="4">
        <f>MAX(0,I662-H662)</f>
        <v/>
      </c>
      <c r="Q662" s="4">
        <f>MAX(0,J662-G662)</f>
        <v/>
      </c>
      <c r="R662" s="4">
        <f>IF(AND(N662=1,O662=1),"On Track",IF(O662=0,"Customer Delivery Late","Ship Late"))</f>
        <v/>
      </c>
    </row>
    <row r="663">
      <c r="A663" s="2" t="inlineStr">
        <is>
          <t>ORD-00662</t>
        </is>
      </c>
      <c r="B663" s="2" t="inlineStr">
        <is>
          <t>Customer 07</t>
        </is>
      </c>
      <c r="C663" s="2" t="inlineStr">
        <is>
          <t>Switchgear</t>
        </is>
      </c>
      <c r="D663" s="2" t="inlineStr">
        <is>
          <t>Plant A</t>
        </is>
      </c>
      <c r="E663" s="2" t="inlineStr">
        <is>
          <t>Export</t>
        </is>
      </c>
      <c r="F663" s="12" t="n">
        <v>46146</v>
      </c>
      <c r="G663" s="12" t="n">
        <v>46166</v>
      </c>
      <c r="H663" s="12" t="n">
        <v>46162</v>
      </c>
      <c r="I663" s="12" t="n">
        <v>46161</v>
      </c>
      <c r="J663" s="12" t="n">
        <v>46165</v>
      </c>
      <c r="K663" s="2" t="n">
        <v>457</v>
      </c>
      <c r="L663" s="2" t="inlineStr">
        <is>
          <t>Air</t>
        </is>
      </c>
      <c r="M663" s="2" t="inlineStr">
        <is>
          <t>No Delay</t>
        </is>
      </c>
      <c r="N663" s="4">
        <f>IF(I663&lt;=H663,1,0)</f>
        <v/>
      </c>
      <c r="O663" s="4">
        <f>IF(J663&lt;=G663,1,0)</f>
        <v/>
      </c>
      <c r="P663" s="4">
        <f>MAX(0,I663-H663)</f>
        <v/>
      </c>
      <c r="Q663" s="4">
        <f>MAX(0,J663-G663)</f>
        <v/>
      </c>
      <c r="R663" s="4">
        <f>IF(AND(N663=1,O663=1),"On Track",IF(O663=0,"Customer Delivery Late","Ship Late"))</f>
        <v/>
      </c>
    </row>
    <row r="664">
      <c r="A664" s="2" t="inlineStr">
        <is>
          <t>ORD-00663</t>
        </is>
      </c>
      <c r="B664" s="2" t="inlineStr">
        <is>
          <t>Customer 25</t>
        </is>
      </c>
      <c r="C664" s="2" t="inlineStr">
        <is>
          <t>Contactor</t>
        </is>
      </c>
      <c r="D664" s="2" t="inlineStr">
        <is>
          <t>Plant B</t>
        </is>
      </c>
      <c r="E664" s="2" t="inlineStr">
        <is>
          <t>Export</t>
        </is>
      </c>
      <c r="F664" s="12" t="n">
        <v>46131</v>
      </c>
      <c r="G664" s="12" t="n">
        <v>46148</v>
      </c>
      <c r="H664" s="12" t="n">
        <v>46143</v>
      </c>
      <c r="I664" s="12" t="n">
        <v>46142</v>
      </c>
      <c r="J664" s="12" t="n">
        <v>46148</v>
      </c>
      <c r="K664" s="2" t="n">
        <v>1072</v>
      </c>
      <c r="L664" s="2" t="inlineStr">
        <is>
          <t>Air</t>
        </is>
      </c>
      <c r="M664" s="2" t="inlineStr">
        <is>
          <t>No Delay</t>
        </is>
      </c>
      <c r="N664" s="4">
        <f>IF(I664&lt;=H664,1,0)</f>
        <v/>
      </c>
      <c r="O664" s="4">
        <f>IF(J664&lt;=G664,1,0)</f>
        <v/>
      </c>
      <c r="P664" s="4">
        <f>MAX(0,I664-H664)</f>
        <v/>
      </c>
      <c r="Q664" s="4">
        <f>MAX(0,J664-G664)</f>
        <v/>
      </c>
      <c r="R664" s="4">
        <f>IF(AND(N664=1,O664=1),"On Track",IF(O664=0,"Customer Delivery Late","Ship Late"))</f>
        <v/>
      </c>
    </row>
    <row r="665">
      <c r="A665" s="2" t="inlineStr">
        <is>
          <t>ORD-00664</t>
        </is>
      </c>
      <c r="B665" s="2" t="inlineStr">
        <is>
          <t>Customer 14</t>
        </is>
      </c>
      <c r="C665" s="2" t="inlineStr">
        <is>
          <t>Power Supply</t>
        </is>
      </c>
      <c r="D665" s="2" t="inlineStr">
        <is>
          <t>Plant B</t>
        </is>
      </c>
      <c r="E665" s="2" t="inlineStr">
        <is>
          <t>Export</t>
        </is>
      </c>
      <c r="F665" s="12" t="n">
        <v>46081</v>
      </c>
      <c r="G665" s="12" t="n">
        <v>46104</v>
      </c>
      <c r="H665" s="12" t="n">
        <v>46103</v>
      </c>
      <c r="I665" s="12" t="n">
        <v>46103</v>
      </c>
      <c r="J665" s="12" t="n">
        <v>46104</v>
      </c>
      <c r="K665" s="2" t="n">
        <v>659</v>
      </c>
      <c r="L665" s="2" t="inlineStr">
        <is>
          <t>Air</t>
        </is>
      </c>
      <c r="M665" s="2" t="inlineStr">
        <is>
          <t>No Delay</t>
        </is>
      </c>
      <c r="N665" s="4">
        <f>IF(I665&lt;=H665,1,0)</f>
        <v/>
      </c>
      <c r="O665" s="4">
        <f>IF(J665&lt;=G665,1,0)</f>
        <v/>
      </c>
      <c r="P665" s="4">
        <f>MAX(0,I665-H665)</f>
        <v/>
      </c>
      <c r="Q665" s="4">
        <f>MAX(0,J665-G665)</f>
        <v/>
      </c>
      <c r="R665" s="4">
        <f>IF(AND(N665=1,O665=1),"On Track",IF(O665=0,"Customer Delivery Late","Ship Late"))</f>
        <v/>
      </c>
    </row>
    <row r="666">
      <c r="A666" s="2" t="inlineStr">
        <is>
          <t>ORD-00665</t>
        </is>
      </c>
      <c r="B666" s="2" t="inlineStr">
        <is>
          <t>Customer 10</t>
        </is>
      </c>
      <c r="C666" s="2" t="inlineStr">
        <is>
          <t>Contactor</t>
        </is>
      </c>
      <c r="D666" s="2" t="inlineStr">
        <is>
          <t>Plant B</t>
        </is>
      </c>
      <c r="E666" s="2" t="inlineStr">
        <is>
          <t>Central</t>
        </is>
      </c>
      <c r="F666" s="12" t="n">
        <v>46120</v>
      </c>
      <c r="G666" s="12" t="n">
        <v>46125</v>
      </c>
      <c r="H666" s="12" t="n">
        <v>46123</v>
      </c>
      <c r="I666" s="12" t="n">
        <v>46122</v>
      </c>
      <c r="J666" s="12" t="n">
        <v>46124</v>
      </c>
      <c r="K666" s="2" t="n">
        <v>211</v>
      </c>
      <c r="L666" s="2" t="inlineStr">
        <is>
          <t>Road</t>
        </is>
      </c>
      <c r="M666" s="2" t="inlineStr">
        <is>
          <t>No Delay</t>
        </is>
      </c>
      <c r="N666" s="4">
        <f>IF(I666&lt;=H666,1,0)</f>
        <v/>
      </c>
      <c r="O666" s="4">
        <f>IF(J666&lt;=G666,1,0)</f>
        <v/>
      </c>
      <c r="P666" s="4">
        <f>MAX(0,I666-H666)</f>
        <v/>
      </c>
      <c r="Q666" s="4">
        <f>MAX(0,J666-G666)</f>
        <v/>
      </c>
      <c r="R666" s="4">
        <f>IF(AND(N666=1,O666=1),"On Track",IF(O666=0,"Customer Delivery Late","Ship Late"))</f>
        <v/>
      </c>
    </row>
    <row r="667">
      <c r="A667" s="2" t="inlineStr">
        <is>
          <t>ORD-00666</t>
        </is>
      </c>
      <c r="B667" s="2" t="inlineStr">
        <is>
          <t>Customer 24</t>
        </is>
      </c>
      <c r="C667" s="2" t="inlineStr">
        <is>
          <t>Sensor</t>
        </is>
      </c>
      <c r="D667" s="2" t="inlineStr">
        <is>
          <t>Plant A</t>
        </is>
      </c>
      <c r="E667" s="2" t="inlineStr">
        <is>
          <t>Central</t>
        </is>
      </c>
      <c r="F667" s="12" t="n">
        <v>46041</v>
      </c>
      <c r="G667" s="12" t="n">
        <v>46057</v>
      </c>
      <c r="H667" s="12" t="n">
        <v>46056</v>
      </c>
      <c r="I667" s="12" t="n">
        <v>46055</v>
      </c>
      <c r="J667" s="12" t="n">
        <v>46056</v>
      </c>
      <c r="K667" s="2" t="n">
        <v>1476</v>
      </c>
      <c r="L667" s="2" t="inlineStr">
        <is>
          <t>Sea</t>
        </is>
      </c>
      <c r="M667" s="2" t="inlineStr">
        <is>
          <t>No Delay</t>
        </is>
      </c>
      <c r="N667" s="4">
        <f>IF(I667&lt;=H667,1,0)</f>
        <v/>
      </c>
      <c r="O667" s="4">
        <f>IF(J667&lt;=G667,1,0)</f>
        <v/>
      </c>
      <c r="P667" s="4">
        <f>MAX(0,I667-H667)</f>
        <v/>
      </c>
      <c r="Q667" s="4">
        <f>MAX(0,J667-G667)</f>
        <v/>
      </c>
      <c r="R667" s="4">
        <f>IF(AND(N667=1,O667=1),"On Track",IF(O667=0,"Customer Delivery Late","Ship Late"))</f>
        <v/>
      </c>
    </row>
    <row r="668">
      <c r="A668" s="2" t="inlineStr">
        <is>
          <t>ORD-00667</t>
        </is>
      </c>
      <c r="B668" s="2" t="inlineStr">
        <is>
          <t>Customer 27</t>
        </is>
      </c>
      <c r="C668" s="2" t="inlineStr">
        <is>
          <t>Breaker</t>
        </is>
      </c>
      <c r="D668" s="2" t="inlineStr">
        <is>
          <t>Plant B</t>
        </is>
      </c>
      <c r="E668" s="2" t="inlineStr">
        <is>
          <t>Central</t>
        </is>
      </c>
      <c r="F668" s="12" t="n">
        <v>46162</v>
      </c>
      <c r="G668" s="12" t="n">
        <v>46175</v>
      </c>
      <c r="H668" s="12" t="n">
        <v>46174</v>
      </c>
      <c r="I668" s="12" t="n">
        <v>46173</v>
      </c>
      <c r="J668" s="12" t="n">
        <v>46174</v>
      </c>
      <c r="K668" s="2" t="n">
        <v>824</v>
      </c>
      <c r="L668" s="2" t="inlineStr">
        <is>
          <t>Road</t>
        </is>
      </c>
      <c r="M668" s="2" t="inlineStr">
        <is>
          <t>No Delay</t>
        </is>
      </c>
      <c r="N668" s="4">
        <f>IF(I668&lt;=H668,1,0)</f>
        <v/>
      </c>
      <c r="O668" s="4">
        <f>IF(J668&lt;=G668,1,0)</f>
        <v/>
      </c>
      <c r="P668" s="4">
        <f>MAX(0,I668-H668)</f>
        <v/>
      </c>
      <c r="Q668" s="4">
        <f>MAX(0,J668-G668)</f>
        <v/>
      </c>
      <c r="R668" s="4">
        <f>IF(AND(N668=1,O668=1),"On Track",IF(O668=0,"Customer Delivery Late","Ship Late"))</f>
        <v/>
      </c>
    </row>
    <row r="669">
      <c r="A669" s="2" t="inlineStr">
        <is>
          <t>ORD-00668</t>
        </is>
      </c>
      <c r="B669" s="2" t="inlineStr">
        <is>
          <t>Customer 03</t>
        </is>
      </c>
      <c r="C669" s="2" t="inlineStr">
        <is>
          <t>Drive</t>
        </is>
      </c>
      <c r="D669" s="2" t="inlineStr">
        <is>
          <t>Plant A</t>
        </is>
      </c>
      <c r="E669" s="2" t="inlineStr">
        <is>
          <t>Export</t>
        </is>
      </c>
      <c r="F669" s="12" t="n">
        <v>46081</v>
      </c>
      <c r="G669" s="12" t="n">
        <v>46092</v>
      </c>
      <c r="H669" s="12" t="n">
        <v>46088</v>
      </c>
      <c r="I669" s="12" t="n">
        <v>46088</v>
      </c>
      <c r="J669" s="12" t="n">
        <v>46092</v>
      </c>
      <c r="K669" s="2" t="n">
        <v>1439</v>
      </c>
      <c r="L669" s="2" t="inlineStr">
        <is>
          <t>Air</t>
        </is>
      </c>
      <c r="M669" s="2" t="inlineStr">
        <is>
          <t>No Delay</t>
        </is>
      </c>
      <c r="N669" s="4">
        <f>IF(I669&lt;=H669,1,0)</f>
        <v/>
      </c>
      <c r="O669" s="4">
        <f>IF(J669&lt;=G669,1,0)</f>
        <v/>
      </c>
      <c r="P669" s="4">
        <f>MAX(0,I669-H669)</f>
        <v/>
      </c>
      <c r="Q669" s="4">
        <f>MAX(0,J669-G669)</f>
        <v/>
      </c>
      <c r="R669" s="4">
        <f>IF(AND(N669=1,O669=1),"On Track",IF(O669=0,"Customer Delivery Late","Ship Late"))</f>
        <v/>
      </c>
    </row>
    <row r="670">
      <c r="A670" s="2" t="inlineStr">
        <is>
          <t>ORD-00669</t>
        </is>
      </c>
      <c r="B670" s="2" t="inlineStr">
        <is>
          <t>Customer 05</t>
        </is>
      </c>
      <c r="C670" s="2" t="inlineStr">
        <is>
          <t>Sensor</t>
        </is>
      </c>
      <c r="D670" s="2" t="inlineStr">
        <is>
          <t>Plant C</t>
        </is>
      </c>
      <c r="E670" s="2" t="inlineStr">
        <is>
          <t>North</t>
        </is>
      </c>
      <c r="F670" s="12" t="n">
        <v>46076</v>
      </c>
      <c r="G670" s="12" t="n">
        <v>46095</v>
      </c>
      <c r="H670" s="12" t="n">
        <v>46091</v>
      </c>
      <c r="I670" s="12" t="n">
        <v>46089</v>
      </c>
      <c r="J670" s="12" t="n">
        <v>46093</v>
      </c>
      <c r="K670" s="2" t="n">
        <v>1033</v>
      </c>
      <c r="L670" s="2" t="inlineStr">
        <is>
          <t>Sea</t>
        </is>
      </c>
      <c r="M670" s="2" t="inlineStr">
        <is>
          <t>No Delay</t>
        </is>
      </c>
      <c r="N670" s="4">
        <f>IF(I670&lt;=H670,1,0)</f>
        <v/>
      </c>
      <c r="O670" s="4">
        <f>IF(J670&lt;=G670,1,0)</f>
        <v/>
      </c>
      <c r="P670" s="4">
        <f>MAX(0,I670-H670)</f>
        <v/>
      </c>
      <c r="Q670" s="4">
        <f>MAX(0,J670-G670)</f>
        <v/>
      </c>
      <c r="R670" s="4">
        <f>IF(AND(N670=1,O670=1),"On Track",IF(O670=0,"Customer Delivery Late","Ship Late"))</f>
        <v/>
      </c>
    </row>
    <row r="671">
      <c r="A671" s="2" t="inlineStr">
        <is>
          <t>ORD-00670</t>
        </is>
      </c>
      <c r="B671" s="2" t="inlineStr">
        <is>
          <t>Customer 01</t>
        </is>
      </c>
      <c r="C671" s="2" t="inlineStr">
        <is>
          <t>Breaker</t>
        </is>
      </c>
      <c r="D671" s="2" t="inlineStr">
        <is>
          <t>Plant A</t>
        </is>
      </c>
      <c r="E671" s="2" t="inlineStr">
        <is>
          <t>Central</t>
        </is>
      </c>
      <c r="F671" s="12" t="n">
        <v>46113</v>
      </c>
      <c r="G671" s="12" t="n">
        <v>46128</v>
      </c>
      <c r="H671" s="12" t="n">
        <v>46126</v>
      </c>
      <c r="I671" s="12" t="n">
        <v>46126</v>
      </c>
      <c r="J671" s="12" t="n">
        <v>46129</v>
      </c>
      <c r="K671" s="2" t="n">
        <v>686</v>
      </c>
      <c r="L671" s="2" t="inlineStr">
        <is>
          <t>Sea</t>
        </is>
      </c>
      <c r="M671" s="2" t="inlineStr">
        <is>
          <t>Capacity Constraint</t>
        </is>
      </c>
      <c r="N671" s="4">
        <f>IF(I671&lt;=H671,1,0)</f>
        <v/>
      </c>
      <c r="O671" s="4">
        <f>IF(J671&lt;=G671,1,0)</f>
        <v/>
      </c>
      <c r="P671" s="4">
        <f>MAX(0,I671-H671)</f>
        <v/>
      </c>
      <c r="Q671" s="4">
        <f>MAX(0,J671-G671)</f>
        <v/>
      </c>
      <c r="R671" s="4">
        <f>IF(AND(N671=1,O671=1),"On Track",IF(O671=0,"Customer Delivery Late","Ship Late"))</f>
        <v/>
      </c>
    </row>
    <row r="672">
      <c r="A672" s="2" t="inlineStr">
        <is>
          <t>ORD-00671</t>
        </is>
      </c>
      <c r="B672" s="2" t="inlineStr">
        <is>
          <t>Customer 03</t>
        </is>
      </c>
      <c r="C672" s="2" t="inlineStr">
        <is>
          <t>Power Supply</t>
        </is>
      </c>
      <c r="D672" s="2" t="inlineStr">
        <is>
          <t>Plant A</t>
        </is>
      </c>
      <c r="E672" s="2" t="inlineStr">
        <is>
          <t>Export</t>
        </is>
      </c>
      <c r="F672" s="12" t="n">
        <v>46184</v>
      </c>
      <c r="G672" s="12" t="n">
        <v>46208</v>
      </c>
      <c r="H672" s="12" t="n">
        <v>46203</v>
      </c>
      <c r="I672" s="12" t="n">
        <v>46202</v>
      </c>
      <c r="J672" s="12" t="n">
        <v>46207</v>
      </c>
      <c r="K672" s="2" t="n">
        <v>232</v>
      </c>
      <c r="L672" s="2" t="inlineStr">
        <is>
          <t>Air</t>
        </is>
      </c>
      <c r="M672" s="2" t="inlineStr">
        <is>
          <t>No Delay</t>
        </is>
      </c>
      <c r="N672" s="4">
        <f>IF(I672&lt;=H672,1,0)</f>
        <v/>
      </c>
      <c r="O672" s="4">
        <f>IF(J672&lt;=G672,1,0)</f>
        <v/>
      </c>
      <c r="P672" s="4">
        <f>MAX(0,I672-H672)</f>
        <v/>
      </c>
      <c r="Q672" s="4">
        <f>MAX(0,J672-G672)</f>
        <v/>
      </c>
      <c r="R672" s="4">
        <f>IF(AND(N672=1,O672=1),"On Track",IF(O672=0,"Customer Delivery Late","Ship Late"))</f>
        <v/>
      </c>
    </row>
    <row r="673">
      <c r="A673" s="2" t="inlineStr">
        <is>
          <t>ORD-00672</t>
        </is>
      </c>
      <c r="B673" s="2" t="inlineStr">
        <is>
          <t>Customer 20</t>
        </is>
      </c>
      <c r="C673" s="2" t="inlineStr">
        <is>
          <t>Switchgear</t>
        </is>
      </c>
      <c r="D673" s="2" t="inlineStr">
        <is>
          <t>Plant A</t>
        </is>
      </c>
      <c r="E673" s="2" t="inlineStr">
        <is>
          <t>Central</t>
        </is>
      </c>
      <c r="F673" s="12" t="n">
        <v>46168</v>
      </c>
      <c r="G673" s="12" t="n">
        <v>46187</v>
      </c>
      <c r="H673" s="12" t="n">
        <v>46184</v>
      </c>
      <c r="I673" s="12" t="n">
        <v>46182</v>
      </c>
      <c r="J673" s="12" t="n">
        <v>46184</v>
      </c>
      <c r="K673" s="2" t="n">
        <v>417</v>
      </c>
      <c r="L673" s="2" t="inlineStr">
        <is>
          <t>Road</t>
        </is>
      </c>
      <c r="M673" s="2" t="inlineStr">
        <is>
          <t>No Delay</t>
        </is>
      </c>
      <c r="N673" s="4">
        <f>IF(I673&lt;=H673,1,0)</f>
        <v/>
      </c>
      <c r="O673" s="4">
        <f>IF(J673&lt;=G673,1,0)</f>
        <v/>
      </c>
      <c r="P673" s="4">
        <f>MAX(0,I673-H673)</f>
        <v/>
      </c>
      <c r="Q673" s="4">
        <f>MAX(0,J673-G673)</f>
        <v/>
      </c>
      <c r="R673" s="4">
        <f>IF(AND(N673=1,O673=1),"On Track",IF(O673=0,"Customer Delivery Late","Ship Late"))</f>
        <v/>
      </c>
    </row>
    <row r="674">
      <c r="A674" s="2" t="inlineStr">
        <is>
          <t>ORD-00673</t>
        </is>
      </c>
      <c r="B674" s="2" t="inlineStr">
        <is>
          <t>Customer 17</t>
        </is>
      </c>
      <c r="C674" s="2" t="inlineStr">
        <is>
          <t>Breaker</t>
        </is>
      </c>
      <c r="D674" s="2" t="inlineStr">
        <is>
          <t>Plant A</t>
        </is>
      </c>
      <c r="E674" s="2" t="inlineStr">
        <is>
          <t>South</t>
        </is>
      </c>
      <c r="F674" s="12" t="n">
        <v>46121</v>
      </c>
      <c r="G674" s="12" t="n">
        <v>46135</v>
      </c>
      <c r="H674" s="12" t="n">
        <v>46133</v>
      </c>
      <c r="I674" s="12" t="n">
        <v>46133</v>
      </c>
      <c r="J674" s="12" t="n">
        <v>46135</v>
      </c>
      <c r="K674" s="2" t="n">
        <v>851</v>
      </c>
      <c r="L674" s="2" t="inlineStr">
        <is>
          <t>Air</t>
        </is>
      </c>
      <c r="M674" s="2" t="inlineStr">
        <is>
          <t>No Delay</t>
        </is>
      </c>
      <c r="N674" s="4">
        <f>IF(I674&lt;=H674,1,0)</f>
        <v/>
      </c>
      <c r="O674" s="4">
        <f>IF(J674&lt;=G674,1,0)</f>
        <v/>
      </c>
      <c r="P674" s="4">
        <f>MAX(0,I674-H674)</f>
        <v/>
      </c>
      <c r="Q674" s="4">
        <f>MAX(0,J674-G674)</f>
        <v/>
      </c>
      <c r="R674" s="4">
        <f>IF(AND(N674=1,O674=1),"On Track",IF(O674=0,"Customer Delivery Late","Ship Late"))</f>
        <v/>
      </c>
    </row>
    <row r="675">
      <c r="A675" s="2" t="inlineStr">
        <is>
          <t>ORD-00674</t>
        </is>
      </c>
      <c r="B675" s="2" t="inlineStr">
        <is>
          <t>Customer 28</t>
        </is>
      </c>
      <c r="C675" s="2" t="inlineStr">
        <is>
          <t>PLC</t>
        </is>
      </c>
      <c r="D675" s="2" t="inlineStr">
        <is>
          <t>Plant A</t>
        </is>
      </c>
      <c r="E675" s="2" t="inlineStr">
        <is>
          <t>Central</t>
        </is>
      </c>
      <c r="F675" s="12" t="n">
        <v>46063</v>
      </c>
      <c r="G675" s="12" t="n">
        <v>46071</v>
      </c>
      <c r="H675" s="12" t="n">
        <v>46069</v>
      </c>
      <c r="I675" s="12" t="n">
        <v>46068</v>
      </c>
      <c r="J675" s="12" t="n">
        <v>46070</v>
      </c>
      <c r="K675" s="2" t="n">
        <v>644</v>
      </c>
      <c r="L675" s="2" t="inlineStr">
        <is>
          <t>Air</t>
        </is>
      </c>
      <c r="M675" s="2" t="inlineStr">
        <is>
          <t>No Delay</t>
        </is>
      </c>
      <c r="N675" s="4">
        <f>IF(I675&lt;=H675,1,0)</f>
        <v/>
      </c>
      <c r="O675" s="4">
        <f>IF(J675&lt;=G675,1,0)</f>
        <v/>
      </c>
      <c r="P675" s="4">
        <f>MAX(0,I675-H675)</f>
        <v/>
      </c>
      <c r="Q675" s="4">
        <f>MAX(0,J675-G675)</f>
        <v/>
      </c>
      <c r="R675" s="4">
        <f>IF(AND(N675=1,O675=1),"On Track",IF(O675=0,"Customer Delivery Late","Ship Late"))</f>
        <v/>
      </c>
    </row>
    <row r="676">
      <c r="A676" s="2" t="inlineStr">
        <is>
          <t>ORD-00675</t>
        </is>
      </c>
      <c r="B676" s="2" t="inlineStr">
        <is>
          <t>Customer 15</t>
        </is>
      </c>
      <c r="C676" s="2" t="inlineStr">
        <is>
          <t>Sensor</t>
        </is>
      </c>
      <c r="D676" s="2" t="inlineStr">
        <is>
          <t>Plant A</t>
        </is>
      </c>
      <c r="E676" s="2" t="inlineStr">
        <is>
          <t>North</t>
        </is>
      </c>
      <c r="F676" s="12" t="n">
        <v>46193</v>
      </c>
      <c r="G676" s="12" t="n">
        <v>46213</v>
      </c>
      <c r="H676" s="12" t="n">
        <v>46211</v>
      </c>
      <c r="I676" s="12" t="n">
        <v>46210</v>
      </c>
      <c r="J676" s="12" t="n">
        <v>46213</v>
      </c>
      <c r="K676" s="2" t="n">
        <v>302</v>
      </c>
      <c r="L676" s="2" t="inlineStr">
        <is>
          <t>Air</t>
        </is>
      </c>
      <c r="M676" s="2" t="inlineStr">
        <is>
          <t>No Delay</t>
        </is>
      </c>
      <c r="N676" s="4">
        <f>IF(I676&lt;=H676,1,0)</f>
        <v/>
      </c>
      <c r="O676" s="4">
        <f>IF(J676&lt;=G676,1,0)</f>
        <v/>
      </c>
      <c r="P676" s="4">
        <f>MAX(0,I676-H676)</f>
        <v/>
      </c>
      <c r="Q676" s="4">
        <f>MAX(0,J676-G676)</f>
        <v/>
      </c>
      <c r="R676" s="4">
        <f>IF(AND(N676=1,O676=1),"On Track",IF(O676=0,"Customer Delivery Late","Ship Late"))</f>
        <v/>
      </c>
    </row>
    <row r="677">
      <c r="A677" s="2" t="inlineStr">
        <is>
          <t>ORD-00676</t>
        </is>
      </c>
      <c r="B677" s="2" t="inlineStr">
        <is>
          <t>Customer 15</t>
        </is>
      </c>
      <c r="C677" s="2" t="inlineStr">
        <is>
          <t>Breaker</t>
        </is>
      </c>
      <c r="D677" s="2" t="inlineStr">
        <is>
          <t>Plant C</t>
        </is>
      </c>
      <c r="E677" s="2" t="inlineStr">
        <is>
          <t>North</t>
        </is>
      </c>
      <c r="F677" s="12" t="n">
        <v>46039</v>
      </c>
      <c r="G677" s="12" t="n">
        <v>46056</v>
      </c>
      <c r="H677" s="12" t="n">
        <v>46051</v>
      </c>
      <c r="I677" s="12" t="n">
        <v>46051</v>
      </c>
      <c r="J677" s="12" t="n">
        <v>46057</v>
      </c>
      <c r="K677" s="2" t="n">
        <v>599</v>
      </c>
      <c r="L677" s="2" t="inlineStr">
        <is>
          <t>Sea</t>
        </is>
      </c>
      <c r="M677" s="2" t="inlineStr">
        <is>
          <t>Documentation Issue</t>
        </is>
      </c>
      <c r="N677" s="4">
        <f>IF(I677&lt;=H677,1,0)</f>
        <v/>
      </c>
      <c r="O677" s="4">
        <f>IF(J677&lt;=G677,1,0)</f>
        <v/>
      </c>
      <c r="P677" s="4">
        <f>MAX(0,I677-H677)</f>
        <v/>
      </c>
      <c r="Q677" s="4">
        <f>MAX(0,J677-G677)</f>
        <v/>
      </c>
      <c r="R677" s="4">
        <f>IF(AND(N677=1,O677=1),"On Track",IF(O677=0,"Customer Delivery Late","Ship Late"))</f>
        <v/>
      </c>
    </row>
    <row r="678">
      <c r="A678" s="2" t="inlineStr">
        <is>
          <t>ORD-00677</t>
        </is>
      </c>
      <c r="B678" s="2" t="inlineStr">
        <is>
          <t>Customer 20</t>
        </is>
      </c>
      <c r="C678" s="2" t="inlineStr">
        <is>
          <t>Power Supply</t>
        </is>
      </c>
      <c r="D678" s="2" t="inlineStr">
        <is>
          <t>Plant B</t>
        </is>
      </c>
      <c r="E678" s="2" t="inlineStr">
        <is>
          <t>Export</t>
        </is>
      </c>
      <c r="F678" s="12" t="n">
        <v>46139</v>
      </c>
      <c r="G678" s="12" t="n">
        <v>46155</v>
      </c>
      <c r="H678" s="12" t="n">
        <v>46152</v>
      </c>
      <c r="I678" s="12" t="n">
        <v>46150</v>
      </c>
      <c r="J678" s="12" t="n">
        <v>46153</v>
      </c>
      <c r="K678" s="2" t="n">
        <v>1359</v>
      </c>
      <c r="L678" s="2" t="inlineStr">
        <is>
          <t>Road</t>
        </is>
      </c>
      <c r="M678" s="2" t="inlineStr">
        <is>
          <t>No Delay</t>
        </is>
      </c>
      <c r="N678" s="4">
        <f>IF(I678&lt;=H678,1,0)</f>
        <v/>
      </c>
      <c r="O678" s="4">
        <f>IF(J678&lt;=G678,1,0)</f>
        <v/>
      </c>
      <c r="P678" s="4">
        <f>MAX(0,I678-H678)</f>
        <v/>
      </c>
      <c r="Q678" s="4">
        <f>MAX(0,J678-G678)</f>
        <v/>
      </c>
      <c r="R678" s="4">
        <f>IF(AND(N678=1,O678=1),"On Track",IF(O678=0,"Customer Delivery Late","Ship Late"))</f>
        <v/>
      </c>
    </row>
    <row r="679">
      <c r="A679" s="2" t="inlineStr">
        <is>
          <t>ORD-00678</t>
        </is>
      </c>
      <c r="B679" s="2" t="inlineStr">
        <is>
          <t>Customer 21</t>
        </is>
      </c>
      <c r="C679" s="2" t="inlineStr">
        <is>
          <t>Sensor</t>
        </is>
      </c>
      <c r="D679" s="2" t="inlineStr">
        <is>
          <t>Plant C</t>
        </is>
      </c>
      <c r="E679" s="2" t="inlineStr">
        <is>
          <t>North</t>
        </is>
      </c>
      <c r="F679" s="12" t="n">
        <v>46201</v>
      </c>
      <c r="G679" s="12" t="n">
        <v>46224</v>
      </c>
      <c r="H679" s="12" t="n">
        <v>46223</v>
      </c>
      <c r="I679" s="12" t="n">
        <v>46221</v>
      </c>
      <c r="J679" s="12" t="n">
        <v>46222</v>
      </c>
      <c r="K679" s="2" t="n">
        <v>1439</v>
      </c>
      <c r="L679" s="2" t="inlineStr">
        <is>
          <t>Sea</t>
        </is>
      </c>
      <c r="M679" s="2" t="inlineStr">
        <is>
          <t>No Delay</t>
        </is>
      </c>
      <c r="N679" s="4">
        <f>IF(I679&lt;=H679,1,0)</f>
        <v/>
      </c>
      <c r="O679" s="4">
        <f>IF(J679&lt;=G679,1,0)</f>
        <v/>
      </c>
      <c r="P679" s="4">
        <f>MAX(0,I679-H679)</f>
        <v/>
      </c>
      <c r="Q679" s="4">
        <f>MAX(0,J679-G679)</f>
        <v/>
      </c>
      <c r="R679" s="4">
        <f>IF(AND(N679=1,O679=1),"On Track",IF(O679=0,"Customer Delivery Late","Ship Late"))</f>
        <v/>
      </c>
    </row>
    <row r="680">
      <c r="A680" s="2" t="inlineStr">
        <is>
          <t>ORD-00679</t>
        </is>
      </c>
      <c r="B680" s="2" t="inlineStr">
        <is>
          <t>Customer 25</t>
        </is>
      </c>
      <c r="C680" s="2" t="inlineStr">
        <is>
          <t>Drive</t>
        </is>
      </c>
      <c r="D680" s="2" t="inlineStr">
        <is>
          <t>Plant B</t>
        </is>
      </c>
      <c r="E680" s="2" t="inlineStr">
        <is>
          <t>Export</t>
        </is>
      </c>
      <c r="F680" s="12" t="n">
        <v>46078</v>
      </c>
      <c r="G680" s="12" t="n">
        <v>46098</v>
      </c>
      <c r="H680" s="12" t="n">
        <v>46094</v>
      </c>
      <c r="I680" s="12" t="n">
        <v>46096</v>
      </c>
      <c r="J680" s="12" t="n">
        <v>46099</v>
      </c>
      <c r="K680" s="2" t="n">
        <v>347</v>
      </c>
      <c r="L680" s="2" t="inlineStr">
        <is>
          <t>Air</t>
        </is>
      </c>
      <c r="M680" s="2" t="inlineStr">
        <is>
          <t>Capacity Constraint</t>
        </is>
      </c>
      <c r="N680" s="4">
        <f>IF(I680&lt;=H680,1,0)</f>
        <v/>
      </c>
      <c r="O680" s="4">
        <f>IF(J680&lt;=G680,1,0)</f>
        <v/>
      </c>
      <c r="P680" s="4">
        <f>MAX(0,I680-H680)</f>
        <v/>
      </c>
      <c r="Q680" s="4">
        <f>MAX(0,J680-G680)</f>
        <v/>
      </c>
      <c r="R680" s="4">
        <f>IF(AND(N680=1,O680=1),"On Track",IF(O680=0,"Customer Delivery Late","Ship Late"))</f>
        <v/>
      </c>
    </row>
    <row r="681">
      <c r="A681" s="2" t="inlineStr">
        <is>
          <t>ORD-00680</t>
        </is>
      </c>
      <c r="B681" s="2" t="inlineStr">
        <is>
          <t>Customer 13</t>
        </is>
      </c>
      <c r="C681" s="2" t="inlineStr">
        <is>
          <t>PLC</t>
        </is>
      </c>
      <c r="D681" s="2" t="inlineStr">
        <is>
          <t>Plant B</t>
        </is>
      </c>
      <c r="E681" s="2" t="inlineStr">
        <is>
          <t>North</t>
        </is>
      </c>
      <c r="F681" s="12" t="n">
        <v>46076</v>
      </c>
      <c r="G681" s="12" t="n">
        <v>46097</v>
      </c>
      <c r="H681" s="12" t="n">
        <v>46096</v>
      </c>
      <c r="I681" s="12" t="n">
        <v>46094</v>
      </c>
      <c r="J681" s="12" t="n">
        <v>46095</v>
      </c>
      <c r="K681" s="2" t="n">
        <v>31</v>
      </c>
      <c r="L681" s="2" t="inlineStr">
        <is>
          <t>Air</t>
        </is>
      </c>
      <c r="M681" s="2" t="inlineStr">
        <is>
          <t>No Delay</t>
        </is>
      </c>
      <c r="N681" s="4">
        <f>IF(I681&lt;=H681,1,0)</f>
        <v/>
      </c>
      <c r="O681" s="4">
        <f>IF(J681&lt;=G681,1,0)</f>
        <v/>
      </c>
      <c r="P681" s="4">
        <f>MAX(0,I681-H681)</f>
        <v/>
      </c>
      <c r="Q681" s="4">
        <f>MAX(0,J681-G681)</f>
        <v/>
      </c>
      <c r="R681" s="4">
        <f>IF(AND(N681=1,O681=1),"On Track",IF(O681=0,"Customer Delivery Late","Ship Late"))</f>
        <v/>
      </c>
    </row>
    <row r="682">
      <c r="A682" s="2" t="inlineStr">
        <is>
          <t>ORD-00681</t>
        </is>
      </c>
      <c r="B682" s="2" t="inlineStr">
        <is>
          <t>Customer 18</t>
        </is>
      </c>
      <c r="C682" s="2" t="inlineStr">
        <is>
          <t>PLC</t>
        </is>
      </c>
      <c r="D682" s="2" t="inlineStr">
        <is>
          <t>Plant C</t>
        </is>
      </c>
      <c r="E682" s="2" t="inlineStr">
        <is>
          <t>Export</t>
        </is>
      </c>
      <c r="F682" s="12" t="n">
        <v>46052</v>
      </c>
      <c r="G682" s="12" t="n">
        <v>46061</v>
      </c>
      <c r="H682" s="12" t="n">
        <v>46058</v>
      </c>
      <c r="I682" s="12" t="n">
        <v>46057</v>
      </c>
      <c r="J682" s="12" t="n">
        <v>46060</v>
      </c>
      <c r="K682" s="2" t="n">
        <v>297</v>
      </c>
      <c r="L682" s="2" t="inlineStr">
        <is>
          <t>Air</t>
        </is>
      </c>
      <c r="M682" s="2" t="inlineStr">
        <is>
          <t>No Delay</t>
        </is>
      </c>
      <c r="N682" s="4">
        <f>IF(I682&lt;=H682,1,0)</f>
        <v/>
      </c>
      <c r="O682" s="4">
        <f>IF(J682&lt;=G682,1,0)</f>
        <v/>
      </c>
      <c r="P682" s="4">
        <f>MAX(0,I682-H682)</f>
        <v/>
      </c>
      <c r="Q682" s="4">
        <f>MAX(0,J682-G682)</f>
        <v/>
      </c>
      <c r="R682" s="4">
        <f>IF(AND(N682=1,O682=1),"On Track",IF(O682=0,"Customer Delivery Late","Ship Late"))</f>
        <v/>
      </c>
    </row>
    <row r="683">
      <c r="A683" s="2" t="inlineStr">
        <is>
          <t>ORD-00682</t>
        </is>
      </c>
      <c r="B683" s="2" t="inlineStr">
        <is>
          <t>Customer 18</t>
        </is>
      </c>
      <c r="C683" s="2" t="inlineStr">
        <is>
          <t>Power Supply</t>
        </is>
      </c>
      <c r="D683" s="2" t="inlineStr">
        <is>
          <t>Plant A</t>
        </is>
      </c>
      <c r="E683" s="2" t="inlineStr">
        <is>
          <t>North</t>
        </is>
      </c>
      <c r="F683" s="12" t="n">
        <v>46094</v>
      </c>
      <c r="G683" s="12" t="n">
        <v>46104</v>
      </c>
      <c r="H683" s="12" t="n">
        <v>46102</v>
      </c>
      <c r="I683" s="12" t="n">
        <v>46102</v>
      </c>
      <c r="J683" s="12" t="n">
        <v>46104</v>
      </c>
      <c r="K683" s="2" t="n">
        <v>1385</v>
      </c>
      <c r="L683" s="2" t="inlineStr">
        <is>
          <t>Road</t>
        </is>
      </c>
      <c r="M683" s="2" t="inlineStr">
        <is>
          <t>No Delay</t>
        </is>
      </c>
      <c r="N683" s="4">
        <f>IF(I683&lt;=H683,1,0)</f>
        <v/>
      </c>
      <c r="O683" s="4">
        <f>IF(J683&lt;=G683,1,0)</f>
        <v/>
      </c>
      <c r="P683" s="4">
        <f>MAX(0,I683-H683)</f>
        <v/>
      </c>
      <c r="Q683" s="4">
        <f>MAX(0,J683-G683)</f>
        <v/>
      </c>
      <c r="R683" s="4">
        <f>IF(AND(N683=1,O683=1),"On Track",IF(O683=0,"Customer Delivery Late","Ship Late"))</f>
        <v/>
      </c>
    </row>
    <row r="684">
      <c r="A684" s="2" t="inlineStr">
        <is>
          <t>ORD-00683</t>
        </is>
      </c>
      <c r="B684" s="2" t="inlineStr">
        <is>
          <t>Customer 18</t>
        </is>
      </c>
      <c r="C684" s="2" t="inlineStr">
        <is>
          <t>PLC</t>
        </is>
      </c>
      <c r="D684" s="2" t="inlineStr">
        <is>
          <t>Plant B</t>
        </is>
      </c>
      <c r="E684" s="2" t="inlineStr">
        <is>
          <t>North</t>
        </is>
      </c>
      <c r="F684" s="12" t="n">
        <v>46196</v>
      </c>
      <c r="G684" s="12" t="n">
        <v>46209</v>
      </c>
      <c r="H684" s="12" t="n">
        <v>46207</v>
      </c>
      <c r="I684" s="12" t="n">
        <v>46205</v>
      </c>
      <c r="J684" s="12" t="n">
        <v>46206</v>
      </c>
      <c r="K684" s="2" t="n">
        <v>1310</v>
      </c>
      <c r="L684" s="2" t="inlineStr">
        <is>
          <t>Sea</t>
        </is>
      </c>
      <c r="M684" s="2" t="inlineStr">
        <is>
          <t>No Delay</t>
        </is>
      </c>
      <c r="N684" s="4">
        <f>IF(I684&lt;=H684,1,0)</f>
        <v/>
      </c>
      <c r="O684" s="4">
        <f>IF(J684&lt;=G684,1,0)</f>
        <v/>
      </c>
      <c r="P684" s="4">
        <f>MAX(0,I684-H684)</f>
        <v/>
      </c>
      <c r="Q684" s="4">
        <f>MAX(0,J684-G684)</f>
        <v/>
      </c>
      <c r="R684" s="4">
        <f>IF(AND(N684=1,O684=1),"On Track",IF(O684=0,"Customer Delivery Late","Ship Late"))</f>
        <v/>
      </c>
    </row>
    <row r="685">
      <c r="A685" s="2" t="inlineStr">
        <is>
          <t>ORD-00684</t>
        </is>
      </c>
      <c r="B685" s="2" t="inlineStr">
        <is>
          <t>Customer 30</t>
        </is>
      </c>
      <c r="C685" s="2" t="inlineStr">
        <is>
          <t>PLC</t>
        </is>
      </c>
      <c r="D685" s="2" t="inlineStr">
        <is>
          <t>Plant B</t>
        </is>
      </c>
      <c r="E685" s="2" t="inlineStr">
        <is>
          <t>Central</t>
        </is>
      </c>
      <c r="F685" s="12" t="n">
        <v>46187</v>
      </c>
      <c r="G685" s="12" t="n">
        <v>46195</v>
      </c>
      <c r="H685" s="12" t="n">
        <v>46191</v>
      </c>
      <c r="I685" s="12" t="n">
        <v>46190</v>
      </c>
      <c r="J685" s="12" t="n">
        <v>46199</v>
      </c>
      <c r="K685" s="2" t="n">
        <v>419</v>
      </c>
      <c r="L685" s="2" t="inlineStr">
        <is>
          <t>Road</t>
        </is>
      </c>
      <c r="M685" s="2" t="inlineStr">
        <is>
          <t>Production Delay</t>
        </is>
      </c>
      <c r="N685" s="4">
        <f>IF(I685&lt;=H685,1,0)</f>
        <v/>
      </c>
      <c r="O685" s="4">
        <f>IF(J685&lt;=G685,1,0)</f>
        <v/>
      </c>
      <c r="P685" s="4">
        <f>MAX(0,I685-H685)</f>
        <v/>
      </c>
      <c r="Q685" s="4">
        <f>MAX(0,J685-G685)</f>
        <v/>
      </c>
      <c r="R685" s="4">
        <f>IF(AND(N685=1,O685=1),"On Track",IF(O685=0,"Customer Delivery Late","Ship Late"))</f>
        <v/>
      </c>
    </row>
    <row r="686">
      <c r="A686" s="2" t="inlineStr">
        <is>
          <t>ORD-00685</t>
        </is>
      </c>
      <c r="B686" s="2" t="inlineStr">
        <is>
          <t>Customer 26</t>
        </is>
      </c>
      <c r="C686" s="2" t="inlineStr">
        <is>
          <t>Relay</t>
        </is>
      </c>
      <c r="D686" s="2" t="inlineStr">
        <is>
          <t>Plant C</t>
        </is>
      </c>
      <c r="E686" s="2" t="inlineStr">
        <is>
          <t>Central</t>
        </is>
      </c>
      <c r="F686" s="12" t="n">
        <v>46027</v>
      </c>
      <c r="G686" s="12" t="n">
        <v>46045</v>
      </c>
      <c r="H686" s="12" t="n">
        <v>46044</v>
      </c>
      <c r="I686" s="12" t="n">
        <v>46050</v>
      </c>
      <c r="J686" s="12" t="n">
        <v>46051</v>
      </c>
      <c r="K686" s="2" t="n">
        <v>100</v>
      </c>
      <c r="L686" s="2" t="inlineStr">
        <is>
          <t>Air</t>
        </is>
      </c>
      <c r="M686" s="2" t="inlineStr">
        <is>
          <t>Material Shortage</t>
        </is>
      </c>
      <c r="N686" s="4">
        <f>IF(I686&lt;=H686,1,0)</f>
        <v/>
      </c>
      <c r="O686" s="4">
        <f>IF(J686&lt;=G686,1,0)</f>
        <v/>
      </c>
      <c r="P686" s="4">
        <f>MAX(0,I686-H686)</f>
        <v/>
      </c>
      <c r="Q686" s="4">
        <f>MAX(0,J686-G686)</f>
        <v/>
      </c>
      <c r="R686" s="4">
        <f>IF(AND(N686=1,O686=1),"On Track",IF(O686=0,"Customer Delivery Late","Ship Late"))</f>
        <v/>
      </c>
    </row>
    <row r="687">
      <c r="A687" s="2" t="inlineStr">
        <is>
          <t>ORD-00686</t>
        </is>
      </c>
      <c r="B687" s="2" t="inlineStr">
        <is>
          <t>Customer 13</t>
        </is>
      </c>
      <c r="C687" s="2" t="inlineStr">
        <is>
          <t>Power Supply</t>
        </is>
      </c>
      <c r="D687" s="2" t="inlineStr">
        <is>
          <t>Plant A</t>
        </is>
      </c>
      <c r="E687" s="2" t="inlineStr">
        <is>
          <t>Central</t>
        </is>
      </c>
      <c r="F687" s="12" t="n">
        <v>46154</v>
      </c>
      <c r="G687" s="12" t="n">
        <v>46162</v>
      </c>
      <c r="H687" s="12" t="n">
        <v>46159</v>
      </c>
      <c r="I687" s="12" t="n">
        <v>46159</v>
      </c>
      <c r="J687" s="12" t="n">
        <v>46163</v>
      </c>
      <c r="K687" s="2" t="n">
        <v>447</v>
      </c>
      <c r="L687" s="2" t="inlineStr">
        <is>
          <t>Road</t>
        </is>
      </c>
      <c r="M687" s="2" t="inlineStr">
        <is>
          <t>Capacity Constraint</t>
        </is>
      </c>
      <c r="N687" s="4">
        <f>IF(I687&lt;=H687,1,0)</f>
        <v/>
      </c>
      <c r="O687" s="4">
        <f>IF(J687&lt;=G687,1,0)</f>
        <v/>
      </c>
      <c r="P687" s="4">
        <f>MAX(0,I687-H687)</f>
        <v/>
      </c>
      <c r="Q687" s="4">
        <f>MAX(0,J687-G687)</f>
        <v/>
      </c>
      <c r="R687" s="4">
        <f>IF(AND(N687=1,O687=1),"On Track",IF(O687=0,"Customer Delivery Late","Ship Late"))</f>
        <v/>
      </c>
    </row>
    <row r="688">
      <c r="A688" s="2" t="inlineStr">
        <is>
          <t>ORD-00687</t>
        </is>
      </c>
      <c r="B688" s="2" t="inlineStr">
        <is>
          <t>Customer 15</t>
        </is>
      </c>
      <c r="C688" s="2" t="inlineStr">
        <is>
          <t>PLC</t>
        </is>
      </c>
      <c r="D688" s="2" t="inlineStr">
        <is>
          <t>Plant A</t>
        </is>
      </c>
      <c r="E688" s="2" t="inlineStr">
        <is>
          <t>South</t>
        </is>
      </c>
      <c r="F688" s="12" t="n">
        <v>46114</v>
      </c>
      <c r="G688" s="12" t="n">
        <v>46129</v>
      </c>
      <c r="H688" s="12" t="n">
        <v>46127</v>
      </c>
      <c r="I688" s="12" t="n">
        <v>46127</v>
      </c>
      <c r="J688" s="12" t="n">
        <v>46128</v>
      </c>
      <c r="K688" s="2" t="n">
        <v>1341</v>
      </c>
      <c r="L688" s="2" t="inlineStr">
        <is>
          <t>Sea</t>
        </is>
      </c>
      <c r="M688" s="2" t="inlineStr">
        <is>
          <t>No Delay</t>
        </is>
      </c>
      <c r="N688" s="4">
        <f>IF(I688&lt;=H688,1,0)</f>
        <v/>
      </c>
      <c r="O688" s="4">
        <f>IF(J688&lt;=G688,1,0)</f>
        <v/>
      </c>
      <c r="P688" s="4">
        <f>MAX(0,I688-H688)</f>
        <v/>
      </c>
      <c r="Q688" s="4">
        <f>MAX(0,J688-G688)</f>
        <v/>
      </c>
      <c r="R688" s="4">
        <f>IF(AND(N688=1,O688=1),"On Track",IF(O688=0,"Customer Delivery Late","Ship Late"))</f>
        <v/>
      </c>
    </row>
    <row r="689">
      <c r="A689" s="2" t="inlineStr">
        <is>
          <t>ORD-00688</t>
        </is>
      </c>
      <c r="B689" s="2" t="inlineStr">
        <is>
          <t>Customer 04</t>
        </is>
      </c>
      <c r="C689" s="2" t="inlineStr">
        <is>
          <t>Relay</t>
        </is>
      </c>
      <c r="D689" s="2" t="inlineStr">
        <is>
          <t>Plant B</t>
        </is>
      </c>
      <c r="E689" s="2" t="inlineStr">
        <is>
          <t>North</t>
        </is>
      </c>
      <c r="F689" s="12" t="n">
        <v>46117</v>
      </c>
      <c r="G689" s="12" t="n">
        <v>46123</v>
      </c>
      <c r="H689" s="12" t="n">
        <v>46122</v>
      </c>
      <c r="I689" s="12" t="n">
        <v>46121</v>
      </c>
      <c r="J689" s="12" t="n">
        <v>46123</v>
      </c>
      <c r="K689" s="2" t="n">
        <v>1238</v>
      </c>
      <c r="L689" s="2" t="inlineStr">
        <is>
          <t>Air</t>
        </is>
      </c>
      <c r="M689" s="2" t="inlineStr">
        <is>
          <t>No Delay</t>
        </is>
      </c>
      <c r="N689" s="4">
        <f>IF(I689&lt;=H689,1,0)</f>
        <v/>
      </c>
      <c r="O689" s="4">
        <f>IF(J689&lt;=G689,1,0)</f>
        <v/>
      </c>
      <c r="P689" s="4">
        <f>MAX(0,I689-H689)</f>
        <v/>
      </c>
      <c r="Q689" s="4">
        <f>MAX(0,J689-G689)</f>
        <v/>
      </c>
      <c r="R689" s="4">
        <f>IF(AND(N689=1,O689=1),"On Track",IF(O689=0,"Customer Delivery Late","Ship Late"))</f>
        <v/>
      </c>
    </row>
    <row r="690">
      <c r="A690" s="2" t="inlineStr">
        <is>
          <t>ORD-00689</t>
        </is>
      </c>
      <c r="B690" s="2" t="inlineStr">
        <is>
          <t>Customer 01</t>
        </is>
      </c>
      <c r="C690" s="2" t="inlineStr">
        <is>
          <t>Switchgear</t>
        </is>
      </c>
      <c r="D690" s="2" t="inlineStr">
        <is>
          <t>Plant B</t>
        </is>
      </c>
      <c r="E690" s="2" t="inlineStr">
        <is>
          <t>Central</t>
        </is>
      </c>
      <c r="F690" s="12" t="n">
        <v>46184</v>
      </c>
      <c r="G690" s="12" t="n">
        <v>46201</v>
      </c>
      <c r="H690" s="12" t="n">
        <v>46199</v>
      </c>
      <c r="I690" s="12" t="n">
        <v>46199</v>
      </c>
      <c r="J690" s="12" t="n">
        <v>46201</v>
      </c>
      <c r="K690" s="2" t="n">
        <v>1041</v>
      </c>
      <c r="L690" s="2" t="inlineStr">
        <is>
          <t>Sea</t>
        </is>
      </c>
      <c r="M690" s="2" t="inlineStr">
        <is>
          <t>No Delay</t>
        </is>
      </c>
      <c r="N690" s="4">
        <f>IF(I690&lt;=H690,1,0)</f>
        <v/>
      </c>
      <c r="O690" s="4">
        <f>IF(J690&lt;=G690,1,0)</f>
        <v/>
      </c>
      <c r="P690" s="4">
        <f>MAX(0,I690-H690)</f>
        <v/>
      </c>
      <c r="Q690" s="4">
        <f>MAX(0,J690-G690)</f>
        <v/>
      </c>
      <c r="R690" s="4">
        <f>IF(AND(N690=1,O690=1),"On Track",IF(O690=0,"Customer Delivery Late","Ship Late"))</f>
        <v/>
      </c>
    </row>
    <row r="691">
      <c r="A691" s="2" t="inlineStr">
        <is>
          <t>ORD-00690</t>
        </is>
      </c>
      <c r="B691" s="2" t="inlineStr">
        <is>
          <t>Customer 25</t>
        </is>
      </c>
      <c r="C691" s="2" t="inlineStr">
        <is>
          <t>PLC</t>
        </is>
      </c>
      <c r="D691" s="2" t="inlineStr">
        <is>
          <t>Plant C</t>
        </is>
      </c>
      <c r="E691" s="2" t="inlineStr">
        <is>
          <t>North</t>
        </is>
      </c>
      <c r="F691" s="12" t="n">
        <v>46203</v>
      </c>
      <c r="G691" s="12" t="n">
        <v>46208</v>
      </c>
      <c r="H691" s="12" t="n">
        <v>46206</v>
      </c>
      <c r="I691" s="12" t="n">
        <v>46204</v>
      </c>
      <c r="J691" s="12" t="n">
        <v>46206</v>
      </c>
      <c r="K691" s="2" t="n">
        <v>132</v>
      </c>
      <c r="L691" s="2" t="inlineStr">
        <is>
          <t>Road</t>
        </is>
      </c>
      <c r="M691" s="2" t="inlineStr">
        <is>
          <t>No Delay</t>
        </is>
      </c>
      <c r="N691" s="4">
        <f>IF(I691&lt;=H691,1,0)</f>
        <v/>
      </c>
      <c r="O691" s="4">
        <f>IF(J691&lt;=G691,1,0)</f>
        <v/>
      </c>
      <c r="P691" s="4">
        <f>MAX(0,I691-H691)</f>
        <v/>
      </c>
      <c r="Q691" s="4">
        <f>MAX(0,J691-G691)</f>
        <v/>
      </c>
      <c r="R691" s="4">
        <f>IF(AND(N691=1,O691=1),"On Track",IF(O691=0,"Customer Delivery Late","Ship Late"))</f>
        <v/>
      </c>
    </row>
    <row r="692">
      <c r="A692" s="2" t="inlineStr">
        <is>
          <t>ORD-00691</t>
        </is>
      </c>
      <c r="B692" s="2" t="inlineStr">
        <is>
          <t>Customer 24</t>
        </is>
      </c>
      <c r="C692" s="2" t="inlineStr">
        <is>
          <t>Switchgear</t>
        </is>
      </c>
      <c r="D692" s="2" t="inlineStr">
        <is>
          <t>Plant C</t>
        </is>
      </c>
      <c r="E692" s="2" t="inlineStr">
        <is>
          <t>South</t>
        </is>
      </c>
      <c r="F692" s="12" t="n">
        <v>46118</v>
      </c>
      <c r="G692" s="12" t="n">
        <v>46138</v>
      </c>
      <c r="H692" s="12" t="n">
        <v>46135</v>
      </c>
      <c r="I692" s="12" t="n">
        <v>46134</v>
      </c>
      <c r="J692" s="12" t="n">
        <v>46136</v>
      </c>
      <c r="K692" s="2" t="n">
        <v>284</v>
      </c>
      <c r="L692" s="2" t="inlineStr">
        <is>
          <t>Air</t>
        </is>
      </c>
      <c r="M692" s="2" t="inlineStr">
        <is>
          <t>No Delay</t>
        </is>
      </c>
      <c r="N692" s="4">
        <f>IF(I692&lt;=H692,1,0)</f>
        <v/>
      </c>
      <c r="O692" s="4">
        <f>IF(J692&lt;=G692,1,0)</f>
        <v/>
      </c>
      <c r="P692" s="4">
        <f>MAX(0,I692-H692)</f>
        <v/>
      </c>
      <c r="Q692" s="4">
        <f>MAX(0,J692-G692)</f>
        <v/>
      </c>
      <c r="R692" s="4">
        <f>IF(AND(N692=1,O692=1),"On Track",IF(O692=0,"Customer Delivery Late","Ship Late"))</f>
        <v/>
      </c>
    </row>
    <row r="693">
      <c r="A693" s="2" t="inlineStr">
        <is>
          <t>ORD-00692</t>
        </is>
      </c>
      <c r="B693" s="2" t="inlineStr">
        <is>
          <t>Customer 24</t>
        </is>
      </c>
      <c r="C693" s="2" t="inlineStr">
        <is>
          <t>Drive</t>
        </is>
      </c>
      <c r="D693" s="2" t="inlineStr">
        <is>
          <t>Plant B</t>
        </is>
      </c>
      <c r="E693" s="2" t="inlineStr">
        <is>
          <t>Central</t>
        </is>
      </c>
      <c r="F693" s="12" t="n">
        <v>46104</v>
      </c>
      <c r="G693" s="12" t="n">
        <v>46129</v>
      </c>
      <c r="H693" s="12" t="n">
        <v>46128</v>
      </c>
      <c r="I693" s="12" t="n">
        <v>46127</v>
      </c>
      <c r="J693" s="12" t="n">
        <v>46128</v>
      </c>
      <c r="K693" s="2" t="n">
        <v>431</v>
      </c>
      <c r="L693" s="2" t="inlineStr">
        <is>
          <t>Sea</t>
        </is>
      </c>
      <c r="M693" s="2" t="inlineStr">
        <is>
          <t>No Delay</t>
        </is>
      </c>
      <c r="N693" s="4">
        <f>IF(I693&lt;=H693,1,0)</f>
        <v/>
      </c>
      <c r="O693" s="4">
        <f>IF(J693&lt;=G693,1,0)</f>
        <v/>
      </c>
      <c r="P693" s="4">
        <f>MAX(0,I693-H693)</f>
        <v/>
      </c>
      <c r="Q693" s="4">
        <f>MAX(0,J693-G693)</f>
        <v/>
      </c>
      <c r="R693" s="4">
        <f>IF(AND(N693=1,O693=1),"On Track",IF(O693=0,"Customer Delivery Late","Ship Late"))</f>
        <v/>
      </c>
    </row>
    <row r="694">
      <c r="A694" s="2" t="inlineStr">
        <is>
          <t>ORD-00693</t>
        </is>
      </c>
      <c r="B694" s="2" t="inlineStr">
        <is>
          <t>Customer 01</t>
        </is>
      </c>
      <c r="C694" s="2" t="inlineStr">
        <is>
          <t>Contactor</t>
        </is>
      </c>
      <c r="D694" s="2" t="inlineStr">
        <is>
          <t>Plant B</t>
        </is>
      </c>
      <c r="E694" s="2" t="inlineStr">
        <is>
          <t>North</t>
        </is>
      </c>
      <c r="F694" s="12" t="n">
        <v>46036</v>
      </c>
      <c r="G694" s="12" t="n">
        <v>46048</v>
      </c>
      <c r="H694" s="12" t="n">
        <v>46046</v>
      </c>
      <c r="I694" s="12" t="n">
        <v>46045</v>
      </c>
      <c r="J694" s="12" t="n">
        <v>46047</v>
      </c>
      <c r="K694" s="2" t="n">
        <v>404</v>
      </c>
      <c r="L694" s="2" t="inlineStr">
        <is>
          <t>Road</t>
        </is>
      </c>
      <c r="M694" s="2" t="inlineStr">
        <is>
          <t>No Delay</t>
        </is>
      </c>
      <c r="N694" s="4">
        <f>IF(I694&lt;=H694,1,0)</f>
        <v/>
      </c>
      <c r="O694" s="4">
        <f>IF(J694&lt;=G694,1,0)</f>
        <v/>
      </c>
      <c r="P694" s="4">
        <f>MAX(0,I694-H694)</f>
        <v/>
      </c>
      <c r="Q694" s="4">
        <f>MAX(0,J694-G694)</f>
        <v/>
      </c>
      <c r="R694" s="4">
        <f>IF(AND(N694=1,O694=1),"On Track",IF(O694=0,"Customer Delivery Late","Ship Late"))</f>
        <v/>
      </c>
    </row>
    <row r="695">
      <c r="A695" s="2" t="inlineStr">
        <is>
          <t>ORD-00694</t>
        </is>
      </c>
      <c r="B695" s="2" t="inlineStr">
        <is>
          <t>Customer 14</t>
        </is>
      </c>
      <c r="C695" s="2" t="inlineStr">
        <is>
          <t>Switchgear</t>
        </is>
      </c>
      <c r="D695" s="2" t="inlineStr">
        <is>
          <t>Plant B</t>
        </is>
      </c>
      <c r="E695" s="2" t="inlineStr">
        <is>
          <t>Central</t>
        </is>
      </c>
      <c r="F695" s="12" t="n">
        <v>46185</v>
      </c>
      <c r="G695" s="12" t="n">
        <v>46194</v>
      </c>
      <c r="H695" s="12" t="n">
        <v>46192</v>
      </c>
      <c r="I695" s="12" t="n">
        <v>46190</v>
      </c>
      <c r="J695" s="12" t="n">
        <v>46192</v>
      </c>
      <c r="K695" s="2" t="n">
        <v>1487</v>
      </c>
      <c r="L695" s="2" t="inlineStr">
        <is>
          <t>Road</t>
        </is>
      </c>
      <c r="M695" s="2" t="inlineStr">
        <is>
          <t>No Delay</t>
        </is>
      </c>
      <c r="N695" s="4">
        <f>IF(I695&lt;=H695,1,0)</f>
        <v/>
      </c>
      <c r="O695" s="4">
        <f>IF(J695&lt;=G695,1,0)</f>
        <v/>
      </c>
      <c r="P695" s="4">
        <f>MAX(0,I695-H695)</f>
        <v/>
      </c>
      <c r="Q695" s="4">
        <f>MAX(0,J695-G695)</f>
        <v/>
      </c>
      <c r="R695" s="4">
        <f>IF(AND(N695=1,O695=1),"On Track",IF(O695=0,"Customer Delivery Late","Ship Late"))</f>
        <v/>
      </c>
    </row>
    <row r="696">
      <c r="A696" s="2" t="inlineStr">
        <is>
          <t>ORD-00695</t>
        </is>
      </c>
      <c r="B696" s="2" t="inlineStr">
        <is>
          <t>Customer 21</t>
        </is>
      </c>
      <c r="C696" s="2" t="inlineStr">
        <is>
          <t>PLC</t>
        </is>
      </c>
      <c r="D696" s="2" t="inlineStr">
        <is>
          <t>Plant B</t>
        </is>
      </c>
      <c r="E696" s="2" t="inlineStr">
        <is>
          <t>Export</t>
        </is>
      </c>
      <c r="F696" s="12" t="n">
        <v>46085</v>
      </c>
      <c r="G696" s="12" t="n">
        <v>46103</v>
      </c>
      <c r="H696" s="12" t="n">
        <v>46101</v>
      </c>
      <c r="I696" s="12" t="n">
        <v>46100</v>
      </c>
      <c r="J696" s="12" t="n">
        <v>46103</v>
      </c>
      <c r="K696" s="2" t="n">
        <v>173</v>
      </c>
      <c r="L696" s="2" t="inlineStr">
        <is>
          <t>Air</t>
        </is>
      </c>
      <c r="M696" s="2" t="inlineStr">
        <is>
          <t>No Delay</t>
        </is>
      </c>
      <c r="N696" s="4">
        <f>IF(I696&lt;=H696,1,0)</f>
        <v/>
      </c>
      <c r="O696" s="4">
        <f>IF(J696&lt;=G696,1,0)</f>
        <v/>
      </c>
      <c r="P696" s="4">
        <f>MAX(0,I696-H696)</f>
        <v/>
      </c>
      <c r="Q696" s="4">
        <f>MAX(0,J696-G696)</f>
        <v/>
      </c>
      <c r="R696" s="4">
        <f>IF(AND(N696=1,O696=1),"On Track",IF(O696=0,"Customer Delivery Late","Ship Late"))</f>
        <v/>
      </c>
    </row>
    <row r="697">
      <c r="A697" s="2" t="inlineStr">
        <is>
          <t>ORD-00696</t>
        </is>
      </c>
      <c r="B697" s="2" t="inlineStr">
        <is>
          <t>Customer 26</t>
        </is>
      </c>
      <c r="C697" s="2" t="inlineStr">
        <is>
          <t>Switchgear</t>
        </is>
      </c>
      <c r="D697" s="2" t="inlineStr">
        <is>
          <t>Plant A</t>
        </is>
      </c>
      <c r="E697" s="2" t="inlineStr">
        <is>
          <t>Export</t>
        </is>
      </c>
      <c r="F697" s="12" t="n">
        <v>46124</v>
      </c>
      <c r="G697" s="12" t="n">
        <v>46141</v>
      </c>
      <c r="H697" s="12" t="n">
        <v>46139</v>
      </c>
      <c r="I697" s="12" t="n">
        <v>46138</v>
      </c>
      <c r="J697" s="12" t="n">
        <v>46140</v>
      </c>
      <c r="K697" s="2" t="n">
        <v>885</v>
      </c>
      <c r="L697" s="2" t="inlineStr">
        <is>
          <t>Road</t>
        </is>
      </c>
      <c r="M697" s="2" t="inlineStr">
        <is>
          <t>No Delay</t>
        </is>
      </c>
      <c r="N697" s="4">
        <f>IF(I697&lt;=H697,1,0)</f>
        <v/>
      </c>
      <c r="O697" s="4">
        <f>IF(J697&lt;=G697,1,0)</f>
        <v/>
      </c>
      <c r="P697" s="4">
        <f>MAX(0,I697-H697)</f>
        <v/>
      </c>
      <c r="Q697" s="4">
        <f>MAX(0,J697-G697)</f>
        <v/>
      </c>
      <c r="R697" s="4">
        <f>IF(AND(N697=1,O697=1),"On Track",IF(O697=0,"Customer Delivery Late","Ship Late"))</f>
        <v/>
      </c>
    </row>
    <row r="698">
      <c r="A698" s="2" t="inlineStr">
        <is>
          <t>ORD-00697</t>
        </is>
      </c>
      <c r="B698" s="2" t="inlineStr">
        <is>
          <t>Customer 10</t>
        </is>
      </c>
      <c r="C698" s="2" t="inlineStr">
        <is>
          <t>Switchgear</t>
        </is>
      </c>
      <c r="D698" s="2" t="inlineStr">
        <is>
          <t>Plant B</t>
        </is>
      </c>
      <c r="E698" s="2" t="inlineStr">
        <is>
          <t>Export</t>
        </is>
      </c>
      <c r="F698" s="12" t="n">
        <v>46099</v>
      </c>
      <c r="G698" s="12" t="n">
        <v>46123</v>
      </c>
      <c r="H698" s="12" t="n">
        <v>46118</v>
      </c>
      <c r="I698" s="12" t="n">
        <v>46118</v>
      </c>
      <c r="J698" s="12" t="n">
        <v>46123</v>
      </c>
      <c r="K698" s="2" t="n">
        <v>1161</v>
      </c>
      <c r="L698" s="2" t="inlineStr">
        <is>
          <t>Sea</t>
        </is>
      </c>
      <c r="M698" s="2" t="inlineStr">
        <is>
          <t>No Delay</t>
        </is>
      </c>
      <c r="N698" s="4">
        <f>IF(I698&lt;=H698,1,0)</f>
        <v/>
      </c>
      <c r="O698" s="4">
        <f>IF(J698&lt;=G698,1,0)</f>
        <v/>
      </c>
      <c r="P698" s="4">
        <f>MAX(0,I698-H698)</f>
        <v/>
      </c>
      <c r="Q698" s="4">
        <f>MAX(0,J698-G698)</f>
        <v/>
      </c>
      <c r="R698" s="4">
        <f>IF(AND(N698=1,O698=1),"On Track",IF(O698=0,"Customer Delivery Late","Ship Late"))</f>
        <v/>
      </c>
    </row>
    <row r="699">
      <c r="A699" s="2" t="inlineStr">
        <is>
          <t>ORD-00698</t>
        </is>
      </c>
      <c r="B699" s="2" t="inlineStr">
        <is>
          <t>Customer 01</t>
        </is>
      </c>
      <c r="C699" s="2" t="inlineStr">
        <is>
          <t>Breaker</t>
        </is>
      </c>
      <c r="D699" s="2" t="inlineStr">
        <is>
          <t>Plant C</t>
        </is>
      </c>
      <c r="E699" s="2" t="inlineStr">
        <is>
          <t>South</t>
        </is>
      </c>
      <c r="F699" s="12" t="n">
        <v>46146</v>
      </c>
      <c r="G699" s="12" t="n">
        <v>46153</v>
      </c>
      <c r="H699" s="12" t="n">
        <v>46150</v>
      </c>
      <c r="I699" s="12" t="n">
        <v>46149</v>
      </c>
      <c r="J699" s="12" t="n">
        <v>46152</v>
      </c>
      <c r="K699" s="2" t="n">
        <v>1016</v>
      </c>
      <c r="L699" s="2" t="inlineStr">
        <is>
          <t>Air</t>
        </is>
      </c>
      <c r="M699" s="2" t="inlineStr">
        <is>
          <t>No Delay</t>
        </is>
      </c>
      <c r="N699" s="4">
        <f>IF(I699&lt;=H699,1,0)</f>
        <v/>
      </c>
      <c r="O699" s="4">
        <f>IF(J699&lt;=G699,1,0)</f>
        <v/>
      </c>
      <c r="P699" s="4">
        <f>MAX(0,I699-H699)</f>
        <v/>
      </c>
      <c r="Q699" s="4">
        <f>MAX(0,J699-G699)</f>
        <v/>
      </c>
      <c r="R699" s="4">
        <f>IF(AND(N699=1,O699=1),"On Track",IF(O699=0,"Customer Delivery Late","Ship Late"))</f>
        <v/>
      </c>
    </row>
    <row r="700">
      <c r="A700" s="2" t="inlineStr">
        <is>
          <t>ORD-00699</t>
        </is>
      </c>
      <c r="B700" s="2" t="inlineStr">
        <is>
          <t>Customer 30</t>
        </is>
      </c>
      <c r="C700" s="2" t="inlineStr">
        <is>
          <t>Contactor</t>
        </is>
      </c>
      <c r="D700" s="2" t="inlineStr">
        <is>
          <t>Plant B</t>
        </is>
      </c>
      <c r="E700" s="2" t="inlineStr">
        <is>
          <t>Central</t>
        </is>
      </c>
      <c r="F700" s="12" t="n">
        <v>46129</v>
      </c>
      <c r="G700" s="12" t="n">
        <v>46146</v>
      </c>
      <c r="H700" s="12" t="n">
        <v>46143</v>
      </c>
      <c r="I700" s="12" t="n">
        <v>46142</v>
      </c>
      <c r="J700" s="12" t="n">
        <v>46145</v>
      </c>
      <c r="K700" s="2" t="n">
        <v>407</v>
      </c>
      <c r="L700" s="2" t="inlineStr">
        <is>
          <t>Air</t>
        </is>
      </c>
      <c r="M700" s="2" t="inlineStr">
        <is>
          <t>No Delay</t>
        </is>
      </c>
      <c r="N700" s="4">
        <f>IF(I700&lt;=H700,1,0)</f>
        <v/>
      </c>
      <c r="O700" s="4">
        <f>IF(J700&lt;=G700,1,0)</f>
        <v/>
      </c>
      <c r="P700" s="4">
        <f>MAX(0,I700-H700)</f>
        <v/>
      </c>
      <c r="Q700" s="4">
        <f>MAX(0,J700-G700)</f>
        <v/>
      </c>
      <c r="R700" s="4">
        <f>IF(AND(N700=1,O700=1),"On Track",IF(O700=0,"Customer Delivery Late","Ship Late"))</f>
        <v/>
      </c>
    </row>
    <row r="701">
      <c r="A701" s="2" t="inlineStr">
        <is>
          <t>ORD-00700</t>
        </is>
      </c>
      <c r="B701" s="2" t="inlineStr">
        <is>
          <t>Customer 30</t>
        </is>
      </c>
      <c r="C701" s="2" t="inlineStr">
        <is>
          <t>Power Supply</t>
        </is>
      </c>
      <c r="D701" s="2" t="inlineStr">
        <is>
          <t>Plant C</t>
        </is>
      </c>
      <c r="E701" s="2" t="inlineStr">
        <is>
          <t>Central</t>
        </is>
      </c>
      <c r="F701" s="12" t="n">
        <v>46088</v>
      </c>
      <c r="G701" s="12" t="n">
        <v>46104</v>
      </c>
      <c r="H701" s="12" t="n">
        <v>46099</v>
      </c>
      <c r="I701" s="12" t="n">
        <v>46099</v>
      </c>
      <c r="J701" s="12" t="n">
        <v>46103</v>
      </c>
      <c r="K701" s="2" t="n">
        <v>506</v>
      </c>
      <c r="L701" s="2" t="inlineStr">
        <is>
          <t>Air</t>
        </is>
      </c>
      <c r="M701" s="2" t="inlineStr">
        <is>
          <t>No Delay</t>
        </is>
      </c>
      <c r="N701" s="4">
        <f>IF(I701&lt;=H701,1,0)</f>
        <v/>
      </c>
      <c r="O701" s="4">
        <f>IF(J701&lt;=G701,1,0)</f>
        <v/>
      </c>
      <c r="P701" s="4">
        <f>MAX(0,I701-H701)</f>
        <v/>
      </c>
      <c r="Q701" s="4">
        <f>MAX(0,J701-G701)</f>
        <v/>
      </c>
      <c r="R701" s="4">
        <f>IF(AND(N701=1,O701=1),"On Track",IF(O701=0,"Customer Delivery Late","Ship Late"))</f>
        <v/>
      </c>
    </row>
    <row r="702">
      <c r="A702" s="2" t="inlineStr">
        <is>
          <t>ORD-00701</t>
        </is>
      </c>
      <c r="B702" s="2" t="inlineStr">
        <is>
          <t>Customer 22</t>
        </is>
      </c>
      <c r="C702" s="2" t="inlineStr">
        <is>
          <t>Relay</t>
        </is>
      </c>
      <c r="D702" s="2" t="inlineStr">
        <is>
          <t>Plant B</t>
        </is>
      </c>
      <c r="E702" s="2" t="inlineStr">
        <is>
          <t>Central</t>
        </is>
      </c>
      <c r="F702" s="12" t="n">
        <v>46031</v>
      </c>
      <c r="G702" s="12" t="n">
        <v>46047</v>
      </c>
      <c r="H702" s="12" t="n">
        <v>46046</v>
      </c>
      <c r="I702" s="12" t="n">
        <v>46046</v>
      </c>
      <c r="J702" s="12" t="n">
        <v>46047</v>
      </c>
      <c r="K702" s="2" t="n">
        <v>1243</v>
      </c>
      <c r="L702" s="2" t="inlineStr">
        <is>
          <t>Sea</t>
        </is>
      </c>
      <c r="M702" s="2" t="inlineStr">
        <is>
          <t>No Delay</t>
        </is>
      </c>
      <c r="N702" s="4">
        <f>IF(I702&lt;=H702,1,0)</f>
        <v/>
      </c>
      <c r="O702" s="4">
        <f>IF(J702&lt;=G702,1,0)</f>
        <v/>
      </c>
      <c r="P702" s="4">
        <f>MAX(0,I702-H702)</f>
        <v/>
      </c>
      <c r="Q702" s="4">
        <f>MAX(0,J702-G702)</f>
        <v/>
      </c>
      <c r="R702" s="4">
        <f>IF(AND(N702=1,O702=1),"On Track",IF(O702=0,"Customer Delivery Late","Ship Late"))</f>
        <v/>
      </c>
    </row>
    <row r="703">
      <c r="A703" s="2" t="inlineStr">
        <is>
          <t>ORD-00702</t>
        </is>
      </c>
      <c r="B703" s="2" t="inlineStr">
        <is>
          <t>Customer 29</t>
        </is>
      </c>
      <c r="C703" s="2" t="inlineStr">
        <is>
          <t>Contactor</t>
        </is>
      </c>
      <c r="D703" s="2" t="inlineStr">
        <is>
          <t>Plant C</t>
        </is>
      </c>
      <c r="E703" s="2" t="inlineStr">
        <is>
          <t>Central</t>
        </is>
      </c>
      <c r="F703" s="12" t="n">
        <v>46192</v>
      </c>
      <c r="G703" s="12" t="n">
        <v>46202</v>
      </c>
      <c r="H703" s="12" t="n">
        <v>46201</v>
      </c>
      <c r="I703" s="12" t="n">
        <v>46199</v>
      </c>
      <c r="J703" s="12" t="n">
        <v>46200</v>
      </c>
      <c r="K703" s="2" t="n">
        <v>876</v>
      </c>
      <c r="L703" s="2" t="inlineStr">
        <is>
          <t>Road</t>
        </is>
      </c>
      <c r="M703" s="2" t="inlineStr">
        <is>
          <t>No Delay</t>
        </is>
      </c>
      <c r="N703" s="4">
        <f>IF(I703&lt;=H703,1,0)</f>
        <v/>
      </c>
      <c r="O703" s="4">
        <f>IF(J703&lt;=G703,1,0)</f>
        <v/>
      </c>
      <c r="P703" s="4">
        <f>MAX(0,I703-H703)</f>
        <v/>
      </c>
      <c r="Q703" s="4">
        <f>MAX(0,J703-G703)</f>
        <v/>
      </c>
      <c r="R703" s="4">
        <f>IF(AND(N703=1,O703=1),"On Track",IF(O703=0,"Customer Delivery Late","Ship Late"))</f>
        <v/>
      </c>
    </row>
    <row r="704">
      <c r="A704" s="2" t="inlineStr">
        <is>
          <t>ORD-00703</t>
        </is>
      </c>
      <c r="B704" s="2" t="inlineStr">
        <is>
          <t>Customer 25</t>
        </is>
      </c>
      <c r="C704" s="2" t="inlineStr">
        <is>
          <t>Contactor</t>
        </is>
      </c>
      <c r="D704" s="2" t="inlineStr">
        <is>
          <t>Plant A</t>
        </is>
      </c>
      <c r="E704" s="2" t="inlineStr">
        <is>
          <t>South</t>
        </is>
      </c>
      <c r="F704" s="12" t="n">
        <v>46132</v>
      </c>
      <c r="G704" s="12" t="n">
        <v>46145</v>
      </c>
      <c r="H704" s="12" t="n">
        <v>46142</v>
      </c>
      <c r="I704" s="12" t="n">
        <v>46142</v>
      </c>
      <c r="J704" s="12" t="n">
        <v>46146</v>
      </c>
      <c r="K704" s="2" t="n">
        <v>302</v>
      </c>
      <c r="L704" s="2" t="inlineStr">
        <is>
          <t>Air</t>
        </is>
      </c>
      <c r="M704" s="2" t="inlineStr">
        <is>
          <t>Documentation Issue</t>
        </is>
      </c>
      <c r="N704" s="4">
        <f>IF(I704&lt;=H704,1,0)</f>
        <v/>
      </c>
      <c r="O704" s="4">
        <f>IF(J704&lt;=G704,1,0)</f>
        <v/>
      </c>
      <c r="P704" s="4">
        <f>MAX(0,I704-H704)</f>
        <v/>
      </c>
      <c r="Q704" s="4">
        <f>MAX(0,J704-G704)</f>
        <v/>
      </c>
      <c r="R704" s="4">
        <f>IF(AND(N704=1,O704=1),"On Track",IF(O704=0,"Customer Delivery Late","Ship Late"))</f>
        <v/>
      </c>
    </row>
    <row r="705">
      <c r="A705" s="2" t="inlineStr">
        <is>
          <t>ORD-00704</t>
        </is>
      </c>
      <c r="B705" s="2" t="inlineStr">
        <is>
          <t>Customer 25</t>
        </is>
      </c>
      <c r="C705" s="2" t="inlineStr">
        <is>
          <t>Power Supply</t>
        </is>
      </c>
      <c r="D705" s="2" t="inlineStr">
        <is>
          <t>Plant C</t>
        </is>
      </c>
      <c r="E705" s="2" t="inlineStr">
        <is>
          <t>Export</t>
        </is>
      </c>
      <c r="F705" s="12" t="n">
        <v>46076</v>
      </c>
      <c r="G705" s="12" t="n">
        <v>46093</v>
      </c>
      <c r="H705" s="12" t="n">
        <v>46090</v>
      </c>
      <c r="I705" s="12" t="n">
        <v>46088</v>
      </c>
      <c r="J705" s="12" t="n">
        <v>46090</v>
      </c>
      <c r="K705" s="2" t="n">
        <v>1350</v>
      </c>
      <c r="L705" s="2" t="inlineStr">
        <is>
          <t>Air</t>
        </is>
      </c>
      <c r="M705" s="2" t="inlineStr">
        <is>
          <t>No Delay</t>
        </is>
      </c>
      <c r="N705" s="4">
        <f>IF(I705&lt;=H705,1,0)</f>
        <v/>
      </c>
      <c r="O705" s="4">
        <f>IF(J705&lt;=G705,1,0)</f>
        <v/>
      </c>
      <c r="P705" s="4">
        <f>MAX(0,I705-H705)</f>
        <v/>
      </c>
      <c r="Q705" s="4">
        <f>MAX(0,J705-G705)</f>
        <v/>
      </c>
      <c r="R705" s="4">
        <f>IF(AND(N705=1,O705=1),"On Track",IF(O705=0,"Customer Delivery Late","Ship Late"))</f>
        <v/>
      </c>
    </row>
    <row r="706">
      <c r="A706" s="2" t="inlineStr">
        <is>
          <t>ORD-00705</t>
        </is>
      </c>
      <c r="B706" s="2" t="inlineStr">
        <is>
          <t>Customer 17</t>
        </is>
      </c>
      <c r="C706" s="2" t="inlineStr">
        <is>
          <t>Contactor</t>
        </is>
      </c>
      <c r="D706" s="2" t="inlineStr">
        <is>
          <t>Plant B</t>
        </is>
      </c>
      <c r="E706" s="2" t="inlineStr">
        <is>
          <t>Central</t>
        </is>
      </c>
      <c r="F706" s="12" t="n">
        <v>46133</v>
      </c>
      <c r="G706" s="12" t="n">
        <v>46143</v>
      </c>
      <c r="H706" s="12" t="n">
        <v>46141</v>
      </c>
      <c r="I706" s="12" t="n">
        <v>46141</v>
      </c>
      <c r="J706" s="12" t="n">
        <v>46143</v>
      </c>
      <c r="K706" s="2" t="n">
        <v>390</v>
      </c>
      <c r="L706" s="2" t="inlineStr">
        <is>
          <t>Road</t>
        </is>
      </c>
      <c r="M706" s="2" t="inlineStr">
        <is>
          <t>No Delay</t>
        </is>
      </c>
      <c r="N706" s="4">
        <f>IF(I706&lt;=H706,1,0)</f>
        <v/>
      </c>
      <c r="O706" s="4">
        <f>IF(J706&lt;=G706,1,0)</f>
        <v/>
      </c>
      <c r="P706" s="4">
        <f>MAX(0,I706-H706)</f>
        <v/>
      </c>
      <c r="Q706" s="4">
        <f>MAX(0,J706-G706)</f>
        <v/>
      </c>
      <c r="R706" s="4">
        <f>IF(AND(N706=1,O706=1),"On Track",IF(O706=0,"Customer Delivery Late","Ship Late"))</f>
        <v/>
      </c>
    </row>
    <row r="707">
      <c r="A707" s="2" t="inlineStr">
        <is>
          <t>ORD-00706</t>
        </is>
      </c>
      <c r="B707" s="2" t="inlineStr">
        <is>
          <t>Customer 21</t>
        </is>
      </c>
      <c r="C707" s="2" t="inlineStr">
        <is>
          <t>Relay</t>
        </is>
      </c>
      <c r="D707" s="2" t="inlineStr">
        <is>
          <t>Plant A</t>
        </is>
      </c>
      <c r="E707" s="2" t="inlineStr">
        <is>
          <t>South</t>
        </is>
      </c>
      <c r="F707" s="12" t="n">
        <v>46038</v>
      </c>
      <c r="G707" s="12" t="n">
        <v>46048</v>
      </c>
      <c r="H707" s="12" t="n">
        <v>46046</v>
      </c>
      <c r="I707" s="12" t="n">
        <v>46045</v>
      </c>
      <c r="J707" s="12" t="n">
        <v>46048</v>
      </c>
      <c r="K707" s="2" t="n">
        <v>185</v>
      </c>
      <c r="L707" s="2" t="inlineStr">
        <is>
          <t>Air</t>
        </is>
      </c>
      <c r="M707" s="2" t="inlineStr">
        <is>
          <t>No Delay</t>
        </is>
      </c>
      <c r="N707" s="4">
        <f>IF(I707&lt;=H707,1,0)</f>
        <v/>
      </c>
      <c r="O707" s="4">
        <f>IF(J707&lt;=G707,1,0)</f>
        <v/>
      </c>
      <c r="P707" s="4">
        <f>MAX(0,I707-H707)</f>
        <v/>
      </c>
      <c r="Q707" s="4">
        <f>MAX(0,J707-G707)</f>
        <v/>
      </c>
      <c r="R707" s="4">
        <f>IF(AND(N707=1,O707=1),"On Track",IF(O707=0,"Customer Delivery Late","Ship Late"))</f>
        <v/>
      </c>
    </row>
    <row r="708">
      <c r="A708" s="2" t="inlineStr">
        <is>
          <t>ORD-00707</t>
        </is>
      </c>
      <c r="B708" s="2" t="inlineStr">
        <is>
          <t>Customer 25</t>
        </is>
      </c>
      <c r="C708" s="2" t="inlineStr">
        <is>
          <t>Contactor</t>
        </is>
      </c>
      <c r="D708" s="2" t="inlineStr">
        <is>
          <t>Plant A</t>
        </is>
      </c>
      <c r="E708" s="2" t="inlineStr">
        <is>
          <t>North</t>
        </is>
      </c>
      <c r="F708" s="12" t="n">
        <v>46054</v>
      </c>
      <c r="G708" s="12" t="n">
        <v>46067</v>
      </c>
      <c r="H708" s="12" t="n">
        <v>46066</v>
      </c>
      <c r="I708" s="12" t="n">
        <v>46066</v>
      </c>
      <c r="J708" s="12" t="n">
        <v>46067</v>
      </c>
      <c r="K708" s="2" t="n">
        <v>554</v>
      </c>
      <c r="L708" s="2" t="inlineStr">
        <is>
          <t>Road</t>
        </is>
      </c>
      <c r="M708" s="2" t="inlineStr">
        <is>
          <t>No Delay</t>
        </is>
      </c>
      <c r="N708" s="4">
        <f>IF(I708&lt;=H708,1,0)</f>
        <v/>
      </c>
      <c r="O708" s="4">
        <f>IF(J708&lt;=G708,1,0)</f>
        <v/>
      </c>
      <c r="P708" s="4">
        <f>MAX(0,I708-H708)</f>
        <v/>
      </c>
      <c r="Q708" s="4">
        <f>MAX(0,J708-G708)</f>
        <v/>
      </c>
      <c r="R708" s="4">
        <f>IF(AND(N708=1,O708=1),"On Track",IF(O708=0,"Customer Delivery Late","Ship Late"))</f>
        <v/>
      </c>
    </row>
    <row r="709">
      <c r="A709" s="2" t="inlineStr">
        <is>
          <t>ORD-00708</t>
        </is>
      </c>
      <c r="B709" s="2" t="inlineStr">
        <is>
          <t>Customer 25</t>
        </is>
      </c>
      <c r="C709" s="2" t="inlineStr">
        <is>
          <t>Sensor</t>
        </is>
      </c>
      <c r="D709" s="2" t="inlineStr">
        <is>
          <t>Plant B</t>
        </is>
      </c>
      <c r="E709" s="2" t="inlineStr">
        <is>
          <t>Export</t>
        </is>
      </c>
      <c r="F709" s="12" t="n">
        <v>46193</v>
      </c>
      <c r="G709" s="12" t="n">
        <v>46216</v>
      </c>
      <c r="H709" s="12" t="n">
        <v>46215</v>
      </c>
      <c r="I709" s="12" t="n">
        <v>46215</v>
      </c>
      <c r="J709" s="12" t="n">
        <v>46216</v>
      </c>
      <c r="K709" s="2" t="n">
        <v>700</v>
      </c>
      <c r="L709" s="2" t="inlineStr">
        <is>
          <t>Sea</t>
        </is>
      </c>
      <c r="M709" s="2" t="inlineStr">
        <is>
          <t>No Delay</t>
        </is>
      </c>
      <c r="N709" s="4">
        <f>IF(I709&lt;=H709,1,0)</f>
        <v/>
      </c>
      <c r="O709" s="4">
        <f>IF(J709&lt;=G709,1,0)</f>
        <v/>
      </c>
      <c r="P709" s="4">
        <f>MAX(0,I709-H709)</f>
        <v/>
      </c>
      <c r="Q709" s="4">
        <f>MAX(0,J709-G709)</f>
        <v/>
      </c>
      <c r="R709" s="4">
        <f>IF(AND(N709=1,O709=1),"On Track",IF(O709=0,"Customer Delivery Late","Ship Late"))</f>
        <v/>
      </c>
    </row>
    <row r="710">
      <c r="A710" s="2" t="inlineStr">
        <is>
          <t>ORD-00709</t>
        </is>
      </c>
      <c r="B710" s="2" t="inlineStr">
        <is>
          <t>Customer 22</t>
        </is>
      </c>
      <c r="C710" s="2" t="inlineStr">
        <is>
          <t>Power Supply</t>
        </is>
      </c>
      <c r="D710" s="2" t="inlineStr">
        <is>
          <t>Plant B</t>
        </is>
      </c>
      <c r="E710" s="2" t="inlineStr">
        <is>
          <t>North</t>
        </is>
      </c>
      <c r="F710" s="12" t="n">
        <v>46132</v>
      </c>
      <c r="G710" s="12" t="n">
        <v>46147</v>
      </c>
      <c r="H710" s="12" t="n">
        <v>46144</v>
      </c>
      <c r="I710" s="12" t="n">
        <v>46143</v>
      </c>
      <c r="J710" s="12" t="n">
        <v>46146</v>
      </c>
      <c r="K710" s="2" t="n">
        <v>739</v>
      </c>
      <c r="L710" s="2" t="inlineStr">
        <is>
          <t>Air</t>
        </is>
      </c>
      <c r="M710" s="2" t="inlineStr">
        <is>
          <t>No Delay</t>
        </is>
      </c>
      <c r="N710" s="4">
        <f>IF(I710&lt;=H710,1,0)</f>
        <v/>
      </c>
      <c r="O710" s="4">
        <f>IF(J710&lt;=G710,1,0)</f>
        <v/>
      </c>
      <c r="P710" s="4">
        <f>MAX(0,I710-H710)</f>
        <v/>
      </c>
      <c r="Q710" s="4">
        <f>MAX(0,J710-G710)</f>
        <v/>
      </c>
      <c r="R710" s="4">
        <f>IF(AND(N710=1,O710=1),"On Track",IF(O710=0,"Customer Delivery Late","Ship Late"))</f>
        <v/>
      </c>
    </row>
    <row r="711">
      <c r="A711" s="2" t="inlineStr">
        <is>
          <t>ORD-00710</t>
        </is>
      </c>
      <c r="B711" s="2" t="inlineStr">
        <is>
          <t>Customer 28</t>
        </is>
      </c>
      <c r="C711" s="2" t="inlineStr">
        <is>
          <t>Sensor</t>
        </is>
      </c>
      <c r="D711" s="2" t="inlineStr">
        <is>
          <t>Plant C</t>
        </is>
      </c>
      <c r="E711" s="2" t="inlineStr">
        <is>
          <t>Central</t>
        </is>
      </c>
      <c r="F711" s="12" t="n">
        <v>46048</v>
      </c>
      <c r="G711" s="12" t="n">
        <v>46053</v>
      </c>
      <c r="H711" s="12" t="n">
        <v>46049</v>
      </c>
      <c r="I711" s="12" t="n">
        <v>46048</v>
      </c>
      <c r="J711" s="12" t="n">
        <v>46051</v>
      </c>
      <c r="K711" s="2" t="n">
        <v>764</v>
      </c>
      <c r="L711" s="2" t="inlineStr">
        <is>
          <t>Air</t>
        </is>
      </c>
      <c r="M711" s="2" t="inlineStr">
        <is>
          <t>No Delay</t>
        </is>
      </c>
      <c r="N711" s="4">
        <f>IF(I711&lt;=H711,1,0)</f>
        <v/>
      </c>
      <c r="O711" s="4">
        <f>IF(J711&lt;=G711,1,0)</f>
        <v/>
      </c>
      <c r="P711" s="4">
        <f>MAX(0,I711-H711)</f>
        <v/>
      </c>
      <c r="Q711" s="4">
        <f>MAX(0,J711-G711)</f>
        <v/>
      </c>
      <c r="R711" s="4">
        <f>IF(AND(N711=1,O711=1),"On Track",IF(O711=0,"Customer Delivery Late","Ship Late"))</f>
        <v/>
      </c>
    </row>
    <row r="712">
      <c r="A712" s="2" t="inlineStr">
        <is>
          <t>ORD-00711</t>
        </is>
      </c>
      <c r="B712" s="2" t="inlineStr">
        <is>
          <t>Customer 26</t>
        </is>
      </c>
      <c r="C712" s="2" t="inlineStr">
        <is>
          <t>Drive</t>
        </is>
      </c>
      <c r="D712" s="2" t="inlineStr">
        <is>
          <t>Plant C</t>
        </is>
      </c>
      <c r="E712" s="2" t="inlineStr">
        <is>
          <t>Export</t>
        </is>
      </c>
      <c r="F712" s="12" t="n">
        <v>46181</v>
      </c>
      <c r="G712" s="12" t="n">
        <v>46201</v>
      </c>
      <c r="H712" s="12" t="n">
        <v>46196</v>
      </c>
      <c r="I712" s="12" t="n">
        <v>46194</v>
      </c>
      <c r="J712" s="12" t="n">
        <v>46204</v>
      </c>
      <c r="K712" s="2" t="n">
        <v>488</v>
      </c>
      <c r="L712" s="2" t="inlineStr">
        <is>
          <t>Sea</t>
        </is>
      </c>
      <c r="M712" s="2" t="inlineStr">
        <is>
          <t>Material Shortage</t>
        </is>
      </c>
      <c r="N712" s="4">
        <f>IF(I712&lt;=H712,1,0)</f>
        <v/>
      </c>
      <c r="O712" s="4">
        <f>IF(J712&lt;=G712,1,0)</f>
        <v/>
      </c>
      <c r="P712" s="4">
        <f>MAX(0,I712-H712)</f>
        <v/>
      </c>
      <c r="Q712" s="4">
        <f>MAX(0,J712-G712)</f>
        <v/>
      </c>
      <c r="R712" s="4">
        <f>IF(AND(N712=1,O712=1),"On Track",IF(O712=0,"Customer Delivery Late","Ship Late"))</f>
        <v/>
      </c>
    </row>
    <row r="713">
      <c r="A713" s="2" t="inlineStr">
        <is>
          <t>ORD-00712</t>
        </is>
      </c>
      <c r="B713" s="2" t="inlineStr">
        <is>
          <t>Customer 28</t>
        </is>
      </c>
      <c r="C713" s="2" t="inlineStr">
        <is>
          <t>Contactor</t>
        </is>
      </c>
      <c r="D713" s="2" t="inlineStr">
        <is>
          <t>Plant C</t>
        </is>
      </c>
      <c r="E713" s="2" t="inlineStr">
        <is>
          <t>Export</t>
        </is>
      </c>
      <c r="F713" s="12" t="n">
        <v>46147</v>
      </c>
      <c r="G713" s="12" t="n">
        <v>46164</v>
      </c>
      <c r="H713" s="12" t="n">
        <v>46159</v>
      </c>
      <c r="I713" s="12" t="n">
        <v>46158</v>
      </c>
      <c r="J713" s="12" t="n">
        <v>46163</v>
      </c>
      <c r="K713" s="2" t="n">
        <v>611</v>
      </c>
      <c r="L713" s="2" t="inlineStr">
        <is>
          <t>Sea</t>
        </is>
      </c>
      <c r="M713" s="2" t="inlineStr">
        <is>
          <t>No Delay</t>
        </is>
      </c>
      <c r="N713" s="4">
        <f>IF(I713&lt;=H713,1,0)</f>
        <v/>
      </c>
      <c r="O713" s="4">
        <f>IF(J713&lt;=G713,1,0)</f>
        <v/>
      </c>
      <c r="P713" s="4">
        <f>MAX(0,I713-H713)</f>
        <v/>
      </c>
      <c r="Q713" s="4">
        <f>MAX(0,J713-G713)</f>
        <v/>
      </c>
      <c r="R713" s="4">
        <f>IF(AND(N713=1,O713=1),"On Track",IF(O713=0,"Customer Delivery Late","Ship Late"))</f>
        <v/>
      </c>
    </row>
    <row r="714">
      <c r="A714" s="2" t="inlineStr">
        <is>
          <t>ORD-00713</t>
        </is>
      </c>
      <c r="B714" s="2" t="inlineStr">
        <is>
          <t>Customer 03</t>
        </is>
      </c>
      <c r="C714" s="2" t="inlineStr">
        <is>
          <t>Sensor</t>
        </is>
      </c>
      <c r="D714" s="2" t="inlineStr">
        <is>
          <t>Plant C</t>
        </is>
      </c>
      <c r="E714" s="2" t="inlineStr">
        <is>
          <t>Export</t>
        </is>
      </c>
      <c r="F714" s="12" t="n">
        <v>46072</v>
      </c>
      <c r="G714" s="12" t="n">
        <v>46081</v>
      </c>
      <c r="H714" s="12" t="n">
        <v>46076</v>
      </c>
      <c r="I714" s="12" t="n">
        <v>46076</v>
      </c>
      <c r="J714" s="12" t="n">
        <v>46081</v>
      </c>
      <c r="K714" s="2" t="n">
        <v>354</v>
      </c>
      <c r="L714" s="2" t="inlineStr">
        <is>
          <t>Air</t>
        </is>
      </c>
      <c r="M714" s="2" t="inlineStr">
        <is>
          <t>No Delay</t>
        </is>
      </c>
      <c r="N714" s="4">
        <f>IF(I714&lt;=H714,1,0)</f>
        <v/>
      </c>
      <c r="O714" s="4">
        <f>IF(J714&lt;=G714,1,0)</f>
        <v/>
      </c>
      <c r="P714" s="4">
        <f>MAX(0,I714-H714)</f>
        <v/>
      </c>
      <c r="Q714" s="4">
        <f>MAX(0,J714-G714)</f>
        <v/>
      </c>
      <c r="R714" s="4">
        <f>IF(AND(N714=1,O714=1),"On Track",IF(O714=0,"Customer Delivery Late","Ship Late"))</f>
        <v/>
      </c>
    </row>
    <row r="715">
      <c r="A715" s="2" t="inlineStr">
        <is>
          <t>ORD-00714</t>
        </is>
      </c>
      <c r="B715" s="2" t="inlineStr">
        <is>
          <t>Customer 23</t>
        </is>
      </c>
      <c r="C715" s="2" t="inlineStr">
        <is>
          <t>Breaker</t>
        </is>
      </c>
      <c r="D715" s="2" t="inlineStr">
        <is>
          <t>Plant A</t>
        </is>
      </c>
      <c r="E715" s="2" t="inlineStr">
        <is>
          <t>South</t>
        </is>
      </c>
      <c r="F715" s="12" t="n">
        <v>46052</v>
      </c>
      <c r="G715" s="12" t="n">
        <v>46072</v>
      </c>
      <c r="H715" s="12" t="n">
        <v>46067</v>
      </c>
      <c r="I715" s="12" t="n">
        <v>46065</v>
      </c>
      <c r="J715" s="12" t="n">
        <v>46069</v>
      </c>
      <c r="K715" s="2" t="n">
        <v>795</v>
      </c>
      <c r="L715" s="2" t="inlineStr">
        <is>
          <t>Air</t>
        </is>
      </c>
      <c r="M715" s="2" t="inlineStr">
        <is>
          <t>No Delay</t>
        </is>
      </c>
      <c r="N715" s="4">
        <f>IF(I715&lt;=H715,1,0)</f>
        <v/>
      </c>
      <c r="O715" s="4">
        <f>IF(J715&lt;=G715,1,0)</f>
        <v/>
      </c>
      <c r="P715" s="4">
        <f>MAX(0,I715-H715)</f>
        <v/>
      </c>
      <c r="Q715" s="4">
        <f>MAX(0,J715-G715)</f>
        <v/>
      </c>
      <c r="R715" s="4">
        <f>IF(AND(N715=1,O715=1),"On Track",IF(O715=0,"Customer Delivery Late","Ship Late"))</f>
        <v/>
      </c>
    </row>
    <row r="716">
      <c r="A716" s="2" t="inlineStr">
        <is>
          <t>ORD-00715</t>
        </is>
      </c>
      <c r="B716" s="2" t="inlineStr">
        <is>
          <t>Customer 21</t>
        </is>
      </c>
      <c r="C716" s="2" t="inlineStr">
        <is>
          <t>Switchgear</t>
        </is>
      </c>
      <c r="D716" s="2" t="inlineStr">
        <is>
          <t>Plant A</t>
        </is>
      </c>
      <c r="E716" s="2" t="inlineStr">
        <is>
          <t>South</t>
        </is>
      </c>
      <c r="F716" s="12" t="n">
        <v>46079</v>
      </c>
      <c r="G716" s="12" t="n">
        <v>46092</v>
      </c>
      <c r="H716" s="12" t="n">
        <v>46088</v>
      </c>
      <c r="I716" s="12" t="n">
        <v>46088</v>
      </c>
      <c r="J716" s="12" t="n">
        <v>46092</v>
      </c>
      <c r="K716" s="2" t="n">
        <v>468</v>
      </c>
      <c r="L716" s="2" t="inlineStr">
        <is>
          <t>Sea</t>
        </is>
      </c>
      <c r="M716" s="2" t="inlineStr">
        <is>
          <t>No Delay</t>
        </is>
      </c>
      <c r="N716" s="4">
        <f>IF(I716&lt;=H716,1,0)</f>
        <v/>
      </c>
      <c r="O716" s="4">
        <f>IF(J716&lt;=G716,1,0)</f>
        <v/>
      </c>
      <c r="P716" s="4">
        <f>MAX(0,I716-H716)</f>
        <v/>
      </c>
      <c r="Q716" s="4">
        <f>MAX(0,J716-G716)</f>
        <v/>
      </c>
      <c r="R716" s="4">
        <f>IF(AND(N716=1,O716=1),"On Track",IF(O716=0,"Customer Delivery Late","Ship Late"))</f>
        <v/>
      </c>
    </row>
    <row r="717">
      <c r="A717" s="2" t="inlineStr">
        <is>
          <t>ORD-00716</t>
        </is>
      </c>
      <c r="B717" s="2" t="inlineStr">
        <is>
          <t>Customer 26</t>
        </is>
      </c>
      <c r="C717" s="2" t="inlineStr">
        <is>
          <t>PLC</t>
        </is>
      </c>
      <c r="D717" s="2" t="inlineStr">
        <is>
          <t>Plant A</t>
        </is>
      </c>
      <c r="E717" s="2" t="inlineStr">
        <is>
          <t>South</t>
        </is>
      </c>
      <c r="F717" s="12" t="n">
        <v>46176</v>
      </c>
      <c r="G717" s="12" t="n">
        <v>46183</v>
      </c>
      <c r="H717" s="12" t="n">
        <v>46180</v>
      </c>
      <c r="I717" s="12" t="n">
        <v>46180</v>
      </c>
      <c r="J717" s="12" t="n">
        <v>46184</v>
      </c>
      <c r="K717" s="2" t="n">
        <v>246</v>
      </c>
      <c r="L717" s="2" t="inlineStr">
        <is>
          <t>Air</t>
        </is>
      </c>
      <c r="M717" s="2" t="inlineStr">
        <is>
          <t>Documentation Issue</t>
        </is>
      </c>
      <c r="N717" s="4">
        <f>IF(I717&lt;=H717,1,0)</f>
        <v/>
      </c>
      <c r="O717" s="4">
        <f>IF(J717&lt;=G717,1,0)</f>
        <v/>
      </c>
      <c r="P717" s="4">
        <f>MAX(0,I717-H717)</f>
        <v/>
      </c>
      <c r="Q717" s="4">
        <f>MAX(0,J717-G717)</f>
        <v/>
      </c>
      <c r="R717" s="4">
        <f>IF(AND(N717=1,O717=1),"On Track",IF(O717=0,"Customer Delivery Late","Ship Late"))</f>
        <v/>
      </c>
    </row>
    <row r="718">
      <c r="A718" s="2" t="inlineStr">
        <is>
          <t>ORD-00717</t>
        </is>
      </c>
      <c r="B718" s="2" t="inlineStr">
        <is>
          <t>Customer 05</t>
        </is>
      </c>
      <c r="C718" s="2" t="inlineStr">
        <is>
          <t>Drive</t>
        </is>
      </c>
      <c r="D718" s="2" t="inlineStr">
        <is>
          <t>Plant B</t>
        </is>
      </c>
      <c r="E718" s="2" t="inlineStr">
        <is>
          <t>North</t>
        </is>
      </c>
      <c r="F718" s="12" t="n">
        <v>46045</v>
      </c>
      <c r="G718" s="12" t="n">
        <v>46053</v>
      </c>
      <c r="H718" s="12" t="n">
        <v>46052</v>
      </c>
      <c r="I718" s="12" t="n">
        <v>46052</v>
      </c>
      <c r="J718" s="12" t="n">
        <v>46053</v>
      </c>
      <c r="K718" s="2" t="n">
        <v>646</v>
      </c>
      <c r="L718" s="2" t="inlineStr">
        <is>
          <t>Road</t>
        </is>
      </c>
      <c r="M718" s="2" t="inlineStr">
        <is>
          <t>No Delay</t>
        </is>
      </c>
      <c r="N718" s="4">
        <f>IF(I718&lt;=H718,1,0)</f>
        <v/>
      </c>
      <c r="O718" s="4">
        <f>IF(J718&lt;=G718,1,0)</f>
        <v/>
      </c>
      <c r="P718" s="4">
        <f>MAX(0,I718-H718)</f>
        <v/>
      </c>
      <c r="Q718" s="4">
        <f>MAX(0,J718-G718)</f>
        <v/>
      </c>
      <c r="R718" s="4">
        <f>IF(AND(N718=1,O718=1),"On Track",IF(O718=0,"Customer Delivery Late","Ship Late"))</f>
        <v/>
      </c>
    </row>
    <row r="719">
      <c r="A719" s="2" t="inlineStr">
        <is>
          <t>ORD-00718</t>
        </is>
      </c>
      <c r="B719" s="2" t="inlineStr">
        <is>
          <t>Customer 30</t>
        </is>
      </c>
      <c r="C719" s="2" t="inlineStr">
        <is>
          <t>Relay</t>
        </is>
      </c>
      <c r="D719" s="2" t="inlineStr">
        <is>
          <t>Plant C</t>
        </is>
      </c>
      <c r="E719" s="2" t="inlineStr">
        <is>
          <t>Central</t>
        </is>
      </c>
      <c r="F719" s="12" t="n">
        <v>46174</v>
      </c>
      <c r="G719" s="12" t="n">
        <v>46196</v>
      </c>
      <c r="H719" s="12" t="n">
        <v>46194</v>
      </c>
      <c r="I719" s="12" t="n">
        <v>46193</v>
      </c>
      <c r="J719" s="12" t="n">
        <v>46195</v>
      </c>
      <c r="K719" s="2" t="n">
        <v>228</v>
      </c>
      <c r="L719" s="2" t="inlineStr">
        <is>
          <t>Air</t>
        </is>
      </c>
      <c r="M719" s="2" t="inlineStr">
        <is>
          <t>No Delay</t>
        </is>
      </c>
      <c r="N719" s="4">
        <f>IF(I719&lt;=H719,1,0)</f>
        <v/>
      </c>
      <c r="O719" s="4">
        <f>IF(J719&lt;=G719,1,0)</f>
        <v/>
      </c>
      <c r="P719" s="4">
        <f>MAX(0,I719-H719)</f>
        <v/>
      </c>
      <c r="Q719" s="4">
        <f>MAX(0,J719-G719)</f>
        <v/>
      </c>
      <c r="R719" s="4">
        <f>IF(AND(N719=1,O719=1),"On Track",IF(O719=0,"Customer Delivery Late","Ship Late"))</f>
        <v/>
      </c>
    </row>
    <row r="720">
      <c r="A720" s="2" t="inlineStr">
        <is>
          <t>ORD-00719</t>
        </is>
      </c>
      <c r="B720" s="2" t="inlineStr">
        <is>
          <t>Customer 05</t>
        </is>
      </c>
      <c r="C720" s="2" t="inlineStr">
        <is>
          <t>Sensor</t>
        </is>
      </c>
      <c r="D720" s="2" t="inlineStr">
        <is>
          <t>Plant A</t>
        </is>
      </c>
      <c r="E720" s="2" t="inlineStr">
        <is>
          <t>North</t>
        </is>
      </c>
      <c r="F720" s="12" t="n">
        <v>46025</v>
      </c>
      <c r="G720" s="12" t="n">
        <v>46047</v>
      </c>
      <c r="H720" s="12" t="n">
        <v>46043</v>
      </c>
      <c r="I720" s="12" t="n">
        <v>46042</v>
      </c>
      <c r="J720" s="12" t="n">
        <v>46046</v>
      </c>
      <c r="K720" s="2" t="n">
        <v>1236</v>
      </c>
      <c r="L720" s="2" t="inlineStr">
        <is>
          <t>Air</t>
        </is>
      </c>
      <c r="M720" s="2" t="inlineStr">
        <is>
          <t>No Delay</t>
        </is>
      </c>
      <c r="N720" s="4">
        <f>IF(I720&lt;=H720,1,0)</f>
        <v/>
      </c>
      <c r="O720" s="4">
        <f>IF(J720&lt;=G720,1,0)</f>
        <v/>
      </c>
      <c r="P720" s="4">
        <f>MAX(0,I720-H720)</f>
        <v/>
      </c>
      <c r="Q720" s="4">
        <f>MAX(0,J720-G720)</f>
        <v/>
      </c>
      <c r="R720" s="4">
        <f>IF(AND(N720=1,O720=1),"On Track",IF(O720=0,"Customer Delivery Late","Ship Late"))</f>
        <v/>
      </c>
    </row>
    <row r="721">
      <c r="A721" s="2" t="inlineStr">
        <is>
          <t>ORD-00720</t>
        </is>
      </c>
      <c r="B721" s="2" t="inlineStr">
        <is>
          <t>Customer 23</t>
        </is>
      </c>
      <c r="C721" s="2" t="inlineStr">
        <is>
          <t>Power Supply</t>
        </is>
      </c>
      <c r="D721" s="2" t="inlineStr">
        <is>
          <t>Plant A</t>
        </is>
      </c>
      <c r="E721" s="2" t="inlineStr">
        <is>
          <t>South</t>
        </is>
      </c>
      <c r="F721" s="12" t="n">
        <v>46102</v>
      </c>
      <c r="G721" s="12" t="n">
        <v>46123</v>
      </c>
      <c r="H721" s="12" t="n">
        <v>46122</v>
      </c>
      <c r="I721" s="12" t="n">
        <v>46122</v>
      </c>
      <c r="J721" s="12" t="n">
        <v>46123</v>
      </c>
      <c r="K721" s="2" t="n">
        <v>322</v>
      </c>
      <c r="L721" s="2" t="inlineStr">
        <is>
          <t>Sea</t>
        </is>
      </c>
      <c r="M721" s="2" t="inlineStr">
        <is>
          <t>No Delay</t>
        </is>
      </c>
      <c r="N721" s="4">
        <f>IF(I721&lt;=H721,1,0)</f>
        <v/>
      </c>
      <c r="O721" s="4">
        <f>IF(J721&lt;=G721,1,0)</f>
        <v/>
      </c>
      <c r="P721" s="4">
        <f>MAX(0,I721-H721)</f>
        <v/>
      </c>
      <c r="Q721" s="4">
        <f>MAX(0,J721-G721)</f>
        <v/>
      </c>
      <c r="R721" s="4">
        <f>IF(AND(N721=1,O721=1),"On Track",IF(O721=0,"Customer Delivery Late","Ship Late"))</f>
        <v/>
      </c>
    </row>
    <row r="722">
      <c r="A722" s="2" t="inlineStr">
        <is>
          <t>ORD-00721</t>
        </is>
      </c>
      <c r="B722" s="2" t="inlineStr">
        <is>
          <t>Customer 27</t>
        </is>
      </c>
      <c r="C722" s="2" t="inlineStr">
        <is>
          <t>Relay</t>
        </is>
      </c>
      <c r="D722" s="2" t="inlineStr">
        <is>
          <t>Plant A</t>
        </is>
      </c>
      <c r="E722" s="2" t="inlineStr">
        <is>
          <t>Export</t>
        </is>
      </c>
      <c r="F722" s="12" t="n">
        <v>46076</v>
      </c>
      <c r="G722" s="12" t="n">
        <v>46088</v>
      </c>
      <c r="H722" s="12" t="n">
        <v>46087</v>
      </c>
      <c r="I722" s="12" t="n">
        <v>46085</v>
      </c>
      <c r="J722" s="12" t="n">
        <v>46086</v>
      </c>
      <c r="K722" s="2" t="n">
        <v>701</v>
      </c>
      <c r="L722" s="2" t="inlineStr">
        <is>
          <t>Air</t>
        </is>
      </c>
      <c r="M722" s="2" t="inlineStr">
        <is>
          <t>No Delay</t>
        </is>
      </c>
      <c r="N722" s="4">
        <f>IF(I722&lt;=H722,1,0)</f>
        <v/>
      </c>
      <c r="O722" s="4">
        <f>IF(J722&lt;=G722,1,0)</f>
        <v/>
      </c>
      <c r="P722" s="4">
        <f>MAX(0,I722-H722)</f>
        <v/>
      </c>
      <c r="Q722" s="4">
        <f>MAX(0,J722-G722)</f>
        <v/>
      </c>
      <c r="R722" s="4">
        <f>IF(AND(N722=1,O722=1),"On Track",IF(O722=0,"Customer Delivery Late","Ship Late"))</f>
        <v/>
      </c>
    </row>
    <row r="723">
      <c r="A723" s="2" t="inlineStr">
        <is>
          <t>ORD-00722</t>
        </is>
      </c>
      <c r="B723" s="2" t="inlineStr">
        <is>
          <t>Customer 10</t>
        </is>
      </c>
      <c r="C723" s="2" t="inlineStr">
        <is>
          <t>PLC</t>
        </is>
      </c>
      <c r="D723" s="2" t="inlineStr">
        <is>
          <t>Plant C</t>
        </is>
      </c>
      <c r="E723" s="2" t="inlineStr">
        <is>
          <t>Export</t>
        </is>
      </c>
      <c r="F723" s="12" t="n">
        <v>46196</v>
      </c>
      <c r="G723" s="12" t="n">
        <v>46216</v>
      </c>
      <c r="H723" s="12" t="n">
        <v>46213</v>
      </c>
      <c r="I723" s="12" t="n">
        <v>46212</v>
      </c>
      <c r="J723" s="12" t="n">
        <v>46216</v>
      </c>
      <c r="K723" s="2" t="n">
        <v>209</v>
      </c>
      <c r="L723" s="2" t="inlineStr">
        <is>
          <t>Road</t>
        </is>
      </c>
      <c r="M723" s="2" t="inlineStr">
        <is>
          <t>No Delay</t>
        </is>
      </c>
      <c r="N723" s="4">
        <f>IF(I723&lt;=H723,1,0)</f>
        <v/>
      </c>
      <c r="O723" s="4">
        <f>IF(J723&lt;=G723,1,0)</f>
        <v/>
      </c>
      <c r="P723" s="4">
        <f>MAX(0,I723-H723)</f>
        <v/>
      </c>
      <c r="Q723" s="4">
        <f>MAX(0,J723-G723)</f>
        <v/>
      </c>
      <c r="R723" s="4">
        <f>IF(AND(N723=1,O723=1),"On Track",IF(O723=0,"Customer Delivery Late","Ship Late"))</f>
        <v/>
      </c>
    </row>
    <row r="724">
      <c r="A724" s="2" t="inlineStr">
        <is>
          <t>ORD-00723</t>
        </is>
      </c>
      <c r="B724" s="2" t="inlineStr">
        <is>
          <t>Customer 19</t>
        </is>
      </c>
      <c r="C724" s="2" t="inlineStr">
        <is>
          <t>Relay</t>
        </is>
      </c>
      <c r="D724" s="2" t="inlineStr">
        <is>
          <t>Plant B</t>
        </is>
      </c>
      <c r="E724" s="2" t="inlineStr">
        <is>
          <t>Export</t>
        </is>
      </c>
      <c r="F724" s="12" t="n">
        <v>46105</v>
      </c>
      <c r="G724" s="12" t="n">
        <v>46128</v>
      </c>
      <c r="H724" s="12" t="n">
        <v>46127</v>
      </c>
      <c r="I724" s="12" t="n">
        <v>46127</v>
      </c>
      <c r="J724" s="12" t="n">
        <v>46128</v>
      </c>
      <c r="K724" s="2" t="n">
        <v>606</v>
      </c>
      <c r="L724" s="2" t="inlineStr">
        <is>
          <t>Road</t>
        </is>
      </c>
      <c r="M724" s="2" t="inlineStr">
        <is>
          <t>No Delay</t>
        </is>
      </c>
      <c r="N724" s="4">
        <f>IF(I724&lt;=H724,1,0)</f>
        <v/>
      </c>
      <c r="O724" s="4">
        <f>IF(J724&lt;=G724,1,0)</f>
        <v/>
      </c>
      <c r="P724" s="4">
        <f>MAX(0,I724-H724)</f>
        <v/>
      </c>
      <c r="Q724" s="4">
        <f>MAX(0,J724-G724)</f>
        <v/>
      </c>
      <c r="R724" s="4">
        <f>IF(AND(N724=1,O724=1),"On Track",IF(O724=0,"Customer Delivery Late","Ship Late"))</f>
        <v/>
      </c>
    </row>
    <row r="725">
      <c r="A725" s="2" t="inlineStr">
        <is>
          <t>ORD-00724</t>
        </is>
      </c>
      <c r="B725" s="2" t="inlineStr">
        <is>
          <t>Customer 26</t>
        </is>
      </c>
      <c r="C725" s="2" t="inlineStr">
        <is>
          <t>Relay</t>
        </is>
      </c>
      <c r="D725" s="2" t="inlineStr">
        <is>
          <t>Plant B</t>
        </is>
      </c>
      <c r="E725" s="2" t="inlineStr">
        <is>
          <t>Export</t>
        </is>
      </c>
      <c r="F725" s="12" t="n">
        <v>46076</v>
      </c>
      <c r="G725" s="12" t="n">
        <v>46087</v>
      </c>
      <c r="H725" s="12" t="n">
        <v>46085</v>
      </c>
      <c r="I725" s="12" t="n">
        <v>46083</v>
      </c>
      <c r="J725" s="12" t="n">
        <v>46086</v>
      </c>
      <c r="K725" s="2" t="n">
        <v>1401</v>
      </c>
      <c r="L725" s="2" t="inlineStr">
        <is>
          <t>Road</t>
        </is>
      </c>
      <c r="M725" s="2" t="inlineStr">
        <is>
          <t>No Delay</t>
        </is>
      </c>
      <c r="N725" s="4">
        <f>IF(I725&lt;=H725,1,0)</f>
        <v/>
      </c>
      <c r="O725" s="4">
        <f>IF(J725&lt;=G725,1,0)</f>
        <v/>
      </c>
      <c r="P725" s="4">
        <f>MAX(0,I725-H725)</f>
        <v/>
      </c>
      <c r="Q725" s="4">
        <f>MAX(0,J725-G725)</f>
        <v/>
      </c>
      <c r="R725" s="4">
        <f>IF(AND(N725=1,O725=1),"On Track",IF(O725=0,"Customer Delivery Late","Ship Late"))</f>
        <v/>
      </c>
    </row>
    <row r="726">
      <c r="A726" s="2" t="inlineStr">
        <is>
          <t>ORD-00725</t>
        </is>
      </c>
      <c r="B726" s="2" t="inlineStr">
        <is>
          <t>Customer 11</t>
        </is>
      </c>
      <c r="C726" s="2" t="inlineStr">
        <is>
          <t>Power Supply</t>
        </is>
      </c>
      <c r="D726" s="2" t="inlineStr">
        <is>
          <t>Plant A</t>
        </is>
      </c>
      <c r="E726" s="2" t="inlineStr">
        <is>
          <t>Export</t>
        </is>
      </c>
      <c r="F726" s="12" t="n">
        <v>46037</v>
      </c>
      <c r="G726" s="12" t="n">
        <v>46045</v>
      </c>
      <c r="H726" s="12" t="n">
        <v>46042</v>
      </c>
      <c r="I726" s="12" t="n">
        <v>46045</v>
      </c>
      <c r="J726" s="12" t="n">
        <v>46047</v>
      </c>
      <c r="K726" s="2" t="n">
        <v>511</v>
      </c>
      <c r="L726" s="2" t="inlineStr">
        <is>
          <t>Road</t>
        </is>
      </c>
      <c r="M726" s="2" t="inlineStr">
        <is>
          <t>Customer Change</t>
        </is>
      </c>
      <c r="N726" s="4">
        <f>IF(I726&lt;=H726,1,0)</f>
        <v/>
      </c>
      <c r="O726" s="4">
        <f>IF(J726&lt;=G726,1,0)</f>
        <v/>
      </c>
      <c r="P726" s="4">
        <f>MAX(0,I726-H726)</f>
        <v/>
      </c>
      <c r="Q726" s="4">
        <f>MAX(0,J726-G726)</f>
        <v/>
      </c>
      <c r="R726" s="4">
        <f>IF(AND(N726=1,O726=1),"On Track",IF(O726=0,"Customer Delivery Late","Ship Late"))</f>
        <v/>
      </c>
    </row>
    <row r="727">
      <c r="A727" s="2" t="inlineStr">
        <is>
          <t>ORD-00726</t>
        </is>
      </c>
      <c r="B727" s="2" t="inlineStr">
        <is>
          <t>Customer 26</t>
        </is>
      </c>
      <c r="C727" s="2" t="inlineStr">
        <is>
          <t>Contactor</t>
        </is>
      </c>
      <c r="D727" s="2" t="inlineStr">
        <is>
          <t>Plant B</t>
        </is>
      </c>
      <c r="E727" s="2" t="inlineStr">
        <is>
          <t>Export</t>
        </is>
      </c>
      <c r="F727" s="12" t="n">
        <v>46053</v>
      </c>
      <c r="G727" s="12" t="n">
        <v>46065</v>
      </c>
      <c r="H727" s="12" t="n">
        <v>46061</v>
      </c>
      <c r="I727" s="12" t="n">
        <v>46061</v>
      </c>
      <c r="J727" s="12" t="n">
        <v>46065</v>
      </c>
      <c r="K727" s="2" t="n">
        <v>573</v>
      </c>
      <c r="L727" s="2" t="inlineStr">
        <is>
          <t>Sea</t>
        </is>
      </c>
      <c r="M727" s="2" t="inlineStr">
        <is>
          <t>No Delay</t>
        </is>
      </c>
      <c r="N727" s="4">
        <f>IF(I727&lt;=H727,1,0)</f>
        <v/>
      </c>
      <c r="O727" s="4">
        <f>IF(J727&lt;=G727,1,0)</f>
        <v/>
      </c>
      <c r="P727" s="4">
        <f>MAX(0,I727-H727)</f>
        <v/>
      </c>
      <c r="Q727" s="4">
        <f>MAX(0,J727-G727)</f>
        <v/>
      </c>
      <c r="R727" s="4">
        <f>IF(AND(N727=1,O727=1),"On Track",IF(O727=0,"Customer Delivery Late","Ship Late"))</f>
        <v/>
      </c>
    </row>
    <row r="728">
      <c r="A728" s="2" t="inlineStr">
        <is>
          <t>ORD-00727</t>
        </is>
      </c>
      <c r="B728" s="2" t="inlineStr">
        <is>
          <t>Customer 22</t>
        </is>
      </c>
      <c r="C728" s="2" t="inlineStr">
        <is>
          <t>PLC</t>
        </is>
      </c>
      <c r="D728" s="2" t="inlineStr">
        <is>
          <t>Plant A</t>
        </is>
      </c>
      <c r="E728" s="2" t="inlineStr">
        <is>
          <t>Export</t>
        </is>
      </c>
      <c r="F728" s="12" t="n">
        <v>46190</v>
      </c>
      <c r="G728" s="12" t="n">
        <v>46209</v>
      </c>
      <c r="H728" s="12" t="n">
        <v>46206</v>
      </c>
      <c r="I728" s="12" t="n">
        <v>46204</v>
      </c>
      <c r="J728" s="12" t="n">
        <v>46206</v>
      </c>
      <c r="K728" s="2" t="n">
        <v>570</v>
      </c>
      <c r="L728" s="2" t="inlineStr">
        <is>
          <t>Sea</t>
        </is>
      </c>
      <c r="M728" s="2" t="inlineStr">
        <is>
          <t>No Delay</t>
        </is>
      </c>
      <c r="N728" s="4">
        <f>IF(I728&lt;=H728,1,0)</f>
        <v/>
      </c>
      <c r="O728" s="4">
        <f>IF(J728&lt;=G728,1,0)</f>
        <v/>
      </c>
      <c r="P728" s="4">
        <f>MAX(0,I728-H728)</f>
        <v/>
      </c>
      <c r="Q728" s="4">
        <f>MAX(0,J728-G728)</f>
        <v/>
      </c>
      <c r="R728" s="4">
        <f>IF(AND(N728=1,O728=1),"On Track",IF(O728=0,"Customer Delivery Late","Ship Late"))</f>
        <v/>
      </c>
    </row>
    <row r="729">
      <c r="A729" s="2" t="inlineStr">
        <is>
          <t>ORD-00728</t>
        </is>
      </c>
      <c r="B729" s="2" t="inlineStr">
        <is>
          <t>Customer 04</t>
        </is>
      </c>
      <c r="C729" s="2" t="inlineStr">
        <is>
          <t>Drive</t>
        </is>
      </c>
      <c r="D729" s="2" t="inlineStr">
        <is>
          <t>Plant A</t>
        </is>
      </c>
      <c r="E729" s="2" t="inlineStr">
        <is>
          <t>Central</t>
        </is>
      </c>
      <c r="F729" s="12" t="n">
        <v>46047</v>
      </c>
      <c r="G729" s="12" t="n">
        <v>46070</v>
      </c>
      <c r="H729" s="12" t="n">
        <v>46068</v>
      </c>
      <c r="I729" s="12" t="n">
        <v>46068</v>
      </c>
      <c r="J729" s="12" t="n">
        <v>46070</v>
      </c>
      <c r="K729" s="2" t="n">
        <v>840</v>
      </c>
      <c r="L729" s="2" t="inlineStr">
        <is>
          <t>Sea</t>
        </is>
      </c>
      <c r="M729" s="2" t="inlineStr">
        <is>
          <t>No Delay</t>
        </is>
      </c>
      <c r="N729" s="4">
        <f>IF(I729&lt;=H729,1,0)</f>
        <v/>
      </c>
      <c r="O729" s="4">
        <f>IF(J729&lt;=G729,1,0)</f>
        <v/>
      </c>
      <c r="P729" s="4">
        <f>MAX(0,I729-H729)</f>
        <v/>
      </c>
      <c r="Q729" s="4">
        <f>MAX(0,J729-G729)</f>
        <v/>
      </c>
      <c r="R729" s="4">
        <f>IF(AND(N729=1,O729=1),"On Track",IF(O729=0,"Customer Delivery Late","Ship Late"))</f>
        <v/>
      </c>
    </row>
    <row r="730">
      <c r="A730" s="2" t="inlineStr">
        <is>
          <t>ORD-00729</t>
        </is>
      </c>
      <c r="B730" s="2" t="inlineStr">
        <is>
          <t>Customer 19</t>
        </is>
      </c>
      <c r="C730" s="2" t="inlineStr">
        <is>
          <t>Contactor</t>
        </is>
      </c>
      <c r="D730" s="2" t="inlineStr">
        <is>
          <t>Plant A</t>
        </is>
      </c>
      <c r="E730" s="2" t="inlineStr">
        <is>
          <t>North</t>
        </is>
      </c>
      <c r="F730" s="12" t="n">
        <v>46028</v>
      </c>
      <c r="G730" s="12" t="n">
        <v>46045</v>
      </c>
      <c r="H730" s="12" t="n">
        <v>46040</v>
      </c>
      <c r="I730" s="12" t="n">
        <v>46040</v>
      </c>
      <c r="J730" s="12" t="n">
        <v>46044</v>
      </c>
      <c r="K730" s="2" t="n">
        <v>380</v>
      </c>
      <c r="L730" s="2" t="inlineStr">
        <is>
          <t>Sea</t>
        </is>
      </c>
      <c r="M730" s="2" t="inlineStr">
        <is>
          <t>No Delay</t>
        </is>
      </c>
      <c r="N730" s="4">
        <f>IF(I730&lt;=H730,1,0)</f>
        <v/>
      </c>
      <c r="O730" s="4">
        <f>IF(J730&lt;=G730,1,0)</f>
        <v/>
      </c>
      <c r="P730" s="4">
        <f>MAX(0,I730-H730)</f>
        <v/>
      </c>
      <c r="Q730" s="4">
        <f>MAX(0,J730-G730)</f>
        <v/>
      </c>
      <c r="R730" s="4">
        <f>IF(AND(N730=1,O730=1),"On Track",IF(O730=0,"Customer Delivery Late","Ship Late"))</f>
        <v/>
      </c>
    </row>
    <row r="731">
      <c r="A731" s="2" t="inlineStr">
        <is>
          <t>ORD-00730</t>
        </is>
      </c>
      <c r="B731" s="2" t="inlineStr">
        <is>
          <t>Customer 07</t>
        </is>
      </c>
      <c r="C731" s="2" t="inlineStr">
        <is>
          <t>Relay</t>
        </is>
      </c>
      <c r="D731" s="2" t="inlineStr">
        <is>
          <t>Plant A</t>
        </is>
      </c>
      <c r="E731" s="2" t="inlineStr">
        <is>
          <t>South</t>
        </is>
      </c>
      <c r="F731" s="12" t="n">
        <v>46200</v>
      </c>
      <c r="G731" s="12" t="n">
        <v>46210</v>
      </c>
      <c r="H731" s="12" t="n">
        <v>46209</v>
      </c>
      <c r="I731" s="12" t="n">
        <v>46208</v>
      </c>
      <c r="J731" s="12" t="n">
        <v>46209</v>
      </c>
      <c r="K731" s="2" t="n">
        <v>81</v>
      </c>
      <c r="L731" s="2" t="inlineStr">
        <is>
          <t>Road</t>
        </is>
      </c>
      <c r="M731" s="2" t="inlineStr">
        <is>
          <t>No Delay</t>
        </is>
      </c>
      <c r="N731" s="4">
        <f>IF(I731&lt;=H731,1,0)</f>
        <v/>
      </c>
      <c r="O731" s="4">
        <f>IF(J731&lt;=G731,1,0)</f>
        <v/>
      </c>
      <c r="P731" s="4">
        <f>MAX(0,I731-H731)</f>
        <v/>
      </c>
      <c r="Q731" s="4">
        <f>MAX(0,J731-G731)</f>
        <v/>
      </c>
      <c r="R731" s="4">
        <f>IF(AND(N731=1,O731=1),"On Track",IF(O731=0,"Customer Delivery Late","Ship Late"))</f>
        <v/>
      </c>
    </row>
    <row r="732">
      <c r="A732" s="2" t="inlineStr">
        <is>
          <t>ORD-00731</t>
        </is>
      </c>
      <c r="B732" s="2" t="inlineStr">
        <is>
          <t>Customer 22</t>
        </is>
      </c>
      <c r="C732" s="2" t="inlineStr">
        <is>
          <t>Breaker</t>
        </is>
      </c>
      <c r="D732" s="2" t="inlineStr">
        <is>
          <t>Plant A</t>
        </is>
      </c>
      <c r="E732" s="2" t="inlineStr">
        <is>
          <t>South</t>
        </is>
      </c>
      <c r="F732" s="12" t="n">
        <v>46054</v>
      </c>
      <c r="G732" s="12" t="n">
        <v>46075</v>
      </c>
      <c r="H732" s="12" t="n">
        <v>46072</v>
      </c>
      <c r="I732" s="12" t="n">
        <v>46072</v>
      </c>
      <c r="J732" s="12" t="n">
        <v>46075</v>
      </c>
      <c r="K732" s="2" t="n">
        <v>104</v>
      </c>
      <c r="L732" s="2" t="inlineStr">
        <is>
          <t>Sea</t>
        </is>
      </c>
      <c r="M732" s="2" t="inlineStr">
        <is>
          <t>No Delay</t>
        </is>
      </c>
      <c r="N732" s="4">
        <f>IF(I732&lt;=H732,1,0)</f>
        <v/>
      </c>
      <c r="O732" s="4">
        <f>IF(J732&lt;=G732,1,0)</f>
        <v/>
      </c>
      <c r="P732" s="4">
        <f>MAX(0,I732-H732)</f>
        <v/>
      </c>
      <c r="Q732" s="4">
        <f>MAX(0,J732-G732)</f>
        <v/>
      </c>
      <c r="R732" s="4">
        <f>IF(AND(N732=1,O732=1),"On Track",IF(O732=0,"Customer Delivery Late","Ship Late"))</f>
        <v/>
      </c>
    </row>
    <row r="733">
      <c r="A733" s="2" t="inlineStr">
        <is>
          <t>ORD-00732</t>
        </is>
      </c>
      <c r="B733" s="2" t="inlineStr">
        <is>
          <t>Customer 12</t>
        </is>
      </c>
      <c r="C733" s="2" t="inlineStr">
        <is>
          <t>PLC</t>
        </is>
      </c>
      <c r="D733" s="2" t="inlineStr">
        <is>
          <t>Plant C</t>
        </is>
      </c>
      <c r="E733" s="2" t="inlineStr">
        <is>
          <t>North</t>
        </is>
      </c>
      <c r="F733" s="12" t="n">
        <v>46098</v>
      </c>
      <c r="G733" s="12" t="n">
        <v>46120</v>
      </c>
      <c r="H733" s="12" t="n">
        <v>46116</v>
      </c>
      <c r="I733" s="12" t="n">
        <v>46115</v>
      </c>
      <c r="J733" s="12" t="n">
        <v>46120</v>
      </c>
      <c r="K733" s="2" t="n">
        <v>1367</v>
      </c>
      <c r="L733" s="2" t="inlineStr">
        <is>
          <t>Road</t>
        </is>
      </c>
      <c r="M733" s="2" t="inlineStr">
        <is>
          <t>No Delay</t>
        </is>
      </c>
      <c r="N733" s="4">
        <f>IF(I733&lt;=H733,1,0)</f>
        <v/>
      </c>
      <c r="O733" s="4">
        <f>IF(J733&lt;=G733,1,0)</f>
        <v/>
      </c>
      <c r="P733" s="4">
        <f>MAX(0,I733-H733)</f>
        <v/>
      </c>
      <c r="Q733" s="4">
        <f>MAX(0,J733-G733)</f>
        <v/>
      </c>
      <c r="R733" s="4">
        <f>IF(AND(N733=1,O733=1),"On Track",IF(O733=0,"Customer Delivery Late","Ship Late"))</f>
        <v/>
      </c>
    </row>
    <row r="734">
      <c r="A734" s="2" t="inlineStr">
        <is>
          <t>ORD-00733</t>
        </is>
      </c>
      <c r="B734" s="2" t="inlineStr">
        <is>
          <t>Customer 19</t>
        </is>
      </c>
      <c r="C734" s="2" t="inlineStr">
        <is>
          <t>Drive</t>
        </is>
      </c>
      <c r="D734" s="2" t="inlineStr">
        <is>
          <t>Plant B</t>
        </is>
      </c>
      <c r="E734" s="2" t="inlineStr">
        <is>
          <t>Central</t>
        </is>
      </c>
      <c r="F734" s="12" t="n">
        <v>46083</v>
      </c>
      <c r="G734" s="12" t="n">
        <v>46089</v>
      </c>
      <c r="H734" s="12" t="n">
        <v>46087</v>
      </c>
      <c r="I734" s="12" t="n">
        <v>46085</v>
      </c>
      <c r="J734" s="12" t="n">
        <v>46088</v>
      </c>
      <c r="K734" s="2" t="n">
        <v>1284</v>
      </c>
      <c r="L734" s="2" t="inlineStr">
        <is>
          <t>Air</t>
        </is>
      </c>
      <c r="M734" s="2" t="inlineStr">
        <is>
          <t>No Delay</t>
        </is>
      </c>
      <c r="N734" s="4">
        <f>IF(I734&lt;=H734,1,0)</f>
        <v/>
      </c>
      <c r="O734" s="4">
        <f>IF(J734&lt;=G734,1,0)</f>
        <v/>
      </c>
      <c r="P734" s="4">
        <f>MAX(0,I734-H734)</f>
        <v/>
      </c>
      <c r="Q734" s="4">
        <f>MAX(0,J734-G734)</f>
        <v/>
      </c>
      <c r="R734" s="4">
        <f>IF(AND(N734=1,O734=1),"On Track",IF(O734=0,"Customer Delivery Late","Ship Late"))</f>
        <v/>
      </c>
    </row>
    <row r="735">
      <c r="A735" s="2" t="inlineStr">
        <is>
          <t>ORD-00734</t>
        </is>
      </c>
      <c r="B735" s="2" t="inlineStr">
        <is>
          <t>Customer 09</t>
        </is>
      </c>
      <c r="C735" s="2" t="inlineStr">
        <is>
          <t>Power Supply</t>
        </is>
      </c>
      <c r="D735" s="2" t="inlineStr">
        <is>
          <t>Plant C</t>
        </is>
      </c>
      <c r="E735" s="2" t="inlineStr">
        <is>
          <t>Central</t>
        </is>
      </c>
      <c r="F735" s="12" t="n">
        <v>46042</v>
      </c>
      <c r="G735" s="12" t="n">
        <v>46064</v>
      </c>
      <c r="H735" s="12" t="n">
        <v>46061</v>
      </c>
      <c r="I735" s="12" t="n">
        <v>46061</v>
      </c>
      <c r="J735" s="12" t="n">
        <v>46064</v>
      </c>
      <c r="K735" s="2" t="n">
        <v>1107</v>
      </c>
      <c r="L735" s="2" t="inlineStr">
        <is>
          <t>Road</t>
        </is>
      </c>
      <c r="M735" s="2" t="inlineStr">
        <is>
          <t>No Delay</t>
        </is>
      </c>
      <c r="N735" s="4">
        <f>IF(I735&lt;=H735,1,0)</f>
        <v/>
      </c>
      <c r="O735" s="4">
        <f>IF(J735&lt;=G735,1,0)</f>
        <v/>
      </c>
      <c r="P735" s="4">
        <f>MAX(0,I735-H735)</f>
        <v/>
      </c>
      <c r="Q735" s="4">
        <f>MAX(0,J735-G735)</f>
        <v/>
      </c>
      <c r="R735" s="4">
        <f>IF(AND(N735=1,O735=1),"On Track",IF(O735=0,"Customer Delivery Late","Ship Late"))</f>
        <v/>
      </c>
    </row>
    <row r="736">
      <c r="A736" s="2" t="inlineStr">
        <is>
          <t>ORD-00735</t>
        </is>
      </c>
      <c r="B736" s="2" t="inlineStr">
        <is>
          <t>Customer 20</t>
        </is>
      </c>
      <c r="C736" s="2" t="inlineStr">
        <is>
          <t>Relay</t>
        </is>
      </c>
      <c r="D736" s="2" t="inlineStr">
        <is>
          <t>Plant B</t>
        </is>
      </c>
      <c r="E736" s="2" t="inlineStr">
        <is>
          <t>Central</t>
        </is>
      </c>
      <c r="F736" s="12" t="n">
        <v>46041</v>
      </c>
      <c r="G736" s="12" t="n">
        <v>46066</v>
      </c>
      <c r="H736" s="12" t="n">
        <v>46063</v>
      </c>
      <c r="I736" s="12" t="n">
        <v>46067</v>
      </c>
      <c r="J736" s="12" t="n">
        <v>46071</v>
      </c>
      <c r="K736" s="2" t="n">
        <v>657</v>
      </c>
      <c r="L736" s="2" t="inlineStr">
        <is>
          <t>Air</t>
        </is>
      </c>
      <c r="M736" s="2" t="inlineStr">
        <is>
          <t>Capacity Constraint</t>
        </is>
      </c>
      <c r="N736" s="4">
        <f>IF(I736&lt;=H736,1,0)</f>
        <v/>
      </c>
      <c r="O736" s="4">
        <f>IF(J736&lt;=G736,1,0)</f>
        <v/>
      </c>
      <c r="P736" s="4">
        <f>MAX(0,I736-H736)</f>
        <v/>
      </c>
      <c r="Q736" s="4">
        <f>MAX(0,J736-G736)</f>
        <v/>
      </c>
      <c r="R736" s="4">
        <f>IF(AND(N736=1,O736=1),"On Track",IF(O736=0,"Customer Delivery Late","Ship Late"))</f>
        <v/>
      </c>
    </row>
    <row r="737">
      <c r="A737" s="2" t="inlineStr">
        <is>
          <t>ORD-00736</t>
        </is>
      </c>
      <c r="B737" s="2" t="inlineStr">
        <is>
          <t>Customer 18</t>
        </is>
      </c>
      <c r="C737" s="2" t="inlineStr">
        <is>
          <t>Power Supply</t>
        </is>
      </c>
      <c r="D737" s="2" t="inlineStr">
        <is>
          <t>Plant A</t>
        </is>
      </c>
      <c r="E737" s="2" t="inlineStr">
        <is>
          <t>South</t>
        </is>
      </c>
      <c r="F737" s="12" t="n">
        <v>46120</v>
      </c>
      <c r="G737" s="12" t="n">
        <v>46125</v>
      </c>
      <c r="H737" s="12" t="n">
        <v>46120</v>
      </c>
      <c r="I737" s="12" t="n">
        <v>46119</v>
      </c>
      <c r="J737" s="12" t="n">
        <v>46125</v>
      </c>
      <c r="K737" s="2" t="n">
        <v>1321</v>
      </c>
      <c r="L737" s="2" t="inlineStr">
        <is>
          <t>Road</t>
        </is>
      </c>
      <c r="M737" s="2" t="inlineStr">
        <is>
          <t>No Delay</t>
        </is>
      </c>
      <c r="N737" s="4">
        <f>IF(I737&lt;=H737,1,0)</f>
        <v/>
      </c>
      <c r="O737" s="4">
        <f>IF(J737&lt;=G737,1,0)</f>
        <v/>
      </c>
      <c r="P737" s="4">
        <f>MAX(0,I737-H737)</f>
        <v/>
      </c>
      <c r="Q737" s="4">
        <f>MAX(0,J737-G737)</f>
        <v/>
      </c>
      <c r="R737" s="4">
        <f>IF(AND(N737=1,O737=1),"On Track",IF(O737=0,"Customer Delivery Late","Ship Late"))</f>
        <v/>
      </c>
    </row>
    <row r="738">
      <c r="A738" s="2" t="inlineStr">
        <is>
          <t>ORD-00737</t>
        </is>
      </c>
      <c r="B738" s="2" t="inlineStr">
        <is>
          <t>Customer 08</t>
        </is>
      </c>
      <c r="C738" s="2" t="inlineStr">
        <is>
          <t>Power Supply</t>
        </is>
      </c>
      <c r="D738" s="2" t="inlineStr">
        <is>
          <t>Plant A</t>
        </is>
      </c>
      <c r="E738" s="2" t="inlineStr">
        <is>
          <t>North</t>
        </is>
      </c>
      <c r="F738" s="12" t="n">
        <v>46115</v>
      </c>
      <c r="G738" s="12" t="n">
        <v>46130</v>
      </c>
      <c r="H738" s="12" t="n">
        <v>46127</v>
      </c>
      <c r="I738" s="12" t="n">
        <v>46125</v>
      </c>
      <c r="J738" s="12" t="n">
        <v>46127</v>
      </c>
      <c r="K738" s="2" t="n">
        <v>369</v>
      </c>
      <c r="L738" s="2" t="inlineStr">
        <is>
          <t>Sea</t>
        </is>
      </c>
      <c r="M738" s="2" t="inlineStr">
        <is>
          <t>No Delay</t>
        </is>
      </c>
      <c r="N738" s="4">
        <f>IF(I738&lt;=H738,1,0)</f>
        <v/>
      </c>
      <c r="O738" s="4">
        <f>IF(J738&lt;=G738,1,0)</f>
        <v/>
      </c>
      <c r="P738" s="4">
        <f>MAX(0,I738-H738)</f>
        <v/>
      </c>
      <c r="Q738" s="4">
        <f>MAX(0,J738-G738)</f>
        <v/>
      </c>
      <c r="R738" s="4">
        <f>IF(AND(N738=1,O738=1),"On Track",IF(O738=0,"Customer Delivery Late","Ship Late"))</f>
        <v/>
      </c>
    </row>
    <row r="739">
      <c r="A739" s="2" t="inlineStr">
        <is>
          <t>ORD-00738</t>
        </is>
      </c>
      <c r="B739" s="2" t="inlineStr">
        <is>
          <t>Customer 04</t>
        </is>
      </c>
      <c r="C739" s="2" t="inlineStr">
        <is>
          <t>Breaker</t>
        </is>
      </c>
      <c r="D739" s="2" t="inlineStr">
        <is>
          <t>Plant A</t>
        </is>
      </c>
      <c r="E739" s="2" t="inlineStr">
        <is>
          <t>South</t>
        </is>
      </c>
      <c r="F739" s="12" t="n">
        <v>46101</v>
      </c>
      <c r="G739" s="12" t="n">
        <v>46124</v>
      </c>
      <c r="H739" s="12" t="n">
        <v>46120</v>
      </c>
      <c r="I739" s="12" t="n">
        <v>46119</v>
      </c>
      <c r="J739" s="12" t="n">
        <v>46124</v>
      </c>
      <c r="K739" s="2" t="n">
        <v>807</v>
      </c>
      <c r="L739" s="2" t="inlineStr">
        <is>
          <t>Road</t>
        </is>
      </c>
      <c r="M739" s="2" t="inlineStr">
        <is>
          <t>No Delay</t>
        </is>
      </c>
      <c r="N739" s="4">
        <f>IF(I739&lt;=H739,1,0)</f>
        <v/>
      </c>
      <c r="O739" s="4">
        <f>IF(J739&lt;=G739,1,0)</f>
        <v/>
      </c>
      <c r="P739" s="4">
        <f>MAX(0,I739-H739)</f>
        <v/>
      </c>
      <c r="Q739" s="4">
        <f>MAX(0,J739-G739)</f>
        <v/>
      </c>
      <c r="R739" s="4">
        <f>IF(AND(N739=1,O739=1),"On Track",IF(O739=0,"Customer Delivery Late","Ship Late"))</f>
        <v/>
      </c>
    </row>
    <row r="740">
      <c r="A740" s="2" t="inlineStr">
        <is>
          <t>ORD-00739</t>
        </is>
      </c>
      <c r="B740" s="2" t="inlineStr">
        <is>
          <t>Customer 01</t>
        </is>
      </c>
      <c r="C740" s="2" t="inlineStr">
        <is>
          <t>Relay</t>
        </is>
      </c>
      <c r="D740" s="2" t="inlineStr">
        <is>
          <t>Plant C</t>
        </is>
      </c>
      <c r="E740" s="2" t="inlineStr">
        <is>
          <t>Central</t>
        </is>
      </c>
      <c r="F740" s="12" t="n">
        <v>46111</v>
      </c>
      <c r="G740" s="12" t="n">
        <v>46133</v>
      </c>
      <c r="H740" s="12" t="n">
        <v>46128</v>
      </c>
      <c r="I740" s="12" t="n">
        <v>46127</v>
      </c>
      <c r="J740" s="12" t="n">
        <v>46133</v>
      </c>
      <c r="K740" s="2" t="n">
        <v>302</v>
      </c>
      <c r="L740" s="2" t="inlineStr">
        <is>
          <t>Air</t>
        </is>
      </c>
      <c r="M740" s="2" t="inlineStr">
        <is>
          <t>No Delay</t>
        </is>
      </c>
      <c r="N740" s="4">
        <f>IF(I740&lt;=H740,1,0)</f>
        <v/>
      </c>
      <c r="O740" s="4">
        <f>IF(J740&lt;=G740,1,0)</f>
        <v/>
      </c>
      <c r="P740" s="4">
        <f>MAX(0,I740-H740)</f>
        <v/>
      </c>
      <c r="Q740" s="4">
        <f>MAX(0,J740-G740)</f>
        <v/>
      </c>
      <c r="R740" s="4">
        <f>IF(AND(N740=1,O740=1),"On Track",IF(O740=0,"Customer Delivery Late","Ship Late"))</f>
        <v/>
      </c>
    </row>
    <row r="741">
      <c r="A741" s="2" t="inlineStr">
        <is>
          <t>ORD-00740</t>
        </is>
      </c>
      <c r="B741" s="2" t="inlineStr">
        <is>
          <t>Customer 14</t>
        </is>
      </c>
      <c r="C741" s="2" t="inlineStr">
        <is>
          <t>Switchgear</t>
        </is>
      </c>
      <c r="D741" s="2" t="inlineStr">
        <is>
          <t>Plant A</t>
        </is>
      </c>
      <c r="E741" s="2" t="inlineStr">
        <is>
          <t>Export</t>
        </is>
      </c>
      <c r="F741" s="12" t="n">
        <v>46168</v>
      </c>
      <c r="G741" s="12" t="n">
        <v>46181</v>
      </c>
      <c r="H741" s="12" t="n">
        <v>46180</v>
      </c>
      <c r="I741" s="12" t="n">
        <v>46180</v>
      </c>
      <c r="J741" s="12" t="n">
        <v>46181</v>
      </c>
      <c r="K741" s="2" t="n">
        <v>734</v>
      </c>
      <c r="L741" s="2" t="inlineStr">
        <is>
          <t>Air</t>
        </is>
      </c>
      <c r="M741" s="2" t="inlineStr">
        <is>
          <t>No Delay</t>
        </is>
      </c>
      <c r="N741" s="4">
        <f>IF(I741&lt;=H741,1,0)</f>
        <v/>
      </c>
      <c r="O741" s="4">
        <f>IF(J741&lt;=G741,1,0)</f>
        <v/>
      </c>
      <c r="P741" s="4">
        <f>MAX(0,I741-H741)</f>
        <v/>
      </c>
      <c r="Q741" s="4">
        <f>MAX(0,J741-G741)</f>
        <v/>
      </c>
      <c r="R741" s="4">
        <f>IF(AND(N741=1,O741=1),"On Track",IF(O741=0,"Customer Delivery Late","Ship Late"))</f>
        <v/>
      </c>
    </row>
    <row r="742">
      <c r="A742" s="2" t="inlineStr">
        <is>
          <t>ORD-00741</t>
        </is>
      </c>
      <c r="B742" s="2" t="inlineStr">
        <is>
          <t>Customer 03</t>
        </is>
      </c>
      <c r="C742" s="2" t="inlineStr">
        <is>
          <t>Sensor</t>
        </is>
      </c>
      <c r="D742" s="2" t="inlineStr">
        <is>
          <t>Plant B</t>
        </is>
      </c>
      <c r="E742" s="2" t="inlineStr">
        <is>
          <t>South</t>
        </is>
      </c>
      <c r="F742" s="12" t="n">
        <v>46151</v>
      </c>
      <c r="G742" s="12" t="n">
        <v>46165</v>
      </c>
      <c r="H742" s="12" t="n">
        <v>46162</v>
      </c>
      <c r="I742" s="12" t="n">
        <v>46162</v>
      </c>
      <c r="J742" s="12" t="n">
        <v>46165</v>
      </c>
      <c r="K742" s="2" t="n">
        <v>194</v>
      </c>
      <c r="L742" s="2" t="inlineStr">
        <is>
          <t>Sea</t>
        </is>
      </c>
      <c r="M742" s="2" t="inlineStr">
        <is>
          <t>No Delay</t>
        </is>
      </c>
      <c r="N742" s="4">
        <f>IF(I742&lt;=H742,1,0)</f>
        <v/>
      </c>
      <c r="O742" s="4">
        <f>IF(J742&lt;=G742,1,0)</f>
        <v/>
      </c>
      <c r="P742" s="4">
        <f>MAX(0,I742-H742)</f>
        <v/>
      </c>
      <c r="Q742" s="4">
        <f>MAX(0,J742-G742)</f>
        <v/>
      </c>
      <c r="R742" s="4">
        <f>IF(AND(N742=1,O742=1),"On Track",IF(O742=0,"Customer Delivery Late","Ship Late"))</f>
        <v/>
      </c>
    </row>
    <row r="743">
      <c r="A743" s="2" t="inlineStr">
        <is>
          <t>ORD-00742</t>
        </is>
      </c>
      <c r="B743" s="2" t="inlineStr">
        <is>
          <t>Customer 18</t>
        </is>
      </c>
      <c r="C743" s="2" t="inlineStr">
        <is>
          <t>Switchgear</t>
        </is>
      </c>
      <c r="D743" s="2" t="inlineStr">
        <is>
          <t>Plant A</t>
        </is>
      </c>
      <c r="E743" s="2" t="inlineStr">
        <is>
          <t>Export</t>
        </is>
      </c>
      <c r="F743" s="12" t="n">
        <v>46043</v>
      </c>
      <c r="G743" s="12" t="n">
        <v>46050</v>
      </c>
      <c r="H743" s="12" t="n">
        <v>46048</v>
      </c>
      <c r="I743" s="12" t="n">
        <v>46046</v>
      </c>
      <c r="J743" s="12" t="n">
        <v>46047</v>
      </c>
      <c r="K743" s="2" t="n">
        <v>1396</v>
      </c>
      <c r="L743" s="2" t="inlineStr">
        <is>
          <t>Sea</t>
        </is>
      </c>
      <c r="M743" s="2" t="inlineStr">
        <is>
          <t>No Delay</t>
        </is>
      </c>
      <c r="N743" s="4">
        <f>IF(I743&lt;=H743,1,0)</f>
        <v/>
      </c>
      <c r="O743" s="4">
        <f>IF(J743&lt;=G743,1,0)</f>
        <v/>
      </c>
      <c r="P743" s="4">
        <f>MAX(0,I743-H743)</f>
        <v/>
      </c>
      <c r="Q743" s="4">
        <f>MAX(0,J743-G743)</f>
        <v/>
      </c>
      <c r="R743" s="4">
        <f>IF(AND(N743=1,O743=1),"On Track",IF(O743=0,"Customer Delivery Late","Ship Late"))</f>
        <v/>
      </c>
    </row>
    <row r="744">
      <c r="A744" s="2" t="inlineStr">
        <is>
          <t>ORD-00743</t>
        </is>
      </c>
      <c r="B744" s="2" t="inlineStr">
        <is>
          <t>Customer 01</t>
        </is>
      </c>
      <c r="C744" s="2" t="inlineStr">
        <is>
          <t>Power Supply</t>
        </is>
      </c>
      <c r="D744" s="2" t="inlineStr">
        <is>
          <t>Plant C</t>
        </is>
      </c>
      <c r="E744" s="2" t="inlineStr">
        <is>
          <t>South</t>
        </is>
      </c>
      <c r="F744" s="12" t="n">
        <v>46057</v>
      </c>
      <c r="G744" s="12" t="n">
        <v>46077</v>
      </c>
      <c r="H744" s="12" t="n">
        <v>46073</v>
      </c>
      <c r="I744" s="12" t="n">
        <v>46073</v>
      </c>
      <c r="J744" s="12" t="n">
        <v>46079</v>
      </c>
      <c r="K744" s="2" t="n">
        <v>510</v>
      </c>
      <c r="L744" s="2" t="inlineStr">
        <is>
          <t>Sea</t>
        </is>
      </c>
      <c r="M744" s="2" t="inlineStr">
        <is>
          <t>Customer Change</t>
        </is>
      </c>
      <c r="N744" s="4">
        <f>IF(I744&lt;=H744,1,0)</f>
        <v/>
      </c>
      <c r="O744" s="4">
        <f>IF(J744&lt;=G744,1,0)</f>
        <v/>
      </c>
      <c r="P744" s="4">
        <f>MAX(0,I744-H744)</f>
        <v/>
      </c>
      <c r="Q744" s="4">
        <f>MAX(0,J744-G744)</f>
        <v/>
      </c>
      <c r="R744" s="4">
        <f>IF(AND(N744=1,O744=1),"On Track",IF(O744=0,"Customer Delivery Late","Ship Late"))</f>
        <v/>
      </c>
    </row>
    <row r="745">
      <c r="A745" s="2" t="inlineStr">
        <is>
          <t>ORD-00744</t>
        </is>
      </c>
      <c r="B745" s="2" t="inlineStr">
        <is>
          <t>Customer 06</t>
        </is>
      </c>
      <c r="C745" s="2" t="inlineStr">
        <is>
          <t>Contactor</t>
        </is>
      </c>
      <c r="D745" s="2" t="inlineStr">
        <is>
          <t>Plant B</t>
        </is>
      </c>
      <c r="E745" s="2" t="inlineStr">
        <is>
          <t>Central</t>
        </is>
      </c>
      <c r="F745" s="12" t="n">
        <v>46192</v>
      </c>
      <c r="G745" s="12" t="n">
        <v>46213</v>
      </c>
      <c r="H745" s="12" t="n">
        <v>46208</v>
      </c>
      <c r="I745" s="12" t="n">
        <v>46207</v>
      </c>
      <c r="J745" s="12" t="n">
        <v>46213</v>
      </c>
      <c r="K745" s="2" t="n">
        <v>1062</v>
      </c>
      <c r="L745" s="2" t="inlineStr">
        <is>
          <t>Air</t>
        </is>
      </c>
      <c r="M745" s="2" t="inlineStr">
        <is>
          <t>No Delay</t>
        </is>
      </c>
      <c r="N745" s="4">
        <f>IF(I745&lt;=H745,1,0)</f>
        <v/>
      </c>
      <c r="O745" s="4">
        <f>IF(J745&lt;=G745,1,0)</f>
        <v/>
      </c>
      <c r="P745" s="4">
        <f>MAX(0,I745-H745)</f>
        <v/>
      </c>
      <c r="Q745" s="4">
        <f>MAX(0,J745-G745)</f>
        <v/>
      </c>
      <c r="R745" s="4">
        <f>IF(AND(N745=1,O745=1),"On Track",IF(O745=0,"Customer Delivery Late","Ship Late"))</f>
        <v/>
      </c>
    </row>
    <row r="746">
      <c r="A746" s="2" t="inlineStr">
        <is>
          <t>ORD-00745</t>
        </is>
      </c>
      <c r="B746" s="2" t="inlineStr">
        <is>
          <t>Customer 08</t>
        </is>
      </c>
      <c r="C746" s="2" t="inlineStr">
        <is>
          <t>Contactor</t>
        </is>
      </c>
      <c r="D746" s="2" t="inlineStr">
        <is>
          <t>Plant B</t>
        </is>
      </c>
      <c r="E746" s="2" t="inlineStr">
        <is>
          <t>South</t>
        </is>
      </c>
      <c r="F746" s="12" t="n">
        <v>46036</v>
      </c>
      <c r="G746" s="12" t="n">
        <v>46054</v>
      </c>
      <c r="H746" s="12" t="n">
        <v>46050</v>
      </c>
      <c r="I746" s="12" t="n">
        <v>46049</v>
      </c>
      <c r="J746" s="12" t="n">
        <v>46053</v>
      </c>
      <c r="K746" s="2" t="n">
        <v>999</v>
      </c>
      <c r="L746" s="2" t="inlineStr">
        <is>
          <t>Air</t>
        </is>
      </c>
      <c r="M746" s="2" t="inlineStr">
        <is>
          <t>No Delay</t>
        </is>
      </c>
      <c r="N746" s="4">
        <f>IF(I746&lt;=H746,1,0)</f>
        <v/>
      </c>
      <c r="O746" s="4">
        <f>IF(J746&lt;=G746,1,0)</f>
        <v/>
      </c>
      <c r="P746" s="4">
        <f>MAX(0,I746-H746)</f>
        <v/>
      </c>
      <c r="Q746" s="4">
        <f>MAX(0,J746-G746)</f>
        <v/>
      </c>
      <c r="R746" s="4">
        <f>IF(AND(N746=1,O746=1),"On Track",IF(O746=0,"Customer Delivery Late","Ship Late"))</f>
        <v/>
      </c>
    </row>
    <row r="747">
      <c r="A747" s="2" t="inlineStr">
        <is>
          <t>ORD-00746</t>
        </is>
      </c>
      <c r="B747" s="2" t="inlineStr">
        <is>
          <t>Customer 30</t>
        </is>
      </c>
      <c r="C747" s="2" t="inlineStr">
        <is>
          <t>Breaker</t>
        </is>
      </c>
      <c r="D747" s="2" t="inlineStr">
        <is>
          <t>Plant B</t>
        </is>
      </c>
      <c r="E747" s="2" t="inlineStr">
        <is>
          <t>Export</t>
        </is>
      </c>
      <c r="F747" s="12" t="n">
        <v>46090</v>
      </c>
      <c r="G747" s="12" t="n">
        <v>46101</v>
      </c>
      <c r="H747" s="12" t="n">
        <v>46100</v>
      </c>
      <c r="I747" s="12" t="n">
        <v>46100</v>
      </c>
      <c r="J747" s="12" t="n">
        <v>46101</v>
      </c>
      <c r="K747" s="2" t="n">
        <v>127</v>
      </c>
      <c r="L747" s="2" t="inlineStr">
        <is>
          <t>Air</t>
        </is>
      </c>
      <c r="M747" s="2" t="inlineStr">
        <is>
          <t>No Delay</t>
        </is>
      </c>
      <c r="N747" s="4">
        <f>IF(I747&lt;=H747,1,0)</f>
        <v/>
      </c>
      <c r="O747" s="4">
        <f>IF(J747&lt;=G747,1,0)</f>
        <v/>
      </c>
      <c r="P747" s="4">
        <f>MAX(0,I747-H747)</f>
        <v/>
      </c>
      <c r="Q747" s="4">
        <f>MAX(0,J747-G747)</f>
        <v/>
      </c>
      <c r="R747" s="4">
        <f>IF(AND(N747=1,O747=1),"On Track",IF(O747=0,"Customer Delivery Late","Ship Late"))</f>
        <v/>
      </c>
    </row>
    <row r="748">
      <c r="A748" s="2" t="inlineStr">
        <is>
          <t>ORD-00747</t>
        </is>
      </c>
      <c r="B748" s="2" t="inlineStr">
        <is>
          <t>Customer 24</t>
        </is>
      </c>
      <c r="C748" s="2" t="inlineStr">
        <is>
          <t>Relay</t>
        </is>
      </c>
      <c r="D748" s="2" t="inlineStr">
        <is>
          <t>Plant B</t>
        </is>
      </c>
      <c r="E748" s="2" t="inlineStr">
        <is>
          <t>South</t>
        </is>
      </c>
      <c r="F748" s="12" t="n">
        <v>46024</v>
      </c>
      <c r="G748" s="12" t="n">
        <v>46048</v>
      </c>
      <c r="H748" s="12" t="n">
        <v>46044</v>
      </c>
      <c r="I748" s="12" t="n">
        <v>46043</v>
      </c>
      <c r="J748" s="12" t="n">
        <v>46046</v>
      </c>
      <c r="K748" s="2" t="n">
        <v>28</v>
      </c>
      <c r="L748" s="2" t="inlineStr">
        <is>
          <t>Road</t>
        </is>
      </c>
      <c r="M748" s="2" t="inlineStr">
        <is>
          <t>No Delay</t>
        </is>
      </c>
      <c r="N748" s="4">
        <f>IF(I748&lt;=H748,1,0)</f>
        <v/>
      </c>
      <c r="O748" s="4">
        <f>IF(J748&lt;=G748,1,0)</f>
        <v/>
      </c>
      <c r="P748" s="4">
        <f>MAX(0,I748-H748)</f>
        <v/>
      </c>
      <c r="Q748" s="4">
        <f>MAX(0,J748-G748)</f>
        <v/>
      </c>
      <c r="R748" s="4">
        <f>IF(AND(N748=1,O748=1),"On Track",IF(O748=0,"Customer Delivery Late","Ship Late"))</f>
        <v/>
      </c>
    </row>
    <row r="749">
      <c r="A749" s="2" t="inlineStr">
        <is>
          <t>ORD-00748</t>
        </is>
      </c>
      <c r="B749" s="2" t="inlineStr">
        <is>
          <t>Customer 16</t>
        </is>
      </c>
      <c r="C749" s="2" t="inlineStr">
        <is>
          <t>Breaker</t>
        </is>
      </c>
      <c r="D749" s="2" t="inlineStr">
        <is>
          <t>Plant A</t>
        </is>
      </c>
      <c r="E749" s="2" t="inlineStr">
        <is>
          <t>South</t>
        </is>
      </c>
      <c r="F749" s="12" t="n">
        <v>46133</v>
      </c>
      <c r="G749" s="12" t="n">
        <v>46153</v>
      </c>
      <c r="H749" s="12" t="n">
        <v>46151</v>
      </c>
      <c r="I749" s="12" t="n">
        <v>46151</v>
      </c>
      <c r="J749" s="12" t="n">
        <v>46153</v>
      </c>
      <c r="K749" s="2" t="n">
        <v>473</v>
      </c>
      <c r="L749" s="2" t="inlineStr">
        <is>
          <t>Air</t>
        </is>
      </c>
      <c r="M749" s="2" t="inlineStr">
        <is>
          <t>No Delay</t>
        </is>
      </c>
      <c r="N749" s="4">
        <f>IF(I749&lt;=H749,1,0)</f>
        <v/>
      </c>
      <c r="O749" s="4">
        <f>IF(J749&lt;=G749,1,0)</f>
        <v/>
      </c>
      <c r="P749" s="4">
        <f>MAX(0,I749-H749)</f>
        <v/>
      </c>
      <c r="Q749" s="4">
        <f>MAX(0,J749-G749)</f>
        <v/>
      </c>
      <c r="R749" s="4">
        <f>IF(AND(N749=1,O749=1),"On Track",IF(O749=0,"Customer Delivery Late","Ship Late"))</f>
        <v/>
      </c>
    </row>
    <row r="750">
      <c r="A750" s="2" t="inlineStr">
        <is>
          <t>ORD-00749</t>
        </is>
      </c>
      <c r="B750" s="2" t="inlineStr">
        <is>
          <t>Customer 22</t>
        </is>
      </c>
      <c r="C750" s="2" t="inlineStr">
        <is>
          <t>Switchgear</t>
        </is>
      </c>
      <c r="D750" s="2" t="inlineStr">
        <is>
          <t>Plant A</t>
        </is>
      </c>
      <c r="E750" s="2" t="inlineStr">
        <is>
          <t>Central</t>
        </is>
      </c>
      <c r="F750" s="12" t="n">
        <v>46124</v>
      </c>
      <c r="G750" s="12" t="n">
        <v>46140</v>
      </c>
      <c r="H750" s="12" t="n">
        <v>46137</v>
      </c>
      <c r="I750" s="12" t="n">
        <v>46135</v>
      </c>
      <c r="J750" s="12" t="n">
        <v>46137</v>
      </c>
      <c r="K750" s="2" t="n">
        <v>734</v>
      </c>
      <c r="L750" s="2" t="inlineStr">
        <is>
          <t>Sea</t>
        </is>
      </c>
      <c r="M750" s="2" t="inlineStr">
        <is>
          <t>No Delay</t>
        </is>
      </c>
      <c r="N750" s="4">
        <f>IF(I750&lt;=H750,1,0)</f>
        <v/>
      </c>
      <c r="O750" s="4">
        <f>IF(J750&lt;=G750,1,0)</f>
        <v/>
      </c>
      <c r="P750" s="4">
        <f>MAX(0,I750-H750)</f>
        <v/>
      </c>
      <c r="Q750" s="4">
        <f>MAX(0,J750-G750)</f>
        <v/>
      </c>
      <c r="R750" s="4">
        <f>IF(AND(N750=1,O750=1),"On Track",IF(O750=0,"Customer Delivery Late","Ship Late"))</f>
        <v/>
      </c>
    </row>
    <row r="751">
      <c r="A751" s="2" t="inlineStr">
        <is>
          <t>ORD-00750</t>
        </is>
      </c>
      <c r="B751" s="2" t="inlineStr">
        <is>
          <t>Customer 02</t>
        </is>
      </c>
      <c r="C751" s="2" t="inlineStr">
        <is>
          <t>Relay</t>
        </is>
      </c>
      <c r="D751" s="2" t="inlineStr">
        <is>
          <t>Plant B</t>
        </is>
      </c>
      <c r="E751" s="2" t="inlineStr">
        <is>
          <t>Export</t>
        </is>
      </c>
      <c r="F751" s="12" t="n">
        <v>46134</v>
      </c>
      <c r="G751" s="12" t="n">
        <v>46139</v>
      </c>
      <c r="H751" s="12" t="n">
        <v>46136</v>
      </c>
      <c r="I751" s="12" t="n">
        <v>46136</v>
      </c>
      <c r="J751" s="12" t="n">
        <v>46138</v>
      </c>
      <c r="K751" s="2" t="n">
        <v>688</v>
      </c>
      <c r="L751" s="2" t="inlineStr">
        <is>
          <t>Road</t>
        </is>
      </c>
      <c r="M751" s="2" t="inlineStr">
        <is>
          <t>No Delay</t>
        </is>
      </c>
      <c r="N751" s="4">
        <f>IF(I751&lt;=H751,1,0)</f>
        <v/>
      </c>
      <c r="O751" s="4">
        <f>IF(J751&lt;=G751,1,0)</f>
        <v/>
      </c>
      <c r="P751" s="4">
        <f>MAX(0,I751-H751)</f>
        <v/>
      </c>
      <c r="Q751" s="4">
        <f>MAX(0,J751-G751)</f>
        <v/>
      </c>
      <c r="R751" s="4">
        <f>IF(AND(N751=1,O751=1),"On Track",IF(O751=0,"Customer Delivery Late","Ship Late"))</f>
        <v/>
      </c>
    </row>
    <row r="752">
      <c r="A752" s="2" t="inlineStr">
        <is>
          <t>ORD-00751</t>
        </is>
      </c>
      <c r="B752" s="2" t="inlineStr">
        <is>
          <t>Customer 16</t>
        </is>
      </c>
      <c r="C752" s="2" t="inlineStr">
        <is>
          <t>Relay</t>
        </is>
      </c>
      <c r="D752" s="2" t="inlineStr">
        <is>
          <t>Plant B</t>
        </is>
      </c>
      <c r="E752" s="2" t="inlineStr">
        <is>
          <t>Export</t>
        </is>
      </c>
      <c r="F752" s="12" t="n">
        <v>46064</v>
      </c>
      <c r="G752" s="12" t="n">
        <v>46075</v>
      </c>
      <c r="H752" s="12" t="n">
        <v>46071</v>
      </c>
      <c r="I752" s="12" t="n">
        <v>46070</v>
      </c>
      <c r="J752" s="12" t="n">
        <v>46074</v>
      </c>
      <c r="K752" s="2" t="n">
        <v>1037</v>
      </c>
      <c r="L752" s="2" t="inlineStr">
        <is>
          <t>Sea</t>
        </is>
      </c>
      <c r="M752" s="2" t="inlineStr">
        <is>
          <t>No Delay</t>
        </is>
      </c>
      <c r="N752" s="4">
        <f>IF(I752&lt;=H752,1,0)</f>
        <v/>
      </c>
      <c r="O752" s="4">
        <f>IF(J752&lt;=G752,1,0)</f>
        <v/>
      </c>
      <c r="P752" s="4">
        <f>MAX(0,I752-H752)</f>
        <v/>
      </c>
      <c r="Q752" s="4">
        <f>MAX(0,J752-G752)</f>
        <v/>
      </c>
      <c r="R752" s="4">
        <f>IF(AND(N752=1,O752=1),"On Track",IF(O752=0,"Customer Delivery Late","Ship Late"))</f>
        <v/>
      </c>
    </row>
    <row r="753">
      <c r="A753" s="2" t="inlineStr">
        <is>
          <t>ORD-00752</t>
        </is>
      </c>
      <c r="B753" s="2" t="inlineStr">
        <is>
          <t>Customer 01</t>
        </is>
      </c>
      <c r="C753" s="2" t="inlineStr">
        <is>
          <t>PLC</t>
        </is>
      </c>
      <c r="D753" s="2" t="inlineStr">
        <is>
          <t>Plant A</t>
        </is>
      </c>
      <c r="E753" s="2" t="inlineStr">
        <is>
          <t>South</t>
        </is>
      </c>
      <c r="F753" s="12" t="n">
        <v>46122</v>
      </c>
      <c r="G753" s="12" t="n">
        <v>46131</v>
      </c>
      <c r="H753" s="12" t="n">
        <v>46130</v>
      </c>
      <c r="I753" s="12" t="n">
        <v>46128</v>
      </c>
      <c r="J753" s="12" t="n">
        <v>46129</v>
      </c>
      <c r="K753" s="2" t="n">
        <v>889</v>
      </c>
      <c r="L753" s="2" t="inlineStr">
        <is>
          <t>Sea</t>
        </is>
      </c>
      <c r="M753" s="2" t="inlineStr">
        <is>
          <t>No Delay</t>
        </is>
      </c>
      <c r="N753" s="4">
        <f>IF(I753&lt;=H753,1,0)</f>
        <v/>
      </c>
      <c r="O753" s="4">
        <f>IF(J753&lt;=G753,1,0)</f>
        <v/>
      </c>
      <c r="P753" s="4">
        <f>MAX(0,I753-H753)</f>
        <v/>
      </c>
      <c r="Q753" s="4">
        <f>MAX(0,J753-G753)</f>
        <v/>
      </c>
      <c r="R753" s="4">
        <f>IF(AND(N753=1,O753=1),"On Track",IF(O753=0,"Customer Delivery Late","Ship Late"))</f>
        <v/>
      </c>
    </row>
    <row r="754">
      <c r="A754" s="2" t="inlineStr">
        <is>
          <t>ORD-00753</t>
        </is>
      </c>
      <c r="B754" s="2" t="inlineStr">
        <is>
          <t>Customer 05</t>
        </is>
      </c>
      <c r="C754" s="2" t="inlineStr">
        <is>
          <t>Relay</t>
        </is>
      </c>
      <c r="D754" s="2" t="inlineStr">
        <is>
          <t>Plant A</t>
        </is>
      </c>
      <c r="E754" s="2" t="inlineStr">
        <is>
          <t>South</t>
        </is>
      </c>
      <c r="F754" s="12" t="n">
        <v>46025</v>
      </c>
      <c r="G754" s="12" t="n">
        <v>46043</v>
      </c>
      <c r="H754" s="12" t="n">
        <v>46039</v>
      </c>
      <c r="I754" s="12" t="n">
        <v>46038</v>
      </c>
      <c r="J754" s="12" t="n">
        <v>46042</v>
      </c>
      <c r="K754" s="2" t="n">
        <v>245</v>
      </c>
      <c r="L754" s="2" t="inlineStr">
        <is>
          <t>Air</t>
        </is>
      </c>
      <c r="M754" s="2" t="inlineStr">
        <is>
          <t>No Delay</t>
        </is>
      </c>
      <c r="N754" s="4">
        <f>IF(I754&lt;=H754,1,0)</f>
        <v/>
      </c>
      <c r="O754" s="4">
        <f>IF(J754&lt;=G754,1,0)</f>
        <v/>
      </c>
      <c r="P754" s="4">
        <f>MAX(0,I754-H754)</f>
        <v/>
      </c>
      <c r="Q754" s="4">
        <f>MAX(0,J754-G754)</f>
        <v/>
      </c>
      <c r="R754" s="4">
        <f>IF(AND(N754=1,O754=1),"On Track",IF(O754=0,"Customer Delivery Late","Ship Late"))</f>
        <v/>
      </c>
    </row>
    <row r="755">
      <c r="A755" s="2" t="inlineStr">
        <is>
          <t>ORD-00754</t>
        </is>
      </c>
      <c r="B755" s="2" t="inlineStr">
        <is>
          <t>Customer 28</t>
        </is>
      </c>
      <c r="C755" s="2" t="inlineStr">
        <is>
          <t>Relay</t>
        </is>
      </c>
      <c r="D755" s="2" t="inlineStr">
        <is>
          <t>Plant A</t>
        </is>
      </c>
      <c r="E755" s="2" t="inlineStr">
        <is>
          <t>North</t>
        </is>
      </c>
      <c r="F755" s="12" t="n">
        <v>46202</v>
      </c>
      <c r="G755" s="12" t="n">
        <v>46214</v>
      </c>
      <c r="H755" s="12" t="n">
        <v>46210</v>
      </c>
      <c r="I755" s="12" t="n">
        <v>46210</v>
      </c>
      <c r="J755" s="12" t="n">
        <v>46215</v>
      </c>
      <c r="K755" s="2" t="n">
        <v>280</v>
      </c>
      <c r="L755" s="2" t="inlineStr">
        <is>
          <t>Air</t>
        </is>
      </c>
      <c r="M755" s="2" t="inlineStr">
        <is>
          <t>Production Delay</t>
        </is>
      </c>
      <c r="N755" s="4">
        <f>IF(I755&lt;=H755,1,0)</f>
        <v/>
      </c>
      <c r="O755" s="4">
        <f>IF(J755&lt;=G755,1,0)</f>
        <v/>
      </c>
      <c r="P755" s="4">
        <f>MAX(0,I755-H755)</f>
        <v/>
      </c>
      <c r="Q755" s="4">
        <f>MAX(0,J755-G755)</f>
        <v/>
      </c>
      <c r="R755" s="4">
        <f>IF(AND(N755=1,O755=1),"On Track",IF(O755=0,"Customer Delivery Late","Ship Late"))</f>
        <v/>
      </c>
    </row>
    <row r="756">
      <c r="A756" s="2" t="inlineStr">
        <is>
          <t>ORD-00755</t>
        </is>
      </c>
      <c r="B756" s="2" t="inlineStr">
        <is>
          <t>Customer 28</t>
        </is>
      </c>
      <c r="C756" s="2" t="inlineStr">
        <is>
          <t>Breaker</t>
        </is>
      </c>
      <c r="D756" s="2" t="inlineStr">
        <is>
          <t>Plant B</t>
        </is>
      </c>
      <c r="E756" s="2" t="inlineStr">
        <is>
          <t>Export</t>
        </is>
      </c>
      <c r="F756" s="12" t="n">
        <v>46032</v>
      </c>
      <c r="G756" s="12" t="n">
        <v>46045</v>
      </c>
      <c r="H756" s="12" t="n">
        <v>46043</v>
      </c>
      <c r="I756" s="12" t="n">
        <v>46042</v>
      </c>
      <c r="J756" s="12" t="n">
        <v>46045</v>
      </c>
      <c r="K756" s="2" t="n">
        <v>1085</v>
      </c>
      <c r="L756" s="2" t="inlineStr">
        <is>
          <t>Air</t>
        </is>
      </c>
      <c r="M756" s="2" t="inlineStr">
        <is>
          <t>No Delay</t>
        </is>
      </c>
      <c r="N756" s="4">
        <f>IF(I756&lt;=H756,1,0)</f>
        <v/>
      </c>
      <c r="O756" s="4">
        <f>IF(J756&lt;=G756,1,0)</f>
        <v/>
      </c>
      <c r="P756" s="4">
        <f>MAX(0,I756-H756)</f>
        <v/>
      </c>
      <c r="Q756" s="4">
        <f>MAX(0,J756-G756)</f>
        <v/>
      </c>
      <c r="R756" s="4">
        <f>IF(AND(N756=1,O756=1),"On Track",IF(O756=0,"Customer Delivery Late","Ship Late"))</f>
        <v/>
      </c>
    </row>
    <row r="757">
      <c r="A757" s="2" t="inlineStr">
        <is>
          <t>ORD-00756</t>
        </is>
      </c>
      <c r="B757" s="2" t="inlineStr">
        <is>
          <t>Customer 21</t>
        </is>
      </c>
      <c r="C757" s="2" t="inlineStr">
        <is>
          <t>Breaker</t>
        </is>
      </c>
      <c r="D757" s="2" t="inlineStr">
        <is>
          <t>Plant B</t>
        </is>
      </c>
      <c r="E757" s="2" t="inlineStr">
        <is>
          <t>North</t>
        </is>
      </c>
      <c r="F757" s="12" t="n">
        <v>46202</v>
      </c>
      <c r="G757" s="12" t="n">
        <v>46227</v>
      </c>
      <c r="H757" s="12" t="n">
        <v>46225</v>
      </c>
      <c r="I757" s="12" t="n">
        <v>46224</v>
      </c>
      <c r="J757" s="12" t="n">
        <v>46225</v>
      </c>
      <c r="K757" s="2" t="n">
        <v>561</v>
      </c>
      <c r="L757" s="2" t="inlineStr">
        <is>
          <t>Air</t>
        </is>
      </c>
      <c r="M757" s="2" t="inlineStr">
        <is>
          <t>No Delay</t>
        </is>
      </c>
      <c r="N757" s="4">
        <f>IF(I757&lt;=H757,1,0)</f>
        <v/>
      </c>
      <c r="O757" s="4">
        <f>IF(J757&lt;=G757,1,0)</f>
        <v/>
      </c>
      <c r="P757" s="4">
        <f>MAX(0,I757-H757)</f>
        <v/>
      </c>
      <c r="Q757" s="4">
        <f>MAX(0,J757-G757)</f>
        <v/>
      </c>
      <c r="R757" s="4">
        <f>IF(AND(N757=1,O757=1),"On Track",IF(O757=0,"Customer Delivery Late","Ship Late"))</f>
        <v/>
      </c>
    </row>
    <row r="758">
      <c r="A758" s="2" t="inlineStr">
        <is>
          <t>ORD-00757</t>
        </is>
      </c>
      <c r="B758" s="2" t="inlineStr">
        <is>
          <t>Customer 10</t>
        </is>
      </c>
      <c r="C758" s="2" t="inlineStr">
        <is>
          <t>Switchgear</t>
        </is>
      </c>
      <c r="D758" s="2" t="inlineStr">
        <is>
          <t>Plant B</t>
        </is>
      </c>
      <c r="E758" s="2" t="inlineStr">
        <is>
          <t>North</t>
        </is>
      </c>
      <c r="F758" s="12" t="n">
        <v>46094</v>
      </c>
      <c r="G758" s="12" t="n">
        <v>46110</v>
      </c>
      <c r="H758" s="12" t="n">
        <v>46106</v>
      </c>
      <c r="I758" s="12" t="n">
        <v>46104</v>
      </c>
      <c r="J758" s="12" t="n">
        <v>46113</v>
      </c>
      <c r="K758" s="2" t="n">
        <v>892</v>
      </c>
      <c r="L758" s="2" t="inlineStr">
        <is>
          <t>Road</t>
        </is>
      </c>
      <c r="M758" s="2" t="inlineStr">
        <is>
          <t>Production Delay</t>
        </is>
      </c>
      <c r="N758" s="4">
        <f>IF(I758&lt;=H758,1,0)</f>
        <v/>
      </c>
      <c r="O758" s="4">
        <f>IF(J758&lt;=G758,1,0)</f>
        <v/>
      </c>
      <c r="P758" s="4">
        <f>MAX(0,I758-H758)</f>
        <v/>
      </c>
      <c r="Q758" s="4">
        <f>MAX(0,J758-G758)</f>
        <v/>
      </c>
      <c r="R758" s="4">
        <f>IF(AND(N758=1,O758=1),"On Track",IF(O758=0,"Customer Delivery Late","Ship Late"))</f>
        <v/>
      </c>
    </row>
    <row r="759">
      <c r="A759" s="2" t="inlineStr">
        <is>
          <t>ORD-00758</t>
        </is>
      </c>
      <c r="B759" s="2" t="inlineStr">
        <is>
          <t>Customer 25</t>
        </is>
      </c>
      <c r="C759" s="2" t="inlineStr">
        <is>
          <t>Relay</t>
        </is>
      </c>
      <c r="D759" s="2" t="inlineStr">
        <is>
          <t>Plant B</t>
        </is>
      </c>
      <c r="E759" s="2" t="inlineStr">
        <is>
          <t>South</t>
        </is>
      </c>
      <c r="F759" s="12" t="n">
        <v>46087</v>
      </c>
      <c r="G759" s="12" t="n">
        <v>46107</v>
      </c>
      <c r="H759" s="12" t="n">
        <v>46104</v>
      </c>
      <c r="I759" s="12" t="n">
        <v>46102</v>
      </c>
      <c r="J759" s="12" t="n">
        <v>46104</v>
      </c>
      <c r="K759" s="2" t="n">
        <v>750</v>
      </c>
      <c r="L759" s="2" t="inlineStr">
        <is>
          <t>Sea</t>
        </is>
      </c>
      <c r="M759" s="2" t="inlineStr">
        <is>
          <t>No Delay</t>
        </is>
      </c>
      <c r="N759" s="4">
        <f>IF(I759&lt;=H759,1,0)</f>
        <v/>
      </c>
      <c r="O759" s="4">
        <f>IF(J759&lt;=G759,1,0)</f>
        <v/>
      </c>
      <c r="P759" s="4">
        <f>MAX(0,I759-H759)</f>
        <v/>
      </c>
      <c r="Q759" s="4">
        <f>MAX(0,J759-G759)</f>
        <v/>
      </c>
      <c r="R759" s="4">
        <f>IF(AND(N759=1,O759=1),"On Track",IF(O759=0,"Customer Delivery Late","Ship Late"))</f>
        <v/>
      </c>
    </row>
    <row r="760">
      <c r="A760" s="2" t="inlineStr">
        <is>
          <t>ORD-00759</t>
        </is>
      </c>
      <c r="B760" s="2" t="inlineStr">
        <is>
          <t>Customer 03</t>
        </is>
      </c>
      <c r="C760" s="2" t="inlineStr">
        <is>
          <t>Contactor</t>
        </is>
      </c>
      <c r="D760" s="2" t="inlineStr">
        <is>
          <t>Plant A</t>
        </is>
      </c>
      <c r="E760" s="2" t="inlineStr">
        <is>
          <t>North</t>
        </is>
      </c>
      <c r="F760" s="12" t="n">
        <v>46173</v>
      </c>
      <c r="G760" s="12" t="n">
        <v>46194</v>
      </c>
      <c r="H760" s="12" t="n">
        <v>46189</v>
      </c>
      <c r="I760" s="12" t="n">
        <v>46189</v>
      </c>
      <c r="J760" s="12" t="n">
        <v>46194</v>
      </c>
      <c r="K760" s="2" t="n">
        <v>94</v>
      </c>
      <c r="L760" s="2" t="inlineStr">
        <is>
          <t>Sea</t>
        </is>
      </c>
      <c r="M760" s="2" t="inlineStr">
        <is>
          <t>No Delay</t>
        </is>
      </c>
      <c r="N760" s="4">
        <f>IF(I760&lt;=H760,1,0)</f>
        <v/>
      </c>
      <c r="O760" s="4">
        <f>IF(J760&lt;=G760,1,0)</f>
        <v/>
      </c>
      <c r="P760" s="4">
        <f>MAX(0,I760-H760)</f>
        <v/>
      </c>
      <c r="Q760" s="4">
        <f>MAX(0,J760-G760)</f>
        <v/>
      </c>
      <c r="R760" s="4">
        <f>IF(AND(N760=1,O760=1),"On Track",IF(O760=0,"Customer Delivery Late","Ship Late"))</f>
        <v/>
      </c>
    </row>
    <row r="761">
      <c r="A761" s="2" t="inlineStr">
        <is>
          <t>ORD-00760</t>
        </is>
      </c>
      <c r="B761" s="2" t="inlineStr">
        <is>
          <t>Customer 10</t>
        </is>
      </c>
      <c r="C761" s="2" t="inlineStr">
        <is>
          <t>Switchgear</t>
        </is>
      </c>
      <c r="D761" s="2" t="inlineStr">
        <is>
          <t>Plant A</t>
        </is>
      </c>
      <c r="E761" s="2" t="inlineStr">
        <is>
          <t>Central</t>
        </is>
      </c>
      <c r="F761" s="12" t="n">
        <v>46190</v>
      </c>
      <c r="G761" s="12" t="n">
        <v>46201</v>
      </c>
      <c r="H761" s="12" t="n">
        <v>46199</v>
      </c>
      <c r="I761" s="12" t="n">
        <v>46197</v>
      </c>
      <c r="J761" s="12" t="n">
        <v>46200</v>
      </c>
      <c r="K761" s="2" t="n">
        <v>99</v>
      </c>
      <c r="L761" s="2" t="inlineStr">
        <is>
          <t>Road</t>
        </is>
      </c>
      <c r="M761" s="2" t="inlineStr">
        <is>
          <t>No Delay</t>
        </is>
      </c>
      <c r="N761" s="4">
        <f>IF(I761&lt;=H761,1,0)</f>
        <v/>
      </c>
      <c r="O761" s="4">
        <f>IF(J761&lt;=G761,1,0)</f>
        <v/>
      </c>
      <c r="P761" s="4">
        <f>MAX(0,I761-H761)</f>
        <v/>
      </c>
      <c r="Q761" s="4">
        <f>MAX(0,J761-G761)</f>
        <v/>
      </c>
      <c r="R761" s="4">
        <f>IF(AND(N761=1,O761=1),"On Track",IF(O761=0,"Customer Delivery Late","Ship Late"))</f>
        <v/>
      </c>
    </row>
    <row r="762">
      <c r="A762" s="2" t="inlineStr">
        <is>
          <t>ORD-00761</t>
        </is>
      </c>
      <c r="B762" s="2" t="inlineStr">
        <is>
          <t>Customer 23</t>
        </is>
      </c>
      <c r="C762" s="2" t="inlineStr">
        <is>
          <t>Contactor</t>
        </is>
      </c>
      <c r="D762" s="2" t="inlineStr">
        <is>
          <t>Plant B</t>
        </is>
      </c>
      <c r="E762" s="2" t="inlineStr">
        <is>
          <t>North</t>
        </is>
      </c>
      <c r="F762" s="12" t="n">
        <v>46072</v>
      </c>
      <c r="G762" s="12" t="n">
        <v>46090</v>
      </c>
      <c r="H762" s="12" t="n">
        <v>46085</v>
      </c>
      <c r="I762" s="12" t="n">
        <v>46085</v>
      </c>
      <c r="J762" s="12" t="n">
        <v>46090</v>
      </c>
      <c r="K762" s="2" t="n">
        <v>998</v>
      </c>
      <c r="L762" s="2" t="inlineStr">
        <is>
          <t>Air</t>
        </is>
      </c>
      <c r="M762" s="2" t="inlineStr">
        <is>
          <t>No Delay</t>
        </is>
      </c>
      <c r="N762" s="4">
        <f>IF(I762&lt;=H762,1,0)</f>
        <v/>
      </c>
      <c r="O762" s="4">
        <f>IF(J762&lt;=G762,1,0)</f>
        <v/>
      </c>
      <c r="P762" s="4">
        <f>MAX(0,I762-H762)</f>
        <v/>
      </c>
      <c r="Q762" s="4">
        <f>MAX(0,J762-G762)</f>
        <v/>
      </c>
      <c r="R762" s="4">
        <f>IF(AND(N762=1,O762=1),"On Track",IF(O762=0,"Customer Delivery Late","Ship Late"))</f>
        <v/>
      </c>
    </row>
    <row r="763">
      <c r="A763" s="2" t="inlineStr">
        <is>
          <t>ORD-00762</t>
        </is>
      </c>
      <c r="B763" s="2" t="inlineStr">
        <is>
          <t>Customer 19</t>
        </is>
      </c>
      <c r="C763" s="2" t="inlineStr">
        <is>
          <t>Breaker</t>
        </is>
      </c>
      <c r="D763" s="2" t="inlineStr">
        <is>
          <t>Plant C</t>
        </is>
      </c>
      <c r="E763" s="2" t="inlineStr">
        <is>
          <t>Central</t>
        </is>
      </c>
      <c r="F763" s="12" t="n">
        <v>46157</v>
      </c>
      <c r="G763" s="12" t="n">
        <v>46178</v>
      </c>
      <c r="H763" s="12" t="n">
        <v>46177</v>
      </c>
      <c r="I763" s="12" t="n">
        <v>46176</v>
      </c>
      <c r="J763" s="12" t="n">
        <v>46177</v>
      </c>
      <c r="K763" s="2" t="n">
        <v>824</v>
      </c>
      <c r="L763" s="2" t="inlineStr">
        <is>
          <t>Air</t>
        </is>
      </c>
      <c r="M763" s="2" t="inlineStr">
        <is>
          <t>No Delay</t>
        </is>
      </c>
      <c r="N763" s="4">
        <f>IF(I763&lt;=H763,1,0)</f>
        <v/>
      </c>
      <c r="O763" s="4">
        <f>IF(J763&lt;=G763,1,0)</f>
        <v/>
      </c>
      <c r="P763" s="4">
        <f>MAX(0,I763-H763)</f>
        <v/>
      </c>
      <c r="Q763" s="4">
        <f>MAX(0,J763-G763)</f>
        <v/>
      </c>
      <c r="R763" s="4">
        <f>IF(AND(N763=1,O763=1),"On Track",IF(O763=0,"Customer Delivery Late","Ship Late"))</f>
        <v/>
      </c>
    </row>
    <row r="764">
      <c r="A764" s="2" t="inlineStr">
        <is>
          <t>ORD-00763</t>
        </is>
      </c>
      <c r="B764" s="2" t="inlineStr">
        <is>
          <t>Customer 13</t>
        </is>
      </c>
      <c r="C764" s="2" t="inlineStr">
        <is>
          <t>Sensor</t>
        </is>
      </c>
      <c r="D764" s="2" t="inlineStr">
        <is>
          <t>Plant A</t>
        </is>
      </c>
      <c r="E764" s="2" t="inlineStr">
        <is>
          <t>Central</t>
        </is>
      </c>
      <c r="F764" s="12" t="n">
        <v>46198</v>
      </c>
      <c r="G764" s="12" t="n">
        <v>46220</v>
      </c>
      <c r="H764" s="12" t="n">
        <v>46215</v>
      </c>
      <c r="I764" s="12" t="n">
        <v>46218</v>
      </c>
      <c r="J764" s="12" t="n">
        <v>46224</v>
      </c>
      <c r="K764" s="2" t="n">
        <v>17</v>
      </c>
      <c r="L764" s="2" t="inlineStr">
        <is>
          <t>Road</t>
        </is>
      </c>
      <c r="M764" s="2" t="inlineStr">
        <is>
          <t>Documentation Issue</t>
        </is>
      </c>
      <c r="N764" s="4">
        <f>IF(I764&lt;=H764,1,0)</f>
        <v/>
      </c>
      <c r="O764" s="4">
        <f>IF(J764&lt;=G764,1,0)</f>
        <v/>
      </c>
      <c r="P764" s="4">
        <f>MAX(0,I764-H764)</f>
        <v/>
      </c>
      <c r="Q764" s="4">
        <f>MAX(0,J764-G764)</f>
        <v/>
      </c>
      <c r="R764" s="4">
        <f>IF(AND(N764=1,O764=1),"On Track",IF(O764=0,"Customer Delivery Late","Ship Late"))</f>
        <v/>
      </c>
    </row>
    <row r="765">
      <c r="A765" s="2" t="inlineStr">
        <is>
          <t>ORD-00764</t>
        </is>
      </c>
      <c r="B765" s="2" t="inlineStr">
        <is>
          <t>Customer 09</t>
        </is>
      </c>
      <c r="C765" s="2" t="inlineStr">
        <is>
          <t>Sensor</t>
        </is>
      </c>
      <c r="D765" s="2" t="inlineStr">
        <is>
          <t>Plant A</t>
        </is>
      </c>
      <c r="E765" s="2" t="inlineStr">
        <is>
          <t>South</t>
        </is>
      </c>
      <c r="F765" s="12" t="n">
        <v>46169</v>
      </c>
      <c r="G765" s="12" t="n">
        <v>46180</v>
      </c>
      <c r="H765" s="12" t="n">
        <v>46175</v>
      </c>
      <c r="I765" s="12" t="n">
        <v>46175</v>
      </c>
      <c r="J765" s="12" t="n">
        <v>46181</v>
      </c>
      <c r="K765" s="2" t="n">
        <v>1460</v>
      </c>
      <c r="L765" s="2" t="inlineStr">
        <is>
          <t>Air</t>
        </is>
      </c>
      <c r="M765" s="2" t="inlineStr">
        <is>
          <t>Capacity Constraint</t>
        </is>
      </c>
      <c r="N765" s="4">
        <f>IF(I765&lt;=H765,1,0)</f>
        <v/>
      </c>
      <c r="O765" s="4">
        <f>IF(J765&lt;=G765,1,0)</f>
        <v/>
      </c>
      <c r="P765" s="4">
        <f>MAX(0,I765-H765)</f>
        <v/>
      </c>
      <c r="Q765" s="4">
        <f>MAX(0,J765-G765)</f>
        <v/>
      </c>
      <c r="R765" s="4">
        <f>IF(AND(N765=1,O765=1),"On Track",IF(O765=0,"Customer Delivery Late","Ship Late"))</f>
        <v/>
      </c>
    </row>
    <row r="766">
      <c r="A766" s="2" t="inlineStr">
        <is>
          <t>ORD-00765</t>
        </is>
      </c>
      <c r="B766" s="2" t="inlineStr">
        <is>
          <t>Customer 05</t>
        </is>
      </c>
      <c r="C766" s="2" t="inlineStr">
        <is>
          <t>Sensor</t>
        </is>
      </c>
      <c r="D766" s="2" t="inlineStr">
        <is>
          <t>Plant A</t>
        </is>
      </c>
      <c r="E766" s="2" t="inlineStr">
        <is>
          <t>South</t>
        </is>
      </c>
      <c r="F766" s="12" t="n">
        <v>46164</v>
      </c>
      <c r="G766" s="12" t="n">
        <v>46172</v>
      </c>
      <c r="H766" s="12" t="n">
        <v>46170</v>
      </c>
      <c r="I766" s="12" t="n">
        <v>46170</v>
      </c>
      <c r="J766" s="12" t="n">
        <v>46172</v>
      </c>
      <c r="K766" s="2" t="n">
        <v>115</v>
      </c>
      <c r="L766" s="2" t="inlineStr">
        <is>
          <t>Sea</t>
        </is>
      </c>
      <c r="M766" s="2" t="inlineStr">
        <is>
          <t>No Delay</t>
        </is>
      </c>
      <c r="N766" s="4">
        <f>IF(I766&lt;=H766,1,0)</f>
        <v/>
      </c>
      <c r="O766" s="4">
        <f>IF(J766&lt;=G766,1,0)</f>
        <v/>
      </c>
      <c r="P766" s="4">
        <f>MAX(0,I766-H766)</f>
        <v/>
      </c>
      <c r="Q766" s="4">
        <f>MAX(0,J766-G766)</f>
        <v/>
      </c>
      <c r="R766" s="4">
        <f>IF(AND(N766=1,O766=1),"On Track",IF(O766=0,"Customer Delivery Late","Ship Late"))</f>
        <v/>
      </c>
    </row>
    <row r="767">
      <c r="A767" s="2" t="inlineStr">
        <is>
          <t>ORD-00766</t>
        </is>
      </c>
      <c r="B767" s="2" t="inlineStr">
        <is>
          <t>Customer 03</t>
        </is>
      </c>
      <c r="C767" s="2" t="inlineStr">
        <is>
          <t>Sensor</t>
        </is>
      </c>
      <c r="D767" s="2" t="inlineStr">
        <is>
          <t>Plant C</t>
        </is>
      </c>
      <c r="E767" s="2" t="inlineStr">
        <is>
          <t>Central</t>
        </is>
      </c>
      <c r="F767" s="12" t="n">
        <v>46086</v>
      </c>
      <c r="G767" s="12" t="n">
        <v>46097</v>
      </c>
      <c r="H767" s="12" t="n">
        <v>46092</v>
      </c>
      <c r="I767" s="12" t="n">
        <v>46092</v>
      </c>
      <c r="J767" s="12" t="n">
        <v>46098</v>
      </c>
      <c r="K767" s="2" t="n">
        <v>846</v>
      </c>
      <c r="L767" s="2" t="inlineStr">
        <is>
          <t>Sea</t>
        </is>
      </c>
      <c r="M767" s="2" t="inlineStr">
        <is>
          <t>Carrier Delay</t>
        </is>
      </c>
      <c r="N767" s="4">
        <f>IF(I767&lt;=H767,1,0)</f>
        <v/>
      </c>
      <c r="O767" s="4">
        <f>IF(J767&lt;=G767,1,0)</f>
        <v/>
      </c>
      <c r="P767" s="4">
        <f>MAX(0,I767-H767)</f>
        <v/>
      </c>
      <c r="Q767" s="4">
        <f>MAX(0,J767-G767)</f>
        <v/>
      </c>
      <c r="R767" s="4">
        <f>IF(AND(N767=1,O767=1),"On Track",IF(O767=0,"Customer Delivery Late","Ship Late"))</f>
        <v/>
      </c>
    </row>
    <row r="768">
      <c r="A768" s="2" t="inlineStr">
        <is>
          <t>ORD-00767</t>
        </is>
      </c>
      <c r="B768" s="2" t="inlineStr">
        <is>
          <t>Customer 09</t>
        </is>
      </c>
      <c r="C768" s="2" t="inlineStr">
        <is>
          <t>Relay</t>
        </is>
      </c>
      <c r="D768" s="2" t="inlineStr">
        <is>
          <t>Plant B</t>
        </is>
      </c>
      <c r="E768" s="2" t="inlineStr">
        <is>
          <t>North</t>
        </is>
      </c>
      <c r="F768" s="12" t="n">
        <v>46098</v>
      </c>
      <c r="G768" s="12" t="n">
        <v>46113</v>
      </c>
      <c r="H768" s="12" t="n">
        <v>46112</v>
      </c>
      <c r="I768" s="12" t="n">
        <v>46110</v>
      </c>
      <c r="J768" s="12" t="n">
        <v>46111</v>
      </c>
      <c r="K768" s="2" t="n">
        <v>1110</v>
      </c>
      <c r="L768" s="2" t="inlineStr">
        <is>
          <t>Sea</t>
        </is>
      </c>
      <c r="M768" s="2" t="inlineStr">
        <is>
          <t>No Delay</t>
        </is>
      </c>
      <c r="N768" s="4">
        <f>IF(I768&lt;=H768,1,0)</f>
        <v/>
      </c>
      <c r="O768" s="4">
        <f>IF(J768&lt;=G768,1,0)</f>
        <v/>
      </c>
      <c r="P768" s="4">
        <f>MAX(0,I768-H768)</f>
        <v/>
      </c>
      <c r="Q768" s="4">
        <f>MAX(0,J768-G768)</f>
        <v/>
      </c>
      <c r="R768" s="4">
        <f>IF(AND(N768=1,O768=1),"On Track",IF(O768=0,"Customer Delivery Late","Ship Late"))</f>
        <v/>
      </c>
    </row>
    <row r="769">
      <c r="A769" s="2" t="inlineStr">
        <is>
          <t>ORD-00768</t>
        </is>
      </c>
      <c r="B769" s="2" t="inlineStr">
        <is>
          <t>Customer 09</t>
        </is>
      </c>
      <c r="C769" s="2" t="inlineStr">
        <is>
          <t>PLC</t>
        </is>
      </c>
      <c r="D769" s="2" t="inlineStr">
        <is>
          <t>Plant C</t>
        </is>
      </c>
      <c r="E769" s="2" t="inlineStr">
        <is>
          <t>Export</t>
        </is>
      </c>
      <c r="F769" s="12" t="n">
        <v>46172</v>
      </c>
      <c r="G769" s="12" t="n">
        <v>46180</v>
      </c>
      <c r="H769" s="12" t="n">
        <v>46176</v>
      </c>
      <c r="I769" s="12" t="n">
        <v>46175</v>
      </c>
      <c r="J769" s="12" t="n">
        <v>46179</v>
      </c>
      <c r="K769" s="2" t="n">
        <v>328</v>
      </c>
      <c r="L769" s="2" t="inlineStr">
        <is>
          <t>Air</t>
        </is>
      </c>
      <c r="M769" s="2" t="inlineStr">
        <is>
          <t>No Delay</t>
        </is>
      </c>
      <c r="N769" s="4">
        <f>IF(I769&lt;=H769,1,0)</f>
        <v/>
      </c>
      <c r="O769" s="4">
        <f>IF(J769&lt;=G769,1,0)</f>
        <v/>
      </c>
      <c r="P769" s="4">
        <f>MAX(0,I769-H769)</f>
        <v/>
      </c>
      <c r="Q769" s="4">
        <f>MAX(0,J769-G769)</f>
        <v/>
      </c>
      <c r="R769" s="4">
        <f>IF(AND(N769=1,O769=1),"On Track",IF(O769=0,"Customer Delivery Late","Ship Late"))</f>
        <v/>
      </c>
    </row>
    <row r="770">
      <c r="A770" s="2" t="inlineStr">
        <is>
          <t>ORD-00769</t>
        </is>
      </c>
      <c r="B770" s="2" t="inlineStr">
        <is>
          <t>Customer 06</t>
        </is>
      </c>
      <c r="C770" s="2" t="inlineStr">
        <is>
          <t>Relay</t>
        </is>
      </c>
      <c r="D770" s="2" t="inlineStr">
        <is>
          <t>Plant A</t>
        </is>
      </c>
      <c r="E770" s="2" t="inlineStr">
        <is>
          <t>Export</t>
        </is>
      </c>
      <c r="F770" s="12" t="n">
        <v>46082</v>
      </c>
      <c r="G770" s="12" t="n">
        <v>46100</v>
      </c>
      <c r="H770" s="12" t="n">
        <v>46097</v>
      </c>
      <c r="I770" s="12" t="n">
        <v>46096</v>
      </c>
      <c r="J770" s="12" t="n">
        <v>46099</v>
      </c>
      <c r="K770" s="2" t="n">
        <v>379</v>
      </c>
      <c r="L770" s="2" t="inlineStr">
        <is>
          <t>Sea</t>
        </is>
      </c>
      <c r="M770" s="2" t="inlineStr">
        <is>
          <t>No Delay</t>
        </is>
      </c>
      <c r="N770" s="4">
        <f>IF(I770&lt;=H770,1,0)</f>
        <v/>
      </c>
      <c r="O770" s="4">
        <f>IF(J770&lt;=G770,1,0)</f>
        <v/>
      </c>
      <c r="P770" s="4">
        <f>MAX(0,I770-H770)</f>
        <v/>
      </c>
      <c r="Q770" s="4">
        <f>MAX(0,J770-G770)</f>
        <v/>
      </c>
      <c r="R770" s="4">
        <f>IF(AND(N770=1,O770=1),"On Track",IF(O770=0,"Customer Delivery Late","Ship Late"))</f>
        <v/>
      </c>
    </row>
    <row r="771">
      <c r="A771" s="2" t="inlineStr">
        <is>
          <t>ORD-00770</t>
        </is>
      </c>
      <c r="B771" s="2" t="inlineStr">
        <is>
          <t>Customer 05</t>
        </is>
      </c>
      <c r="C771" s="2" t="inlineStr">
        <is>
          <t>Contactor</t>
        </is>
      </c>
      <c r="D771" s="2" t="inlineStr">
        <is>
          <t>Plant B</t>
        </is>
      </c>
      <c r="E771" s="2" t="inlineStr">
        <is>
          <t>Central</t>
        </is>
      </c>
      <c r="F771" s="12" t="n">
        <v>46095</v>
      </c>
      <c r="G771" s="12" t="n">
        <v>46100</v>
      </c>
      <c r="H771" s="12" t="n">
        <v>46097</v>
      </c>
      <c r="I771" s="12" t="n">
        <v>46095</v>
      </c>
      <c r="J771" s="12" t="n">
        <v>46099</v>
      </c>
      <c r="K771" s="2" t="n">
        <v>941</v>
      </c>
      <c r="L771" s="2" t="inlineStr">
        <is>
          <t>Sea</t>
        </is>
      </c>
      <c r="M771" s="2" t="inlineStr">
        <is>
          <t>No Delay</t>
        </is>
      </c>
      <c r="N771" s="4">
        <f>IF(I771&lt;=H771,1,0)</f>
        <v/>
      </c>
      <c r="O771" s="4">
        <f>IF(J771&lt;=G771,1,0)</f>
        <v/>
      </c>
      <c r="P771" s="4">
        <f>MAX(0,I771-H771)</f>
        <v/>
      </c>
      <c r="Q771" s="4">
        <f>MAX(0,J771-G771)</f>
        <v/>
      </c>
      <c r="R771" s="4">
        <f>IF(AND(N771=1,O771=1),"On Track",IF(O771=0,"Customer Delivery Late","Ship Late"))</f>
        <v/>
      </c>
    </row>
    <row r="772">
      <c r="A772" s="2" t="inlineStr">
        <is>
          <t>ORD-00771</t>
        </is>
      </c>
      <c r="B772" s="2" t="inlineStr">
        <is>
          <t>Customer 04</t>
        </is>
      </c>
      <c r="C772" s="2" t="inlineStr">
        <is>
          <t>Breaker</t>
        </is>
      </c>
      <c r="D772" s="2" t="inlineStr">
        <is>
          <t>Plant C</t>
        </is>
      </c>
      <c r="E772" s="2" t="inlineStr">
        <is>
          <t>North</t>
        </is>
      </c>
      <c r="F772" s="12" t="n">
        <v>46126</v>
      </c>
      <c r="G772" s="12" t="n">
        <v>46134</v>
      </c>
      <c r="H772" s="12" t="n">
        <v>46129</v>
      </c>
      <c r="I772" s="12" t="n">
        <v>46127</v>
      </c>
      <c r="J772" s="12" t="n">
        <v>46132</v>
      </c>
      <c r="K772" s="2" t="n">
        <v>280</v>
      </c>
      <c r="L772" s="2" t="inlineStr">
        <is>
          <t>Road</t>
        </is>
      </c>
      <c r="M772" s="2" t="inlineStr">
        <is>
          <t>No Delay</t>
        </is>
      </c>
      <c r="N772" s="4">
        <f>IF(I772&lt;=H772,1,0)</f>
        <v/>
      </c>
      <c r="O772" s="4">
        <f>IF(J772&lt;=G772,1,0)</f>
        <v/>
      </c>
      <c r="P772" s="4">
        <f>MAX(0,I772-H772)</f>
        <v/>
      </c>
      <c r="Q772" s="4">
        <f>MAX(0,J772-G772)</f>
        <v/>
      </c>
      <c r="R772" s="4">
        <f>IF(AND(N772=1,O772=1),"On Track",IF(O772=0,"Customer Delivery Late","Ship Late"))</f>
        <v/>
      </c>
    </row>
    <row r="773">
      <c r="A773" s="2" t="inlineStr">
        <is>
          <t>ORD-00772</t>
        </is>
      </c>
      <c r="B773" s="2" t="inlineStr">
        <is>
          <t>Customer 04</t>
        </is>
      </c>
      <c r="C773" s="2" t="inlineStr">
        <is>
          <t>Drive</t>
        </is>
      </c>
      <c r="D773" s="2" t="inlineStr">
        <is>
          <t>Plant C</t>
        </is>
      </c>
      <c r="E773" s="2" t="inlineStr">
        <is>
          <t>North</t>
        </is>
      </c>
      <c r="F773" s="12" t="n">
        <v>46044</v>
      </c>
      <c r="G773" s="12" t="n">
        <v>46057</v>
      </c>
      <c r="H773" s="12" t="n">
        <v>46055</v>
      </c>
      <c r="I773" s="12" t="n">
        <v>46055</v>
      </c>
      <c r="J773" s="12" t="n">
        <v>46056</v>
      </c>
      <c r="K773" s="2" t="n">
        <v>424</v>
      </c>
      <c r="L773" s="2" t="inlineStr">
        <is>
          <t>Road</t>
        </is>
      </c>
      <c r="M773" s="2" t="inlineStr">
        <is>
          <t>No Delay</t>
        </is>
      </c>
      <c r="N773" s="4">
        <f>IF(I773&lt;=H773,1,0)</f>
        <v/>
      </c>
      <c r="O773" s="4">
        <f>IF(J773&lt;=G773,1,0)</f>
        <v/>
      </c>
      <c r="P773" s="4">
        <f>MAX(0,I773-H773)</f>
        <v/>
      </c>
      <c r="Q773" s="4">
        <f>MAX(0,J773-G773)</f>
        <v/>
      </c>
      <c r="R773" s="4">
        <f>IF(AND(N773=1,O773=1),"On Track",IF(O773=0,"Customer Delivery Late","Ship Late"))</f>
        <v/>
      </c>
    </row>
    <row r="774">
      <c r="A774" s="2" t="inlineStr">
        <is>
          <t>ORD-00773</t>
        </is>
      </c>
      <c r="B774" s="2" t="inlineStr">
        <is>
          <t>Customer 02</t>
        </is>
      </c>
      <c r="C774" s="2" t="inlineStr">
        <is>
          <t>Sensor</t>
        </is>
      </c>
      <c r="D774" s="2" t="inlineStr">
        <is>
          <t>Plant C</t>
        </is>
      </c>
      <c r="E774" s="2" t="inlineStr">
        <is>
          <t>North</t>
        </is>
      </c>
      <c r="F774" s="12" t="n">
        <v>46145</v>
      </c>
      <c r="G774" s="12" t="n">
        <v>46168</v>
      </c>
      <c r="H774" s="12" t="n">
        <v>46164</v>
      </c>
      <c r="I774" s="12" t="n">
        <v>46163</v>
      </c>
      <c r="J774" s="12" t="n">
        <v>46167</v>
      </c>
      <c r="K774" s="2" t="n">
        <v>53</v>
      </c>
      <c r="L774" s="2" t="inlineStr">
        <is>
          <t>Road</t>
        </is>
      </c>
      <c r="M774" s="2" t="inlineStr">
        <is>
          <t>No Delay</t>
        </is>
      </c>
      <c r="N774" s="4">
        <f>IF(I774&lt;=H774,1,0)</f>
        <v/>
      </c>
      <c r="O774" s="4">
        <f>IF(J774&lt;=G774,1,0)</f>
        <v/>
      </c>
      <c r="P774" s="4">
        <f>MAX(0,I774-H774)</f>
        <v/>
      </c>
      <c r="Q774" s="4">
        <f>MAX(0,J774-G774)</f>
        <v/>
      </c>
      <c r="R774" s="4">
        <f>IF(AND(N774=1,O774=1),"On Track",IF(O774=0,"Customer Delivery Late","Ship Late"))</f>
        <v/>
      </c>
    </row>
    <row r="775">
      <c r="A775" s="2" t="inlineStr">
        <is>
          <t>ORD-00774</t>
        </is>
      </c>
      <c r="B775" s="2" t="inlineStr">
        <is>
          <t>Customer 01</t>
        </is>
      </c>
      <c r="C775" s="2" t="inlineStr">
        <is>
          <t>PLC</t>
        </is>
      </c>
      <c r="D775" s="2" t="inlineStr">
        <is>
          <t>Plant B</t>
        </is>
      </c>
      <c r="E775" s="2" t="inlineStr">
        <is>
          <t>Export</t>
        </is>
      </c>
      <c r="F775" s="12" t="n">
        <v>46049</v>
      </c>
      <c r="G775" s="12" t="n">
        <v>46071</v>
      </c>
      <c r="H775" s="12" t="n">
        <v>46068</v>
      </c>
      <c r="I775" s="12" t="n">
        <v>46067</v>
      </c>
      <c r="J775" s="12" t="n">
        <v>46069</v>
      </c>
      <c r="K775" s="2" t="n">
        <v>311</v>
      </c>
      <c r="L775" s="2" t="inlineStr">
        <is>
          <t>Air</t>
        </is>
      </c>
      <c r="M775" s="2" t="inlineStr">
        <is>
          <t>No Delay</t>
        </is>
      </c>
      <c r="N775" s="4">
        <f>IF(I775&lt;=H775,1,0)</f>
        <v/>
      </c>
      <c r="O775" s="4">
        <f>IF(J775&lt;=G775,1,0)</f>
        <v/>
      </c>
      <c r="P775" s="4">
        <f>MAX(0,I775-H775)</f>
        <v/>
      </c>
      <c r="Q775" s="4">
        <f>MAX(0,J775-G775)</f>
        <v/>
      </c>
      <c r="R775" s="4">
        <f>IF(AND(N775=1,O775=1),"On Track",IF(O775=0,"Customer Delivery Late","Ship Late"))</f>
        <v/>
      </c>
    </row>
    <row r="776">
      <c r="A776" s="2" t="inlineStr">
        <is>
          <t>ORD-00775</t>
        </is>
      </c>
      <c r="B776" s="2" t="inlineStr">
        <is>
          <t>Customer 04</t>
        </is>
      </c>
      <c r="C776" s="2" t="inlineStr">
        <is>
          <t>PLC</t>
        </is>
      </c>
      <c r="D776" s="2" t="inlineStr">
        <is>
          <t>Plant A</t>
        </is>
      </c>
      <c r="E776" s="2" t="inlineStr">
        <is>
          <t>South</t>
        </is>
      </c>
      <c r="F776" s="12" t="n">
        <v>46190</v>
      </c>
      <c r="G776" s="12" t="n">
        <v>46204</v>
      </c>
      <c r="H776" s="12" t="n">
        <v>46202</v>
      </c>
      <c r="I776" s="12" t="n">
        <v>46202</v>
      </c>
      <c r="J776" s="12" t="n">
        <v>46203</v>
      </c>
      <c r="K776" s="2" t="n">
        <v>741</v>
      </c>
      <c r="L776" s="2" t="inlineStr">
        <is>
          <t>Road</t>
        </is>
      </c>
      <c r="M776" s="2" t="inlineStr">
        <is>
          <t>No Delay</t>
        </is>
      </c>
      <c r="N776" s="4">
        <f>IF(I776&lt;=H776,1,0)</f>
        <v/>
      </c>
      <c r="O776" s="4">
        <f>IF(J776&lt;=G776,1,0)</f>
        <v/>
      </c>
      <c r="P776" s="4">
        <f>MAX(0,I776-H776)</f>
        <v/>
      </c>
      <c r="Q776" s="4">
        <f>MAX(0,J776-G776)</f>
        <v/>
      </c>
      <c r="R776" s="4">
        <f>IF(AND(N776=1,O776=1),"On Track",IF(O776=0,"Customer Delivery Late","Ship Late"))</f>
        <v/>
      </c>
    </row>
    <row r="777">
      <c r="A777" s="2" t="inlineStr">
        <is>
          <t>ORD-00776</t>
        </is>
      </c>
      <c r="B777" s="2" t="inlineStr">
        <is>
          <t>Customer 14</t>
        </is>
      </c>
      <c r="C777" s="2" t="inlineStr">
        <is>
          <t>Drive</t>
        </is>
      </c>
      <c r="D777" s="2" t="inlineStr">
        <is>
          <t>Plant C</t>
        </is>
      </c>
      <c r="E777" s="2" t="inlineStr">
        <is>
          <t>Central</t>
        </is>
      </c>
      <c r="F777" s="12" t="n">
        <v>46180</v>
      </c>
      <c r="G777" s="12" t="n">
        <v>46195</v>
      </c>
      <c r="H777" s="12" t="n">
        <v>46194</v>
      </c>
      <c r="I777" s="12" t="n">
        <v>46192</v>
      </c>
      <c r="J777" s="12" t="n">
        <v>46194</v>
      </c>
      <c r="K777" s="2" t="n">
        <v>1401</v>
      </c>
      <c r="L777" s="2" t="inlineStr">
        <is>
          <t>Air</t>
        </is>
      </c>
      <c r="M777" s="2" t="inlineStr">
        <is>
          <t>No Delay</t>
        </is>
      </c>
      <c r="N777" s="4">
        <f>IF(I777&lt;=H777,1,0)</f>
        <v/>
      </c>
      <c r="O777" s="4">
        <f>IF(J777&lt;=G777,1,0)</f>
        <v/>
      </c>
      <c r="P777" s="4">
        <f>MAX(0,I777-H777)</f>
        <v/>
      </c>
      <c r="Q777" s="4">
        <f>MAX(0,J777-G777)</f>
        <v/>
      </c>
      <c r="R777" s="4">
        <f>IF(AND(N777=1,O777=1),"On Track",IF(O777=0,"Customer Delivery Late","Ship Late"))</f>
        <v/>
      </c>
    </row>
    <row r="778">
      <c r="A778" s="2" t="inlineStr">
        <is>
          <t>ORD-00777</t>
        </is>
      </c>
      <c r="B778" s="2" t="inlineStr">
        <is>
          <t>Customer 22</t>
        </is>
      </c>
      <c r="C778" s="2" t="inlineStr">
        <is>
          <t>Drive</t>
        </is>
      </c>
      <c r="D778" s="2" t="inlineStr">
        <is>
          <t>Plant B</t>
        </is>
      </c>
      <c r="E778" s="2" t="inlineStr">
        <is>
          <t>North</t>
        </is>
      </c>
      <c r="F778" s="12" t="n">
        <v>46061</v>
      </c>
      <c r="G778" s="12" t="n">
        <v>46075</v>
      </c>
      <c r="H778" s="12" t="n">
        <v>46070</v>
      </c>
      <c r="I778" s="12" t="n">
        <v>46069</v>
      </c>
      <c r="J778" s="12" t="n">
        <v>46074</v>
      </c>
      <c r="K778" s="2" t="n">
        <v>14</v>
      </c>
      <c r="L778" s="2" t="inlineStr">
        <is>
          <t>Road</t>
        </is>
      </c>
      <c r="M778" s="2" t="inlineStr">
        <is>
          <t>No Delay</t>
        </is>
      </c>
      <c r="N778" s="4">
        <f>IF(I778&lt;=H778,1,0)</f>
        <v/>
      </c>
      <c r="O778" s="4">
        <f>IF(J778&lt;=G778,1,0)</f>
        <v/>
      </c>
      <c r="P778" s="4">
        <f>MAX(0,I778-H778)</f>
        <v/>
      </c>
      <c r="Q778" s="4">
        <f>MAX(0,J778-G778)</f>
        <v/>
      </c>
      <c r="R778" s="4">
        <f>IF(AND(N778=1,O778=1),"On Track",IF(O778=0,"Customer Delivery Late","Ship Late"))</f>
        <v/>
      </c>
    </row>
    <row r="779">
      <c r="A779" s="2" t="inlineStr">
        <is>
          <t>ORD-00778</t>
        </is>
      </c>
      <c r="B779" s="2" t="inlineStr">
        <is>
          <t>Customer 14</t>
        </is>
      </c>
      <c r="C779" s="2" t="inlineStr">
        <is>
          <t>Sensor</t>
        </is>
      </c>
      <c r="D779" s="2" t="inlineStr">
        <is>
          <t>Plant A</t>
        </is>
      </c>
      <c r="E779" s="2" t="inlineStr">
        <is>
          <t>North</t>
        </is>
      </c>
      <c r="F779" s="12" t="n">
        <v>46190</v>
      </c>
      <c r="G779" s="12" t="n">
        <v>46199</v>
      </c>
      <c r="H779" s="12" t="n">
        <v>46196</v>
      </c>
      <c r="I779" s="12" t="n">
        <v>46195</v>
      </c>
      <c r="J779" s="12" t="n">
        <v>46197</v>
      </c>
      <c r="K779" s="2" t="n">
        <v>671</v>
      </c>
      <c r="L779" s="2" t="inlineStr">
        <is>
          <t>Road</t>
        </is>
      </c>
      <c r="M779" s="2" t="inlineStr">
        <is>
          <t>No Delay</t>
        </is>
      </c>
      <c r="N779" s="4">
        <f>IF(I779&lt;=H779,1,0)</f>
        <v/>
      </c>
      <c r="O779" s="4">
        <f>IF(J779&lt;=G779,1,0)</f>
        <v/>
      </c>
      <c r="P779" s="4">
        <f>MAX(0,I779-H779)</f>
        <v/>
      </c>
      <c r="Q779" s="4">
        <f>MAX(0,J779-G779)</f>
        <v/>
      </c>
      <c r="R779" s="4">
        <f>IF(AND(N779=1,O779=1),"On Track",IF(O779=0,"Customer Delivery Late","Ship Late"))</f>
        <v/>
      </c>
    </row>
    <row r="780">
      <c r="A780" s="2" t="inlineStr">
        <is>
          <t>ORD-00779</t>
        </is>
      </c>
      <c r="B780" s="2" t="inlineStr">
        <is>
          <t>Customer 21</t>
        </is>
      </c>
      <c r="C780" s="2" t="inlineStr">
        <is>
          <t>Drive</t>
        </is>
      </c>
      <c r="D780" s="2" t="inlineStr">
        <is>
          <t>Plant A</t>
        </is>
      </c>
      <c r="E780" s="2" t="inlineStr">
        <is>
          <t>Central</t>
        </is>
      </c>
      <c r="F780" s="12" t="n">
        <v>46069</v>
      </c>
      <c r="G780" s="12" t="n">
        <v>46086</v>
      </c>
      <c r="H780" s="12" t="n">
        <v>46083</v>
      </c>
      <c r="I780" s="12" t="n">
        <v>46082</v>
      </c>
      <c r="J780" s="12" t="n">
        <v>46085</v>
      </c>
      <c r="K780" s="2" t="n">
        <v>794</v>
      </c>
      <c r="L780" s="2" t="inlineStr">
        <is>
          <t>Air</t>
        </is>
      </c>
      <c r="M780" s="2" t="inlineStr">
        <is>
          <t>No Delay</t>
        </is>
      </c>
      <c r="N780" s="4">
        <f>IF(I780&lt;=H780,1,0)</f>
        <v/>
      </c>
      <c r="O780" s="4">
        <f>IF(J780&lt;=G780,1,0)</f>
        <v/>
      </c>
      <c r="P780" s="4">
        <f>MAX(0,I780-H780)</f>
        <v/>
      </c>
      <c r="Q780" s="4">
        <f>MAX(0,J780-G780)</f>
        <v/>
      </c>
      <c r="R780" s="4">
        <f>IF(AND(N780=1,O780=1),"On Track",IF(O780=0,"Customer Delivery Late","Ship Late"))</f>
        <v/>
      </c>
    </row>
    <row r="781">
      <c r="A781" s="2" t="inlineStr">
        <is>
          <t>ORD-00780</t>
        </is>
      </c>
      <c r="B781" s="2" t="inlineStr">
        <is>
          <t>Customer 23</t>
        </is>
      </c>
      <c r="C781" s="2" t="inlineStr">
        <is>
          <t>Power Supply</t>
        </is>
      </c>
      <c r="D781" s="2" t="inlineStr">
        <is>
          <t>Plant C</t>
        </is>
      </c>
      <c r="E781" s="2" t="inlineStr">
        <is>
          <t>Central</t>
        </is>
      </c>
      <c r="F781" s="12" t="n">
        <v>46163</v>
      </c>
      <c r="G781" s="12" t="n">
        <v>46183</v>
      </c>
      <c r="H781" s="12" t="n">
        <v>46178</v>
      </c>
      <c r="I781" s="12" t="n">
        <v>46178</v>
      </c>
      <c r="J781" s="12" t="n">
        <v>46183</v>
      </c>
      <c r="K781" s="2" t="n">
        <v>1449</v>
      </c>
      <c r="L781" s="2" t="inlineStr">
        <is>
          <t>Road</t>
        </is>
      </c>
      <c r="M781" s="2" t="inlineStr">
        <is>
          <t>No Delay</t>
        </is>
      </c>
      <c r="N781" s="4">
        <f>IF(I781&lt;=H781,1,0)</f>
        <v/>
      </c>
      <c r="O781" s="4">
        <f>IF(J781&lt;=G781,1,0)</f>
        <v/>
      </c>
      <c r="P781" s="4">
        <f>MAX(0,I781-H781)</f>
        <v/>
      </c>
      <c r="Q781" s="4">
        <f>MAX(0,J781-G781)</f>
        <v/>
      </c>
      <c r="R781" s="4">
        <f>IF(AND(N781=1,O781=1),"On Track",IF(O781=0,"Customer Delivery Late","Ship Late"))</f>
        <v/>
      </c>
    </row>
    <row r="782">
      <c r="A782" s="2" t="inlineStr">
        <is>
          <t>ORD-00781</t>
        </is>
      </c>
      <c r="B782" s="2" t="inlineStr">
        <is>
          <t>Customer 05</t>
        </is>
      </c>
      <c r="C782" s="2" t="inlineStr">
        <is>
          <t>Contactor</t>
        </is>
      </c>
      <c r="D782" s="2" t="inlineStr">
        <is>
          <t>Plant A</t>
        </is>
      </c>
      <c r="E782" s="2" t="inlineStr">
        <is>
          <t>South</t>
        </is>
      </c>
      <c r="F782" s="12" t="n">
        <v>46083</v>
      </c>
      <c r="G782" s="12" t="n">
        <v>46099</v>
      </c>
      <c r="H782" s="12" t="n">
        <v>46098</v>
      </c>
      <c r="I782" s="12" t="n">
        <v>46096</v>
      </c>
      <c r="J782" s="12" t="n">
        <v>46098</v>
      </c>
      <c r="K782" s="2" t="n">
        <v>749</v>
      </c>
      <c r="L782" s="2" t="inlineStr">
        <is>
          <t>Road</t>
        </is>
      </c>
      <c r="M782" s="2" t="inlineStr">
        <is>
          <t>No Delay</t>
        </is>
      </c>
      <c r="N782" s="4">
        <f>IF(I782&lt;=H782,1,0)</f>
        <v/>
      </c>
      <c r="O782" s="4">
        <f>IF(J782&lt;=G782,1,0)</f>
        <v/>
      </c>
      <c r="P782" s="4">
        <f>MAX(0,I782-H782)</f>
        <v/>
      </c>
      <c r="Q782" s="4">
        <f>MAX(0,J782-G782)</f>
        <v/>
      </c>
      <c r="R782" s="4">
        <f>IF(AND(N782=1,O782=1),"On Track",IF(O782=0,"Customer Delivery Late","Ship Late"))</f>
        <v/>
      </c>
    </row>
    <row r="783">
      <c r="A783" s="2" t="inlineStr">
        <is>
          <t>ORD-00782</t>
        </is>
      </c>
      <c r="B783" s="2" t="inlineStr">
        <is>
          <t>Customer 08</t>
        </is>
      </c>
      <c r="C783" s="2" t="inlineStr">
        <is>
          <t>Breaker</t>
        </is>
      </c>
      <c r="D783" s="2" t="inlineStr">
        <is>
          <t>Plant C</t>
        </is>
      </c>
      <c r="E783" s="2" t="inlineStr">
        <is>
          <t>Central</t>
        </is>
      </c>
      <c r="F783" s="12" t="n">
        <v>46098</v>
      </c>
      <c r="G783" s="12" t="n">
        <v>46117</v>
      </c>
      <c r="H783" s="12" t="n">
        <v>46115</v>
      </c>
      <c r="I783" s="12" t="n">
        <v>46115</v>
      </c>
      <c r="J783" s="12" t="n">
        <v>46117</v>
      </c>
      <c r="K783" s="2" t="n">
        <v>250</v>
      </c>
      <c r="L783" s="2" t="inlineStr">
        <is>
          <t>Sea</t>
        </is>
      </c>
      <c r="M783" s="2" t="inlineStr">
        <is>
          <t>No Delay</t>
        </is>
      </c>
      <c r="N783" s="4">
        <f>IF(I783&lt;=H783,1,0)</f>
        <v/>
      </c>
      <c r="O783" s="4">
        <f>IF(J783&lt;=G783,1,0)</f>
        <v/>
      </c>
      <c r="P783" s="4">
        <f>MAX(0,I783-H783)</f>
        <v/>
      </c>
      <c r="Q783" s="4">
        <f>MAX(0,J783-G783)</f>
        <v/>
      </c>
      <c r="R783" s="4">
        <f>IF(AND(N783=1,O783=1),"On Track",IF(O783=0,"Customer Delivery Late","Ship Late"))</f>
        <v/>
      </c>
    </row>
    <row r="784">
      <c r="A784" s="2" t="inlineStr">
        <is>
          <t>ORD-00783</t>
        </is>
      </c>
      <c r="B784" s="2" t="inlineStr">
        <is>
          <t>Customer 04</t>
        </is>
      </c>
      <c r="C784" s="2" t="inlineStr">
        <is>
          <t>Contactor</t>
        </is>
      </c>
      <c r="D784" s="2" t="inlineStr">
        <is>
          <t>Plant B</t>
        </is>
      </c>
      <c r="E784" s="2" t="inlineStr">
        <is>
          <t>Central</t>
        </is>
      </c>
      <c r="F784" s="12" t="n">
        <v>46203</v>
      </c>
      <c r="G784" s="12" t="n">
        <v>46212</v>
      </c>
      <c r="H784" s="12" t="n">
        <v>46208</v>
      </c>
      <c r="I784" s="12" t="n">
        <v>46208</v>
      </c>
      <c r="J784" s="12" t="n">
        <v>46212</v>
      </c>
      <c r="K784" s="2" t="n">
        <v>71</v>
      </c>
      <c r="L784" s="2" t="inlineStr">
        <is>
          <t>Road</t>
        </is>
      </c>
      <c r="M784" s="2" t="inlineStr">
        <is>
          <t>No Delay</t>
        </is>
      </c>
      <c r="N784" s="4">
        <f>IF(I784&lt;=H784,1,0)</f>
        <v/>
      </c>
      <c r="O784" s="4">
        <f>IF(J784&lt;=G784,1,0)</f>
        <v/>
      </c>
      <c r="P784" s="4">
        <f>MAX(0,I784-H784)</f>
        <v/>
      </c>
      <c r="Q784" s="4">
        <f>MAX(0,J784-G784)</f>
        <v/>
      </c>
      <c r="R784" s="4">
        <f>IF(AND(N784=1,O784=1),"On Track",IF(O784=0,"Customer Delivery Late","Ship Late"))</f>
        <v/>
      </c>
    </row>
    <row r="785">
      <c r="A785" s="2" t="inlineStr">
        <is>
          <t>ORD-00784</t>
        </is>
      </c>
      <c r="B785" s="2" t="inlineStr">
        <is>
          <t>Customer 16</t>
        </is>
      </c>
      <c r="C785" s="2" t="inlineStr">
        <is>
          <t>Relay</t>
        </is>
      </c>
      <c r="D785" s="2" t="inlineStr">
        <is>
          <t>Plant C</t>
        </is>
      </c>
      <c r="E785" s="2" t="inlineStr">
        <is>
          <t>South</t>
        </is>
      </c>
      <c r="F785" s="12" t="n">
        <v>46116</v>
      </c>
      <c r="G785" s="12" t="n">
        <v>46125</v>
      </c>
      <c r="H785" s="12" t="n">
        <v>46124</v>
      </c>
      <c r="I785" s="12" t="n">
        <v>46122</v>
      </c>
      <c r="J785" s="12" t="n">
        <v>46123</v>
      </c>
      <c r="K785" s="2" t="n">
        <v>972</v>
      </c>
      <c r="L785" s="2" t="inlineStr">
        <is>
          <t>Air</t>
        </is>
      </c>
      <c r="M785" s="2" t="inlineStr">
        <is>
          <t>No Delay</t>
        </is>
      </c>
      <c r="N785" s="4">
        <f>IF(I785&lt;=H785,1,0)</f>
        <v/>
      </c>
      <c r="O785" s="4">
        <f>IF(J785&lt;=G785,1,0)</f>
        <v/>
      </c>
      <c r="P785" s="4">
        <f>MAX(0,I785-H785)</f>
        <v/>
      </c>
      <c r="Q785" s="4">
        <f>MAX(0,J785-G785)</f>
        <v/>
      </c>
      <c r="R785" s="4">
        <f>IF(AND(N785=1,O785=1),"On Track",IF(O785=0,"Customer Delivery Late","Ship Late"))</f>
        <v/>
      </c>
    </row>
    <row r="786">
      <c r="A786" s="2" t="inlineStr">
        <is>
          <t>ORD-00785</t>
        </is>
      </c>
      <c r="B786" s="2" t="inlineStr">
        <is>
          <t>Customer 06</t>
        </is>
      </c>
      <c r="C786" s="2" t="inlineStr">
        <is>
          <t>Relay</t>
        </is>
      </c>
      <c r="D786" s="2" t="inlineStr">
        <is>
          <t>Plant A</t>
        </is>
      </c>
      <c r="E786" s="2" t="inlineStr">
        <is>
          <t>Export</t>
        </is>
      </c>
      <c r="F786" s="12" t="n">
        <v>46109</v>
      </c>
      <c r="G786" s="12" t="n">
        <v>46128</v>
      </c>
      <c r="H786" s="12" t="n">
        <v>46127</v>
      </c>
      <c r="I786" s="12" t="n">
        <v>46125</v>
      </c>
      <c r="J786" s="12" t="n">
        <v>46126</v>
      </c>
      <c r="K786" s="2" t="n">
        <v>877</v>
      </c>
      <c r="L786" s="2" t="inlineStr">
        <is>
          <t>Sea</t>
        </is>
      </c>
      <c r="M786" s="2" t="inlineStr">
        <is>
          <t>No Delay</t>
        </is>
      </c>
      <c r="N786" s="4">
        <f>IF(I786&lt;=H786,1,0)</f>
        <v/>
      </c>
      <c r="O786" s="4">
        <f>IF(J786&lt;=G786,1,0)</f>
        <v/>
      </c>
      <c r="P786" s="4">
        <f>MAX(0,I786-H786)</f>
        <v/>
      </c>
      <c r="Q786" s="4">
        <f>MAX(0,J786-G786)</f>
        <v/>
      </c>
      <c r="R786" s="4">
        <f>IF(AND(N786=1,O786=1),"On Track",IF(O786=0,"Customer Delivery Late","Ship Late"))</f>
        <v/>
      </c>
    </row>
    <row r="787">
      <c r="A787" s="2" t="inlineStr">
        <is>
          <t>ORD-00786</t>
        </is>
      </c>
      <c r="B787" s="2" t="inlineStr">
        <is>
          <t>Customer 06</t>
        </is>
      </c>
      <c r="C787" s="2" t="inlineStr">
        <is>
          <t>Sensor</t>
        </is>
      </c>
      <c r="D787" s="2" t="inlineStr">
        <is>
          <t>Plant A</t>
        </is>
      </c>
      <c r="E787" s="2" t="inlineStr">
        <is>
          <t>Export</t>
        </is>
      </c>
      <c r="F787" s="12" t="n">
        <v>46139</v>
      </c>
      <c r="G787" s="12" t="n">
        <v>46161</v>
      </c>
      <c r="H787" s="12" t="n">
        <v>46158</v>
      </c>
      <c r="I787" s="12" t="n">
        <v>46158</v>
      </c>
      <c r="J787" s="12" t="n">
        <v>46161</v>
      </c>
      <c r="K787" s="2" t="n">
        <v>266</v>
      </c>
      <c r="L787" s="2" t="inlineStr">
        <is>
          <t>Sea</t>
        </is>
      </c>
      <c r="M787" s="2" t="inlineStr">
        <is>
          <t>No Delay</t>
        </is>
      </c>
      <c r="N787" s="4">
        <f>IF(I787&lt;=H787,1,0)</f>
        <v/>
      </c>
      <c r="O787" s="4">
        <f>IF(J787&lt;=G787,1,0)</f>
        <v/>
      </c>
      <c r="P787" s="4">
        <f>MAX(0,I787-H787)</f>
        <v/>
      </c>
      <c r="Q787" s="4">
        <f>MAX(0,J787-G787)</f>
        <v/>
      </c>
      <c r="R787" s="4">
        <f>IF(AND(N787=1,O787=1),"On Track",IF(O787=0,"Customer Delivery Late","Ship Late"))</f>
        <v/>
      </c>
    </row>
    <row r="788">
      <c r="A788" s="2" t="inlineStr">
        <is>
          <t>ORD-00787</t>
        </is>
      </c>
      <c r="B788" s="2" t="inlineStr">
        <is>
          <t>Customer 03</t>
        </is>
      </c>
      <c r="C788" s="2" t="inlineStr">
        <is>
          <t>Switchgear</t>
        </is>
      </c>
      <c r="D788" s="2" t="inlineStr">
        <is>
          <t>Plant B</t>
        </is>
      </c>
      <c r="E788" s="2" t="inlineStr">
        <is>
          <t>South</t>
        </is>
      </c>
      <c r="F788" s="12" t="n">
        <v>46077</v>
      </c>
      <c r="G788" s="12" t="n">
        <v>46094</v>
      </c>
      <c r="H788" s="12" t="n">
        <v>46089</v>
      </c>
      <c r="I788" s="12" t="n">
        <v>46088</v>
      </c>
      <c r="J788" s="12" t="n">
        <v>46094</v>
      </c>
      <c r="K788" s="2" t="n">
        <v>1346</v>
      </c>
      <c r="L788" s="2" t="inlineStr">
        <is>
          <t>Sea</t>
        </is>
      </c>
      <c r="M788" s="2" t="inlineStr">
        <is>
          <t>No Delay</t>
        </is>
      </c>
      <c r="N788" s="4">
        <f>IF(I788&lt;=H788,1,0)</f>
        <v/>
      </c>
      <c r="O788" s="4">
        <f>IF(J788&lt;=G788,1,0)</f>
        <v/>
      </c>
      <c r="P788" s="4">
        <f>MAX(0,I788-H788)</f>
        <v/>
      </c>
      <c r="Q788" s="4">
        <f>MAX(0,J788-G788)</f>
        <v/>
      </c>
      <c r="R788" s="4">
        <f>IF(AND(N788=1,O788=1),"On Track",IF(O788=0,"Customer Delivery Late","Ship Late"))</f>
        <v/>
      </c>
    </row>
    <row r="789">
      <c r="A789" s="2" t="inlineStr">
        <is>
          <t>ORD-00788</t>
        </is>
      </c>
      <c r="B789" s="2" t="inlineStr">
        <is>
          <t>Customer 04</t>
        </is>
      </c>
      <c r="C789" s="2" t="inlineStr">
        <is>
          <t>Contactor</t>
        </is>
      </c>
      <c r="D789" s="2" t="inlineStr">
        <is>
          <t>Plant B</t>
        </is>
      </c>
      <c r="E789" s="2" t="inlineStr">
        <is>
          <t>South</t>
        </is>
      </c>
      <c r="F789" s="12" t="n">
        <v>46126</v>
      </c>
      <c r="G789" s="12" t="n">
        <v>46143</v>
      </c>
      <c r="H789" s="12" t="n">
        <v>46141</v>
      </c>
      <c r="I789" s="12" t="n">
        <v>46140</v>
      </c>
      <c r="J789" s="12" t="n">
        <v>46142</v>
      </c>
      <c r="K789" s="2" t="n">
        <v>67</v>
      </c>
      <c r="L789" s="2" t="inlineStr">
        <is>
          <t>Road</t>
        </is>
      </c>
      <c r="M789" s="2" t="inlineStr">
        <is>
          <t>No Delay</t>
        </is>
      </c>
      <c r="N789" s="4">
        <f>IF(I789&lt;=H789,1,0)</f>
        <v/>
      </c>
      <c r="O789" s="4">
        <f>IF(J789&lt;=G789,1,0)</f>
        <v/>
      </c>
      <c r="P789" s="4">
        <f>MAX(0,I789-H789)</f>
        <v/>
      </c>
      <c r="Q789" s="4">
        <f>MAX(0,J789-G789)</f>
        <v/>
      </c>
      <c r="R789" s="4">
        <f>IF(AND(N789=1,O789=1),"On Track",IF(O789=0,"Customer Delivery Late","Ship Late"))</f>
        <v/>
      </c>
    </row>
    <row r="790">
      <c r="A790" s="2" t="inlineStr">
        <is>
          <t>ORD-00789</t>
        </is>
      </c>
      <c r="B790" s="2" t="inlineStr">
        <is>
          <t>Customer 07</t>
        </is>
      </c>
      <c r="C790" s="2" t="inlineStr">
        <is>
          <t>Breaker</t>
        </is>
      </c>
      <c r="D790" s="2" t="inlineStr">
        <is>
          <t>Plant A</t>
        </is>
      </c>
      <c r="E790" s="2" t="inlineStr">
        <is>
          <t>South</t>
        </is>
      </c>
      <c r="F790" s="12" t="n">
        <v>46095</v>
      </c>
      <c r="G790" s="12" t="n">
        <v>46105</v>
      </c>
      <c r="H790" s="12" t="n">
        <v>46100</v>
      </c>
      <c r="I790" s="12" t="n">
        <v>46098</v>
      </c>
      <c r="J790" s="12" t="n">
        <v>46103</v>
      </c>
      <c r="K790" s="2" t="n">
        <v>184</v>
      </c>
      <c r="L790" s="2" t="inlineStr">
        <is>
          <t>Sea</t>
        </is>
      </c>
      <c r="M790" s="2" t="inlineStr">
        <is>
          <t>No Delay</t>
        </is>
      </c>
      <c r="N790" s="4">
        <f>IF(I790&lt;=H790,1,0)</f>
        <v/>
      </c>
      <c r="O790" s="4">
        <f>IF(J790&lt;=G790,1,0)</f>
        <v/>
      </c>
      <c r="P790" s="4">
        <f>MAX(0,I790-H790)</f>
        <v/>
      </c>
      <c r="Q790" s="4">
        <f>MAX(0,J790-G790)</f>
        <v/>
      </c>
      <c r="R790" s="4">
        <f>IF(AND(N790=1,O790=1),"On Track",IF(O790=0,"Customer Delivery Late","Ship Late"))</f>
        <v/>
      </c>
    </row>
    <row r="791">
      <c r="A791" s="2" t="inlineStr">
        <is>
          <t>ORD-00790</t>
        </is>
      </c>
      <c r="B791" s="2" t="inlineStr">
        <is>
          <t>Customer 01</t>
        </is>
      </c>
      <c r="C791" s="2" t="inlineStr">
        <is>
          <t>Drive</t>
        </is>
      </c>
      <c r="D791" s="2" t="inlineStr">
        <is>
          <t>Plant B</t>
        </is>
      </c>
      <c r="E791" s="2" t="inlineStr">
        <is>
          <t>Export</t>
        </is>
      </c>
      <c r="F791" s="12" t="n">
        <v>46167</v>
      </c>
      <c r="G791" s="12" t="n">
        <v>46173</v>
      </c>
      <c r="H791" s="12" t="n">
        <v>46168</v>
      </c>
      <c r="I791" s="12" t="n">
        <v>46176</v>
      </c>
      <c r="J791" s="12" t="n">
        <v>46180</v>
      </c>
      <c r="K791" s="2" t="n">
        <v>1034</v>
      </c>
      <c r="L791" s="2" t="inlineStr">
        <is>
          <t>Road</t>
        </is>
      </c>
      <c r="M791" s="2" t="inlineStr">
        <is>
          <t>Carrier Delay</t>
        </is>
      </c>
      <c r="N791" s="4">
        <f>IF(I791&lt;=H791,1,0)</f>
        <v/>
      </c>
      <c r="O791" s="4">
        <f>IF(J791&lt;=G791,1,0)</f>
        <v/>
      </c>
      <c r="P791" s="4">
        <f>MAX(0,I791-H791)</f>
        <v/>
      </c>
      <c r="Q791" s="4">
        <f>MAX(0,J791-G791)</f>
        <v/>
      </c>
      <c r="R791" s="4">
        <f>IF(AND(N791=1,O791=1),"On Track",IF(O791=0,"Customer Delivery Late","Ship Late"))</f>
        <v/>
      </c>
    </row>
    <row r="792">
      <c r="A792" s="2" t="inlineStr">
        <is>
          <t>ORD-00791</t>
        </is>
      </c>
      <c r="B792" s="2" t="inlineStr">
        <is>
          <t>Customer 04</t>
        </is>
      </c>
      <c r="C792" s="2" t="inlineStr">
        <is>
          <t>Relay</t>
        </is>
      </c>
      <c r="D792" s="2" t="inlineStr">
        <is>
          <t>Plant A</t>
        </is>
      </c>
      <c r="E792" s="2" t="inlineStr">
        <is>
          <t>Export</t>
        </is>
      </c>
      <c r="F792" s="12" t="n">
        <v>46103</v>
      </c>
      <c r="G792" s="12" t="n">
        <v>46120</v>
      </c>
      <c r="H792" s="12" t="n">
        <v>46117</v>
      </c>
      <c r="I792" s="12" t="n">
        <v>46119</v>
      </c>
      <c r="J792" s="12" t="n">
        <v>46122</v>
      </c>
      <c r="K792" s="2" t="n">
        <v>986</v>
      </c>
      <c r="L792" s="2" t="inlineStr">
        <is>
          <t>Sea</t>
        </is>
      </c>
      <c r="M792" s="2" t="inlineStr">
        <is>
          <t>Capacity Constraint</t>
        </is>
      </c>
      <c r="N792" s="4">
        <f>IF(I792&lt;=H792,1,0)</f>
        <v/>
      </c>
      <c r="O792" s="4">
        <f>IF(J792&lt;=G792,1,0)</f>
        <v/>
      </c>
      <c r="P792" s="4">
        <f>MAX(0,I792-H792)</f>
        <v/>
      </c>
      <c r="Q792" s="4">
        <f>MAX(0,J792-G792)</f>
        <v/>
      </c>
      <c r="R792" s="4">
        <f>IF(AND(N792=1,O792=1),"On Track",IF(O792=0,"Customer Delivery Late","Ship Late"))</f>
        <v/>
      </c>
    </row>
    <row r="793">
      <c r="A793" s="2" t="inlineStr">
        <is>
          <t>ORD-00792</t>
        </is>
      </c>
      <c r="B793" s="2" t="inlineStr">
        <is>
          <t>Customer 08</t>
        </is>
      </c>
      <c r="C793" s="2" t="inlineStr">
        <is>
          <t>PLC</t>
        </is>
      </c>
      <c r="D793" s="2" t="inlineStr">
        <is>
          <t>Plant C</t>
        </is>
      </c>
      <c r="E793" s="2" t="inlineStr">
        <is>
          <t>Central</t>
        </is>
      </c>
      <c r="F793" s="12" t="n">
        <v>46032</v>
      </c>
      <c r="G793" s="12" t="n">
        <v>46046</v>
      </c>
      <c r="H793" s="12" t="n">
        <v>46044</v>
      </c>
      <c r="I793" s="12" t="n">
        <v>46043</v>
      </c>
      <c r="J793" s="12" t="n">
        <v>46044</v>
      </c>
      <c r="K793" s="2" t="n">
        <v>1481</v>
      </c>
      <c r="L793" s="2" t="inlineStr">
        <is>
          <t>Road</t>
        </is>
      </c>
      <c r="M793" s="2" t="inlineStr">
        <is>
          <t>No Delay</t>
        </is>
      </c>
      <c r="N793" s="4">
        <f>IF(I793&lt;=H793,1,0)</f>
        <v/>
      </c>
      <c r="O793" s="4">
        <f>IF(J793&lt;=G793,1,0)</f>
        <v/>
      </c>
      <c r="P793" s="4">
        <f>MAX(0,I793-H793)</f>
        <v/>
      </c>
      <c r="Q793" s="4">
        <f>MAX(0,J793-G793)</f>
        <v/>
      </c>
      <c r="R793" s="4">
        <f>IF(AND(N793=1,O793=1),"On Track",IF(O793=0,"Customer Delivery Late","Ship Late"))</f>
        <v/>
      </c>
    </row>
    <row r="794">
      <c r="A794" s="2" t="inlineStr">
        <is>
          <t>ORD-00793</t>
        </is>
      </c>
      <c r="B794" s="2" t="inlineStr">
        <is>
          <t>Customer 12</t>
        </is>
      </c>
      <c r="C794" s="2" t="inlineStr">
        <is>
          <t>Power Supply</t>
        </is>
      </c>
      <c r="D794" s="2" t="inlineStr">
        <is>
          <t>Plant A</t>
        </is>
      </c>
      <c r="E794" s="2" t="inlineStr">
        <is>
          <t>Export</t>
        </is>
      </c>
      <c r="F794" s="12" t="n">
        <v>46151</v>
      </c>
      <c r="G794" s="12" t="n">
        <v>46172</v>
      </c>
      <c r="H794" s="12" t="n">
        <v>46167</v>
      </c>
      <c r="I794" s="12" t="n">
        <v>46166</v>
      </c>
      <c r="J794" s="12" t="n">
        <v>46171</v>
      </c>
      <c r="K794" s="2" t="n">
        <v>499</v>
      </c>
      <c r="L794" s="2" t="inlineStr">
        <is>
          <t>Road</t>
        </is>
      </c>
      <c r="M794" s="2" t="inlineStr">
        <is>
          <t>No Delay</t>
        </is>
      </c>
      <c r="N794" s="4">
        <f>IF(I794&lt;=H794,1,0)</f>
        <v/>
      </c>
      <c r="O794" s="4">
        <f>IF(J794&lt;=G794,1,0)</f>
        <v/>
      </c>
      <c r="P794" s="4">
        <f>MAX(0,I794-H794)</f>
        <v/>
      </c>
      <c r="Q794" s="4">
        <f>MAX(0,J794-G794)</f>
        <v/>
      </c>
      <c r="R794" s="4">
        <f>IF(AND(N794=1,O794=1),"On Track",IF(O794=0,"Customer Delivery Late","Ship Late"))</f>
        <v/>
      </c>
    </row>
    <row r="795">
      <c r="A795" s="2" t="inlineStr">
        <is>
          <t>ORD-00794</t>
        </is>
      </c>
      <c r="B795" s="2" t="inlineStr">
        <is>
          <t>Customer 05</t>
        </is>
      </c>
      <c r="C795" s="2" t="inlineStr">
        <is>
          <t>Sensor</t>
        </is>
      </c>
      <c r="D795" s="2" t="inlineStr">
        <is>
          <t>Plant C</t>
        </is>
      </c>
      <c r="E795" s="2" t="inlineStr">
        <is>
          <t>North</t>
        </is>
      </c>
      <c r="F795" s="12" t="n">
        <v>46179</v>
      </c>
      <c r="G795" s="12" t="n">
        <v>46203</v>
      </c>
      <c r="H795" s="12" t="n">
        <v>46202</v>
      </c>
      <c r="I795" s="12" t="n">
        <v>46202</v>
      </c>
      <c r="J795" s="12" t="n">
        <v>46203</v>
      </c>
      <c r="K795" s="2" t="n">
        <v>1031</v>
      </c>
      <c r="L795" s="2" t="inlineStr">
        <is>
          <t>Road</t>
        </is>
      </c>
      <c r="M795" s="2" t="inlineStr">
        <is>
          <t>No Delay</t>
        </is>
      </c>
      <c r="N795" s="4">
        <f>IF(I795&lt;=H795,1,0)</f>
        <v/>
      </c>
      <c r="O795" s="4">
        <f>IF(J795&lt;=G795,1,0)</f>
        <v/>
      </c>
      <c r="P795" s="4">
        <f>MAX(0,I795-H795)</f>
        <v/>
      </c>
      <c r="Q795" s="4">
        <f>MAX(0,J795-G795)</f>
        <v/>
      </c>
      <c r="R795" s="4">
        <f>IF(AND(N795=1,O795=1),"On Track",IF(O795=0,"Customer Delivery Late","Ship Late"))</f>
        <v/>
      </c>
    </row>
    <row r="796">
      <c r="A796" s="2" t="inlineStr">
        <is>
          <t>ORD-00795</t>
        </is>
      </c>
      <c r="B796" s="2" t="inlineStr">
        <is>
          <t>Customer 12</t>
        </is>
      </c>
      <c r="C796" s="2" t="inlineStr">
        <is>
          <t>Contactor</t>
        </is>
      </c>
      <c r="D796" s="2" t="inlineStr">
        <is>
          <t>Plant A</t>
        </is>
      </c>
      <c r="E796" s="2" t="inlineStr">
        <is>
          <t>Central</t>
        </is>
      </c>
      <c r="F796" s="12" t="n">
        <v>46139</v>
      </c>
      <c r="G796" s="12" t="n">
        <v>46154</v>
      </c>
      <c r="H796" s="12" t="n">
        <v>46152</v>
      </c>
      <c r="I796" s="12" t="n">
        <v>46150</v>
      </c>
      <c r="J796" s="12" t="n">
        <v>46152</v>
      </c>
      <c r="K796" s="2" t="n">
        <v>1465</v>
      </c>
      <c r="L796" s="2" t="inlineStr">
        <is>
          <t>Air</t>
        </is>
      </c>
      <c r="M796" s="2" t="inlineStr">
        <is>
          <t>No Delay</t>
        </is>
      </c>
      <c r="N796" s="4">
        <f>IF(I796&lt;=H796,1,0)</f>
        <v/>
      </c>
      <c r="O796" s="4">
        <f>IF(J796&lt;=G796,1,0)</f>
        <v/>
      </c>
      <c r="P796" s="4">
        <f>MAX(0,I796-H796)</f>
        <v/>
      </c>
      <c r="Q796" s="4">
        <f>MAX(0,J796-G796)</f>
        <v/>
      </c>
      <c r="R796" s="4">
        <f>IF(AND(N796=1,O796=1),"On Track",IF(O796=0,"Customer Delivery Late","Ship Late"))</f>
        <v/>
      </c>
    </row>
    <row r="797">
      <c r="A797" s="2" t="inlineStr">
        <is>
          <t>ORD-00796</t>
        </is>
      </c>
      <c r="B797" s="2" t="inlineStr">
        <is>
          <t>Customer 16</t>
        </is>
      </c>
      <c r="C797" s="2" t="inlineStr">
        <is>
          <t>Breaker</t>
        </is>
      </c>
      <c r="D797" s="2" t="inlineStr">
        <is>
          <t>Plant B</t>
        </is>
      </c>
      <c r="E797" s="2" t="inlineStr">
        <is>
          <t>South</t>
        </is>
      </c>
      <c r="F797" s="12" t="n">
        <v>46089</v>
      </c>
      <c r="G797" s="12" t="n">
        <v>46109</v>
      </c>
      <c r="H797" s="12" t="n">
        <v>46106</v>
      </c>
      <c r="I797" s="12" t="n">
        <v>46105</v>
      </c>
      <c r="J797" s="12" t="n">
        <v>46107</v>
      </c>
      <c r="K797" s="2" t="n">
        <v>831</v>
      </c>
      <c r="L797" s="2" t="inlineStr">
        <is>
          <t>Air</t>
        </is>
      </c>
      <c r="M797" s="2" t="inlineStr">
        <is>
          <t>No Delay</t>
        </is>
      </c>
      <c r="N797" s="4">
        <f>IF(I797&lt;=H797,1,0)</f>
        <v/>
      </c>
      <c r="O797" s="4">
        <f>IF(J797&lt;=G797,1,0)</f>
        <v/>
      </c>
      <c r="P797" s="4">
        <f>MAX(0,I797-H797)</f>
        <v/>
      </c>
      <c r="Q797" s="4">
        <f>MAX(0,J797-G797)</f>
        <v/>
      </c>
      <c r="R797" s="4">
        <f>IF(AND(N797=1,O797=1),"On Track",IF(O797=0,"Customer Delivery Late","Ship Late"))</f>
        <v/>
      </c>
    </row>
    <row r="798">
      <c r="A798" s="2" t="inlineStr">
        <is>
          <t>ORD-00797</t>
        </is>
      </c>
      <c r="B798" s="2" t="inlineStr">
        <is>
          <t>Customer 14</t>
        </is>
      </c>
      <c r="C798" s="2" t="inlineStr">
        <is>
          <t>Switchgear</t>
        </is>
      </c>
      <c r="D798" s="2" t="inlineStr">
        <is>
          <t>Plant B</t>
        </is>
      </c>
      <c r="E798" s="2" t="inlineStr">
        <is>
          <t>North</t>
        </is>
      </c>
      <c r="F798" s="12" t="n">
        <v>46181</v>
      </c>
      <c r="G798" s="12" t="n">
        <v>46190</v>
      </c>
      <c r="H798" s="12" t="n">
        <v>46186</v>
      </c>
      <c r="I798" s="12" t="n">
        <v>46186</v>
      </c>
      <c r="J798" s="12" t="n">
        <v>46190</v>
      </c>
      <c r="K798" s="2" t="n">
        <v>1281</v>
      </c>
      <c r="L798" s="2" t="inlineStr">
        <is>
          <t>Sea</t>
        </is>
      </c>
      <c r="M798" s="2" t="inlineStr">
        <is>
          <t>No Delay</t>
        </is>
      </c>
      <c r="N798" s="4">
        <f>IF(I798&lt;=H798,1,0)</f>
        <v/>
      </c>
      <c r="O798" s="4">
        <f>IF(J798&lt;=G798,1,0)</f>
        <v/>
      </c>
      <c r="P798" s="4">
        <f>MAX(0,I798-H798)</f>
        <v/>
      </c>
      <c r="Q798" s="4">
        <f>MAX(0,J798-G798)</f>
        <v/>
      </c>
      <c r="R798" s="4">
        <f>IF(AND(N798=1,O798=1),"On Track",IF(O798=0,"Customer Delivery Late","Ship Late"))</f>
        <v/>
      </c>
    </row>
    <row r="799">
      <c r="A799" s="2" t="inlineStr">
        <is>
          <t>ORD-00798</t>
        </is>
      </c>
      <c r="B799" s="2" t="inlineStr">
        <is>
          <t>Customer 13</t>
        </is>
      </c>
      <c r="C799" s="2" t="inlineStr">
        <is>
          <t>Contactor</t>
        </is>
      </c>
      <c r="D799" s="2" t="inlineStr">
        <is>
          <t>Plant A</t>
        </is>
      </c>
      <c r="E799" s="2" t="inlineStr">
        <is>
          <t>Export</t>
        </is>
      </c>
      <c r="F799" s="12" t="n">
        <v>46037</v>
      </c>
      <c r="G799" s="12" t="n">
        <v>46049</v>
      </c>
      <c r="H799" s="12" t="n">
        <v>46044</v>
      </c>
      <c r="I799" s="12" t="n">
        <v>46042</v>
      </c>
      <c r="J799" s="12" t="n">
        <v>46047</v>
      </c>
      <c r="K799" s="2" t="n">
        <v>956</v>
      </c>
      <c r="L799" s="2" t="inlineStr">
        <is>
          <t>Sea</t>
        </is>
      </c>
      <c r="M799" s="2" t="inlineStr">
        <is>
          <t>No Delay</t>
        </is>
      </c>
      <c r="N799" s="4">
        <f>IF(I799&lt;=H799,1,0)</f>
        <v/>
      </c>
      <c r="O799" s="4">
        <f>IF(J799&lt;=G799,1,0)</f>
        <v/>
      </c>
      <c r="P799" s="4">
        <f>MAX(0,I799-H799)</f>
        <v/>
      </c>
      <c r="Q799" s="4">
        <f>MAX(0,J799-G799)</f>
        <v/>
      </c>
      <c r="R799" s="4">
        <f>IF(AND(N799=1,O799=1),"On Track",IF(O799=0,"Customer Delivery Late","Ship Late"))</f>
        <v/>
      </c>
    </row>
    <row r="800">
      <c r="A800" s="2" t="inlineStr">
        <is>
          <t>ORD-00799</t>
        </is>
      </c>
      <c r="B800" s="2" t="inlineStr">
        <is>
          <t>Customer 24</t>
        </is>
      </c>
      <c r="C800" s="2" t="inlineStr">
        <is>
          <t>Contactor</t>
        </is>
      </c>
      <c r="D800" s="2" t="inlineStr">
        <is>
          <t>Plant B</t>
        </is>
      </c>
      <c r="E800" s="2" t="inlineStr">
        <is>
          <t>Export</t>
        </is>
      </c>
      <c r="F800" s="12" t="n">
        <v>46046</v>
      </c>
      <c r="G800" s="12" t="n">
        <v>46062</v>
      </c>
      <c r="H800" s="12" t="n">
        <v>46058</v>
      </c>
      <c r="I800" s="12" t="n">
        <v>46058</v>
      </c>
      <c r="J800" s="12" t="n">
        <v>46061</v>
      </c>
      <c r="K800" s="2" t="n">
        <v>418</v>
      </c>
      <c r="L800" s="2" t="inlineStr">
        <is>
          <t>Air</t>
        </is>
      </c>
      <c r="M800" s="2" t="inlineStr">
        <is>
          <t>No Delay</t>
        </is>
      </c>
      <c r="N800" s="4">
        <f>IF(I800&lt;=H800,1,0)</f>
        <v/>
      </c>
      <c r="O800" s="4">
        <f>IF(J800&lt;=G800,1,0)</f>
        <v/>
      </c>
      <c r="P800" s="4">
        <f>MAX(0,I800-H800)</f>
        <v/>
      </c>
      <c r="Q800" s="4">
        <f>MAX(0,J800-G800)</f>
        <v/>
      </c>
      <c r="R800" s="4">
        <f>IF(AND(N800=1,O800=1),"On Track",IF(O800=0,"Customer Delivery Late","Ship Late"))</f>
        <v/>
      </c>
    </row>
    <row r="801">
      <c r="A801" s="2" t="inlineStr">
        <is>
          <t>ORD-00800</t>
        </is>
      </c>
      <c r="B801" s="2" t="inlineStr">
        <is>
          <t>Customer 16</t>
        </is>
      </c>
      <c r="C801" s="2" t="inlineStr">
        <is>
          <t>Contactor</t>
        </is>
      </c>
      <c r="D801" s="2" t="inlineStr">
        <is>
          <t>Plant B</t>
        </is>
      </c>
      <c r="E801" s="2" t="inlineStr">
        <is>
          <t>Export</t>
        </is>
      </c>
      <c r="F801" s="12" t="n">
        <v>46107</v>
      </c>
      <c r="G801" s="12" t="n">
        <v>46114</v>
      </c>
      <c r="H801" s="12" t="n">
        <v>46111</v>
      </c>
      <c r="I801" s="12" t="n">
        <v>46111</v>
      </c>
      <c r="J801" s="12" t="n">
        <v>46114</v>
      </c>
      <c r="K801" s="2" t="n">
        <v>88</v>
      </c>
      <c r="L801" s="2" t="inlineStr">
        <is>
          <t>Sea</t>
        </is>
      </c>
      <c r="M801" s="2" t="inlineStr">
        <is>
          <t>No Delay</t>
        </is>
      </c>
      <c r="N801" s="4">
        <f>IF(I801&lt;=H801,1,0)</f>
        <v/>
      </c>
      <c r="O801" s="4">
        <f>IF(J801&lt;=G801,1,0)</f>
        <v/>
      </c>
      <c r="P801" s="4">
        <f>MAX(0,I801-H801)</f>
        <v/>
      </c>
      <c r="Q801" s="4">
        <f>MAX(0,J801-G801)</f>
        <v/>
      </c>
      <c r="R801" s="4">
        <f>IF(AND(N801=1,O801=1),"On Track",IF(O801=0,"Customer Delivery Late","Ship Late"))</f>
        <v/>
      </c>
    </row>
    <row r="802">
      <c r="A802" s="2" t="inlineStr">
        <is>
          <t>ORD-00801</t>
        </is>
      </c>
      <c r="B802" s="2" t="inlineStr">
        <is>
          <t>Customer 02</t>
        </is>
      </c>
      <c r="C802" s="2" t="inlineStr">
        <is>
          <t>Drive</t>
        </is>
      </c>
      <c r="D802" s="2" t="inlineStr">
        <is>
          <t>Plant B</t>
        </is>
      </c>
      <c r="E802" s="2" t="inlineStr">
        <is>
          <t>Export</t>
        </is>
      </c>
      <c r="F802" s="12" t="n">
        <v>46062</v>
      </c>
      <c r="G802" s="12" t="n">
        <v>46082</v>
      </c>
      <c r="H802" s="12" t="n">
        <v>46080</v>
      </c>
      <c r="I802" s="12" t="n">
        <v>46079</v>
      </c>
      <c r="J802" s="12" t="n">
        <v>46082</v>
      </c>
      <c r="K802" s="2" t="n">
        <v>447</v>
      </c>
      <c r="L802" s="2" t="inlineStr">
        <is>
          <t>Road</t>
        </is>
      </c>
      <c r="M802" s="2" t="inlineStr">
        <is>
          <t>No Delay</t>
        </is>
      </c>
      <c r="N802" s="4">
        <f>IF(I802&lt;=H802,1,0)</f>
        <v/>
      </c>
      <c r="O802" s="4">
        <f>IF(J802&lt;=G802,1,0)</f>
        <v/>
      </c>
      <c r="P802" s="4">
        <f>MAX(0,I802-H802)</f>
        <v/>
      </c>
      <c r="Q802" s="4">
        <f>MAX(0,J802-G802)</f>
        <v/>
      </c>
      <c r="R802" s="4">
        <f>IF(AND(N802=1,O802=1),"On Track",IF(O802=0,"Customer Delivery Late","Ship Late"))</f>
        <v/>
      </c>
    </row>
    <row r="803">
      <c r="A803" s="2" t="inlineStr">
        <is>
          <t>ORD-00802</t>
        </is>
      </c>
      <c r="B803" s="2" t="inlineStr">
        <is>
          <t>Customer 09</t>
        </is>
      </c>
      <c r="C803" s="2" t="inlineStr">
        <is>
          <t>Power Supply</t>
        </is>
      </c>
      <c r="D803" s="2" t="inlineStr">
        <is>
          <t>Plant A</t>
        </is>
      </c>
      <c r="E803" s="2" t="inlineStr">
        <is>
          <t>South</t>
        </is>
      </c>
      <c r="F803" s="12" t="n">
        <v>46077</v>
      </c>
      <c r="G803" s="12" t="n">
        <v>46082</v>
      </c>
      <c r="H803" s="12" t="n">
        <v>46078</v>
      </c>
      <c r="I803" s="12" t="n">
        <v>46078</v>
      </c>
      <c r="J803" s="12" t="n">
        <v>46081</v>
      </c>
      <c r="K803" s="2" t="n">
        <v>1468</v>
      </c>
      <c r="L803" s="2" t="inlineStr">
        <is>
          <t>Air</t>
        </is>
      </c>
      <c r="M803" s="2" t="inlineStr">
        <is>
          <t>No Delay</t>
        </is>
      </c>
      <c r="N803" s="4">
        <f>IF(I803&lt;=H803,1,0)</f>
        <v/>
      </c>
      <c r="O803" s="4">
        <f>IF(J803&lt;=G803,1,0)</f>
        <v/>
      </c>
      <c r="P803" s="4">
        <f>MAX(0,I803-H803)</f>
        <v/>
      </c>
      <c r="Q803" s="4">
        <f>MAX(0,J803-G803)</f>
        <v/>
      </c>
      <c r="R803" s="4">
        <f>IF(AND(N803=1,O803=1),"On Track",IF(O803=0,"Customer Delivery Late","Ship Late"))</f>
        <v/>
      </c>
    </row>
    <row r="804">
      <c r="A804" s="2" t="inlineStr">
        <is>
          <t>ORD-00803</t>
        </is>
      </c>
      <c r="B804" s="2" t="inlineStr">
        <is>
          <t>Customer 29</t>
        </is>
      </c>
      <c r="C804" s="2" t="inlineStr">
        <is>
          <t>Power Supply</t>
        </is>
      </c>
      <c r="D804" s="2" t="inlineStr">
        <is>
          <t>Plant B</t>
        </is>
      </c>
      <c r="E804" s="2" t="inlineStr">
        <is>
          <t>South</t>
        </is>
      </c>
      <c r="F804" s="12" t="n">
        <v>46130</v>
      </c>
      <c r="G804" s="12" t="n">
        <v>46151</v>
      </c>
      <c r="H804" s="12" t="n">
        <v>46149</v>
      </c>
      <c r="I804" s="12" t="n">
        <v>46148</v>
      </c>
      <c r="J804" s="12" t="n">
        <v>46149</v>
      </c>
      <c r="K804" s="2" t="n">
        <v>346</v>
      </c>
      <c r="L804" s="2" t="inlineStr">
        <is>
          <t>Road</t>
        </is>
      </c>
      <c r="M804" s="2" t="inlineStr">
        <is>
          <t>No Delay</t>
        </is>
      </c>
      <c r="N804" s="4">
        <f>IF(I804&lt;=H804,1,0)</f>
        <v/>
      </c>
      <c r="O804" s="4">
        <f>IF(J804&lt;=G804,1,0)</f>
        <v/>
      </c>
      <c r="P804" s="4">
        <f>MAX(0,I804-H804)</f>
        <v/>
      </c>
      <c r="Q804" s="4">
        <f>MAX(0,J804-G804)</f>
        <v/>
      </c>
      <c r="R804" s="4">
        <f>IF(AND(N804=1,O804=1),"On Track",IF(O804=0,"Customer Delivery Late","Ship Late"))</f>
        <v/>
      </c>
    </row>
    <row r="805">
      <c r="A805" s="2" t="inlineStr">
        <is>
          <t>ORD-00804</t>
        </is>
      </c>
      <c r="B805" s="2" t="inlineStr">
        <is>
          <t>Customer 23</t>
        </is>
      </c>
      <c r="C805" s="2" t="inlineStr">
        <is>
          <t>Power Supply</t>
        </is>
      </c>
      <c r="D805" s="2" t="inlineStr">
        <is>
          <t>Plant A</t>
        </is>
      </c>
      <c r="E805" s="2" t="inlineStr">
        <is>
          <t>Central</t>
        </is>
      </c>
      <c r="F805" s="12" t="n">
        <v>46112</v>
      </c>
      <c r="G805" s="12" t="n">
        <v>46130</v>
      </c>
      <c r="H805" s="12" t="n">
        <v>46126</v>
      </c>
      <c r="I805" s="12" t="n">
        <v>46126</v>
      </c>
      <c r="J805" s="12" t="n">
        <v>46130</v>
      </c>
      <c r="K805" s="2" t="n">
        <v>169</v>
      </c>
      <c r="L805" s="2" t="inlineStr">
        <is>
          <t>Sea</t>
        </is>
      </c>
      <c r="M805" s="2" t="inlineStr">
        <is>
          <t>No Delay</t>
        </is>
      </c>
      <c r="N805" s="4">
        <f>IF(I805&lt;=H805,1,0)</f>
        <v/>
      </c>
      <c r="O805" s="4">
        <f>IF(J805&lt;=G805,1,0)</f>
        <v/>
      </c>
      <c r="P805" s="4">
        <f>MAX(0,I805-H805)</f>
        <v/>
      </c>
      <c r="Q805" s="4">
        <f>MAX(0,J805-G805)</f>
        <v/>
      </c>
      <c r="R805" s="4">
        <f>IF(AND(N805=1,O805=1),"On Track",IF(O805=0,"Customer Delivery Late","Ship Late"))</f>
        <v/>
      </c>
    </row>
    <row r="806">
      <c r="A806" s="2" t="inlineStr">
        <is>
          <t>ORD-00805</t>
        </is>
      </c>
      <c r="B806" s="2" t="inlineStr">
        <is>
          <t>Customer 15</t>
        </is>
      </c>
      <c r="C806" s="2" t="inlineStr">
        <is>
          <t>Relay</t>
        </is>
      </c>
      <c r="D806" s="2" t="inlineStr">
        <is>
          <t>Plant B</t>
        </is>
      </c>
      <c r="E806" s="2" t="inlineStr">
        <is>
          <t>South</t>
        </is>
      </c>
      <c r="F806" s="12" t="n">
        <v>46193</v>
      </c>
      <c r="G806" s="12" t="n">
        <v>46216</v>
      </c>
      <c r="H806" s="12" t="n">
        <v>46211</v>
      </c>
      <c r="I806" s="12" t="n">
        <v>46211</v>
      </c>
      <c r="J806" s="12" t="n">
        <v>46215</v>
      </c>
      <c r="K806" s="2" t="n">
        <v>242</v>
      </c>
      <c r="L806" s="2" t="inlineStr">
        <is>
          <t>Sea</t>
        </is>
      </c>
      <c r="M806" s="2" t="inlineStr">
        <is>
          <t>No Delay</t>
        </is>
      </c>
      <c r="N806" s="4">
        <f>IF(I806&lt;=H806,1,0)</f>
        <v/>
      </c>
      <c r="O806" s="4">
        <f>IF(J806&lt;=G806,1,0)</f>
        <v/>
      </c>
      <c r="P806" s="4">
        <f>MAX(0,I806-H806)</f>
        <v/>
      </c>
      <c r="Q806" s="4">
        <f>MAX(0,J806-G806)</f>
        <v/>
      </c>
      <c r="R806" s="4">
        <f>IF(AND(N806=1,O806=1),"On Track",IF(O806=0,"Customer Delivery Late","Ship Late"))</f>
        <v/>
      </c>
    </row>
    <row r="807">
      <c r="A807" s="2" t="inlineStr">
        <is>
          <t>ORD-00806</t>
        </is>
      </c>
      <c r="B807" s="2" t="inlineStr">
        <is>
          <t>Customer 19</t>
        </is>
      </c>
      <c r="C807" s="2" t="inlineStr">
        <is>
          <t>Contactor</t>
        </is>
      </c>
      <c r="D807" s="2" t="inlineStr">
        <is>
          <t>Plant A</t>
        </is>
      </c>
      <c r="E807" s="2" t="inlineStr">
        <is>
          <t>Central</t>
        </is>
      </c>
      <c r="F807" s="12" t="n">
        <v>46127</v>
      </c>
      <c r="G807" s="12" t="n">
        <v>46140</v>
      </c>
      <c r="H807" s="12" t="n">
        <v>46135</v>
      </c>
      <c r="I807" s="12" t="n">
        <v>46134</v>
      </c>
      <c r="J807" s="12" t="n">
        <v>46139</v>
      </c>
      <c r="K807" s="2" t="n">
        <v>394</v>
      </c>
      <c r="L807" s="2" t="inlineStr">
        <is>
          <t>Air</t>
        </is>
      </c>
      <c r="M807" s="2" t="inlineStr">
        <is>
          <t>No Delay</t>
        </is>
      </c>
      <c r="N807" s="4">
        <f>IF(I807&lt;=H807,1,0)</f>
        <v/>
      </c>
      <c r="O807" s="4">
        <f>IF(J807&lt;=G807,1,0)</f>
        <v/>
      </c>
      <c r="P807" s="4">
        <f>MAX(0,I807-H807)</f>
        <v/>
      </c>
      <c r="Q807" s="4">
        <f>MAX(0,J807-G807)</f>
        <v/>
      </c>
      <c r="R807" s="4">
        <f>IF(AND(N807=1,O807=1),"On Track",IF(O807=0,"Customer Delivery Late","Ship Late"))</f>
        <v/>
      </c>
    </row>
    <row r="808">
      <c r="A808" s="2" t="inlineStr">
        <is>
          <t>ORD-00807</t>
        </is>
      </c>
      <c r="B808" s="2" t="inlineStr">
        <is>
          <t>Customer 22</t>
        </is>
      </c>
      <c r="C808" s="2" t="inlineStr">
        <is>
          <t>Breaker</t>
        </is>
      </c>
      <c r="D808" s="2" t="inlineStr">
        <is>
          <t>Plant B</t>
        </is>
      </c>
      <c r="E808" s="2" t="inlineStr">
        <is>
          <t>South</t>
        </is>
      </c>
      <c r="F808" s="12" t="n">
        <v>46201</v>
      </c>
      <c r="G808" s="12" t="n">
        <v>46223</v>
      </c>
      <c r="H808" s="12" t="n">
        <v>46221</v>
      </c>
      <c r="I808" s="12" t="n">
        <v>46219</v>
      </c>
      <c r="J808" s="12" t="n">
        <v>46221</v>
      </c>
      <c r="K808" s="2" t="n">
        <v>43</v>
      </c>
      <c r="L808" s="2" t="inlineStr">
        <is>
          <t>Air</t>
        </is>
      </c>
      <c r="M808" s="2" t="inlineStr">
        <is>
          <t>No Delay</t>
        </is>
      </c>
      <c r="N808" s="4">
        <f>IF(I808&lt;=H808,1,0)</f>
        <v/>
      </c>
      <c r="O808" s="4">
        <f>IF(J808&lt;=G808,1,0)</f>
        <v/>
      </c>
      <c r="P808" s="4">
        <f>MAX(0,I808-H808)</f>
        <v/>
      </c>
      <c r="Q808" s="4">
        <f>MAX(0,J808-G808)</f>
        <v/>
      </c>
      <c r="R808" s="4">
        <f>IF(AND(N808=1,O808=1),"On Track",IF(O808=0,"Customer Delivery Late","Ship Late"))</f>
        <v/>
      </c>
    </row>
    <row r="809">
      <c r="A809" s="2" t="inlineStr">
        <is>
          <t>ORD-00808</t>
        </is>
      </c>
      <c r="B809" s="2" t="inlineStr">
        <is>
          <t>Customer 12</t>
        </is>
      </c>
      <c r="C809" s="2" t="inlineStr">
        <is>
          <t>Power Supply</t>
        </is>
      </c>
      <c r="D809" s="2" t="inlineStr">
        <is>
          <t>Plant C</t>
        </is>
      </c>
      <c r="E809" s="2" t="inlineStr">
        <is>
          <t>South</t>
        </is>
      </c>
      <c r="F809" s="12" t="n">
        <v>46101</v>
      </c>
      <c r="G809" s="12" t="n">
        <v>46122</v>
      </c>
      <c r="H809" s="12" t="n">
        <v>46121</v>
      </c>
      <c r="I809" s="12" t="n">
        <v>46121</v>
      </c>
      <c r="J809" s="12" t="n">
        <v>46122</v>
      </c>
      <c r="K809" s="2" t="n">
        <v>242</v>
      </c>
      <c r="L809" s="2" t="inlineStr">
        <is>
          <t>Road</t>
        </is>
      </c>
      <c r="M809" s="2" t="inlineStr">
        <is>
          <t>No Delay</t>
        </is>
      </c>
      <c r="N809" s="4">
        <f>IF(I809&lt;=H809,1,0)</f>
        <v/>
      </c>
      <c r="O809" s="4">
        <f>IF(J809&lt;=G809,1,0)</f>
        <v/>
      </c>
      <c r="P809" s="4">
        <f>MAX(0,I809-H809)</f>
        <v/>
      </c>
      <c r="Q809" s="4">
        <f>MAX(0,J809-G809)</f>
        <v/>
      </c>
      <c r="R809" s="4">
        <f>IF(AND(N809=1,O809=1),"On Track",IF(O809=0,"Customer Delivery Late","Ship Late"))</f>
        <v/>
      </c>
    </row>
    <row r="810">
      <c r="A810" s="2" t="inlineStr">
        <is>
          <t>ORD-00809</t>
        </is>
      </c>
      <c r="B810" s="2" t="inlineStr">
        <is>
          <t>Customer 28</t>
        </is>
      </c>
      <c r="C810" s="2" t="inlineStr">
        <is>
          <t>Power Supply</t>
        </is>
      </c>
      <c r="D810" s="2" t="inlineStr">
        <is>
          <t>Plant C</t>
        </is>
      </c>
      <c r="E810" s="2" t="inlineStr">
        <is>
          <t>South</t>
        </is>
      </c>
      <c r="F810" s="12" t="n">
        <v>46140</v>
      </c>
      <c r="G810" s="12" t="n">
        <v>46158</v>
      </c>
      <c r="H810" s="12" t="n">
        <v>46155</v>
      </c>
      <c r="I810" s="12" t="n">
        <v>46155</v>
      </c>
      <c r="J810" s="12" t="n">
        <v>46159</v>
      </c>
      <c r="K810" s="2" t="n">
        <v>1447</v>
      </c>
      <c r="L810" s="2" t="inlineStr">
        <is>
          <t>Sea</t>
        </is>
      </c>
      <c r="M810" s="2" t="inlineStr">
        <is>
          <t>Carrier Delay</t>
        </is>
      </c>
      <c r="N810" s="4">
        <f>IF(I810&lt;=H810,1,0)</f>
        <v/>
      </c>
      <c r="O810" s="4">
        <f>IF(J810&lt;=G810,1,0)</f>
        <v/>
      </c>
      <c r="P810" s="4">
        <f>MAX(0,I810-H810)</f>
        <v/>
      </c>
      <c r="Q810" s="4">
        <f>MAX(0,J810-G810)</f>
        <v/>
      </c>
      <c r="R810" s="4">
        <f>IF(AND(N810=1,O810=1),"On Track",IF(O810=0,"Customer Delivery Late","Ship Late"))</f>
        <v/>
      </c>
    </row>
    <row r="811">
      <c r="A811" s="2" t="inlineStr">
        <is>
          <t>ORD-00810</t>
        </is>
      </c>
      <c r="B811" s="2" t="inlineStr">
        <is>
          <t>Customer 25</t>
        </is>
      </c>
      <c r="C811" s="2" t="inlineStr">
        <is>
          <t>Contactor</t>
        </is>
      </c>
      <c r="D811" s="2" t="inlineStr">
        <is>
          <t>Plant C</t>
        </is>
      </c>
      <c r="E811" s="2" t="inlineStr">
        <is>
          <t>Export</t>
        </is>
      </c>
      <c r="F811" s="12" t="n">
        <v>46048</v>
      </c>
      <c r="G811" s="12" t="n">
        <v>46055</v>
      </c>
      <c r="H811" s="12" t="n">
        <v>46054</v>
      </c>
      <c r="I811" s="12" t="n">
        <v>46052</v>
      </c>
      <c r="J811" s="12" t="n">
        <v>46053</v>
      </c>
      <c r="K811" s="2" t="n">
        <v>1040</v>
      </c>
      <c r="L811" s="2" t="inlineStr">
        <is>
          <t>Sea</t>
        </is>
      </c>
      <c r="M811" s="2" t="inlineStr">
        <is>
          <t>No Delay</t>
        </is>
      </c>
      <c r="N811" s="4">
        <f>IF(I811&lt;=H811,1,0)</f>
        <v/>
      </c>
      <c r="O811" s="4">
        <f>IF(J811&lt;=G811,1,0)</f>
        <v/>
      </c>
      <c r="P811" s="4">
        <f>MAX(0,I811-H811)</f>
        <v/>
      </c>
      <c r="Q811" s="4">
        <f>MAX(0,J811-G811)</f>
        <v/>
      </c>
      <c r="R811" s="4">
        <f>IF(AND(N811=1,O811=1),"On Track",IF(O811=0,"Customer Delivery Late","Ship Late"))</f>
        <v/>
      </c>
    </row>
    <row r="812">
      <c r="A812" s="2" t="inlineStr">
        <is>
          <t>ORD-00811</t>
        </is>
      </c>
      <c r="B812" s="2" t="inlineStr">
        <is>
          <t>Customer 16</t>
        </is>
      </c>
      <c r="C812" s="2" t="inlineStr">
        <is>
          <t>Contactor</t>
        </is>
      </c>
      <c r="D812" s="2" t="inlineStr">
        <is>
          <t>Plant B</t>
        </is>
      </c>
      <c r="E812" s="2" t="inlineStr">
        <is>
          <t>Export</t>
        </is>
      </c>
      <c r="F812" s="12" t="n">
        <v>46031</v>
      </c>
      <c r="G812" s="12" t="n">
        <v>46045</v>
      </c>
      <c r="H812" s="12" t="n">
        <v>46041</v>
      </c>
      <c r="I812" s="12" t="n">
        <v>46040</v>
      </c>
      <c r="J812" s="12" t="n">
        <v>46043</v>
      </c>
      <c r="K812" s="2" t="n">
        <v>855</v>
      </c>
      <c r="L812" s="2" t="inlineStr">
        <is>
          <t>Sea</t>
        </is>
      </c>
      <c r="M812" s="2" t="inlineStr">
        <is>
          <t>No Delay</t>
        </is>
      </c>
      <c r="N812" s="4">
        <f>IF(I812&lt;=H812,1,0)</f>
        <v/>
      </c>
      <c r="O812" s="4">
        <f>IF(J812&lt;=G812,1,0)</f>
        <v/>
      </c>
      <c r="P812" s="4">
        <f>MAX(0,I812-H812)</f>
        <v/>
      </c>
      <c r="Q812" s="4">
        <f>MAX(0,J812-G812)</f>
        <v/>
      </c>
      <c r="R812" s="4">
        <f>IF(AND(N812=1,O812=1),"On Track",IF(O812=0,"Customer Delivery Late","Ship Late"))</f>
        <v/>
      </c>
    </row>
    <row r="813">
      <c r="A813" s="2" t="inlineStr">
        <is>
          <t>ORD-00812</t>
        </is>
      </c>
      <c r="B813" s="2" t="inlineStr">
        <is>
          <t>Customer 09</t>
        </is>
      </c>
      <c r="C813" s="2" t="inlineStr">
        <is>
          <t>Sensor</t>
        </is>
      </c>
      <c r="D813" s="2" t="inlineStr">
        <is>
          <t>Plant B</t>
        </is>
      </c>
      <c r="E813" s="2" t="inlineStr">
        <is>
          <t>Central</t>
        </is>
      </c>
      <c r="F813" s="12" t="n">
        <v>46203</v>
      </c>
      <c r="G813" s="12" t="n">
        <v>46220</v>
      </c>
      <c r="H813" s="12" t="n">
        <v>46219</v>
      </c>
      <c r="I813" s="12" t="n">
        <v>46217</v>
      </c>
      <c r="J813" s="12" t="n">
        <v>46218</v>
      </c>
      <c r="K813" s="2" t="n">
        <v>18</v>
      </c>
      <c r="L813" s="2" t="inlineStr">
        <is>
          <t>Air</t>
        </is>
      </c>
      <c r="M813" s="2" t="inlineStr">
        <is>
          <t>No Delay</t>
        </is>
      </c>
      <c r="N813" s="4">
        <f>IF(I813&lt;=H813,1,0)</f>
        <v/>
      </c>
      <c r="O813" s="4">
        <f>IF(J813&lt;=G813,1,0)</f>
        <v/>
      </c>
      <c r="P813" s="4">
        <f>MAX(0,I813-H813)</f>
        <v/>
      </c>
      <c r="Q813" s="4">
        <f>MAX(0,J813-G813)</f>
        <v/>
      </c>
      <c r="R813" s="4">
        <f>IF(AND(N813=1,O813=1),"On Track",IF(O813=0,"Customer Delivery Late","Ship Late"))</f>
        <v/>
      </c>
    </row>
    <row r="814">
      <c r="A814" s="2" t="inlineStr">
        <is>
          <t>ORD-00813</t>
        </is>
      </c>
      <c r="B814" s="2" t="inlineStr">
        <is>
          <t>Customer 19</t>
        </is>
      </c>
      <c r="C814" s="2" t="inlineStr">
        <is>
          <t>Power Supply</t>
        </is>
      </c>
      <c r="D814" s="2" t="inlineStr">
        <is>
          <t>Plant A</t>
        </is>
      </c>
      <c r="E814" s="2" t="inlineStr">
        <is>
          <t>Export</t>
        </is>
      </c>
      <c r="F814" s="12" t="n">
        <v>46031</v>
      </c>
      <c r="G814" s="12" t="n">
        <v>46036</v>
      </c>
      <c r="H814" s="12" t="n">
        <v>46035</v>
      </c>
      <c r="I814" s="12" t="n">
        <v>46034</v>
      </c>
      <c r="J814" s="12" t="n">
        <v>46035</v>
      </c>
      <c r="K814" s="2" t="n">
        <v>404</v>
      </c>
      <c r="L814" s="2" t="inlineStr">
        <is>
          <t>Sea</t>
        </is>
      </c>
      <c r="M814" s="2" t="inlineStr">
        <is>
          <t>No Delay</t>
        </is>
      </c>
      <c r="N814" s="4">
        <f>IF(I814&lt;=H814,1,0)</f>
        <v/>
      </c>
      <c r="O814" s="4">
        <f>IF(J814&lt;=G814,1,0)</f>
        <v/>
      </c>
      <c r="P814" s="4">
        <f>MAX(0,I814-H814)</f>
        <v/>
      </c>
      <c r="Q814" s="4">
        <f>MAX(0,J814-G814)</f>
        <v/>
      </c>
      <c r="R814" s="4">
        <f>IF(AND(N814=1,O814=1),"On Track",IF(O814=0,"Customer Delivery Late","Ship Late"))</f>
        <v/>
      </c>
    </row>
    <row r="815">
      <c r="A815" s="2" t="inlineStr">
        <is>
          <t>ORD-00814</t>
        </is>
      </c>
      <c r="B815" s="2" t="inlineStr">
        <is>
          <t>Customer 13</t>
        </is>
      </c>
      <c r="C815" s="2" t="inlineStr">
        <is>
          <t>Relay</t>
        </is>
      </c>
      <c r="D815" s="2" t="inlineStr">
        <is>
          <t>Plant B</t>
        </is>
      </c>
      <c r="E815" s="2" t="inlineStr">
        <is>
          <t>South</t>
        </is>
      </c>
      <c r="F815" s="12" t="n">
        <v>46187</v>
      </c>
      <c r="G815" s="12" t="n">
        <v>46204</v>
      </c>
      <c r="H815" s="12" t="n">
        <v>46203</v>
      </c>
      <c r="I815" s="12" t="n">
        <v>46203</v>
      </c>
      <c r="J815" s="12" t="n">
        <v>46204</v>
      </c>
      <c r="K815" s="2" t="n">
        <v>1069</v>
      </c>
      <c r="L815" s="2" t="inlineStr">
        <is>
          <t>Road</t>
        </is>
      </c>
      <c r="M815" s="2" t="inlineStr">
        <is>
          <t>No Delay</t>
        </is>
      </c>
      <c r="N815" s="4">
        <f>IF(I815&lt;=H815,1,0)</f>
        <v/>
      </c>
      <c r="O815" s="4">
        <f>IF(J815&lt;=G815,1,0)</f>
        <v/>
      </c>
      <c r="P815" s="4">
        <f>MAX(0,I815-H815)</f>
        <v/>
      </c>
      <c r="Q815" s="4">
        <f>MAX(0,J815-G815)</f>
        <v/>
      </c>
      <c r="R815" s="4">
        <f>IF(AND(N815=1,O815=1),"On Track",IF(O815=0,"Customer Delivery Late","Ship Late"))</f>
        <v/>
      </c>
    </row>
    <row r="816">
      <c r="A816" s="2" t="inlineStr">
        <is>
          <t>ORD-00815</t>
        </is>
      </c>
      <c r="B816" s="2" t="inlineStr">
        <is>
          <t>Customer 27</t>
        </is>
      </c>
      <c r="C816" s="2" t="inlineStr">
        <is>
          <t>Sensor</t>
        </is>
      </c>
      <c r="D816" s="2" t="inlineStr">
        <is>
          <t>Plant C</t>
        </is>
      </c>
      <c r="E816" s="2" t="inlineStr">
        <is>
          <t>Central</t>
        </is>
      </c>
      <c r="F816" s="12" t="n">
        <v>46134</v>
      </c>
      <c r="G816" s="12" t="n">
        <v>46146</v>
      </c>
      <c r="H816" s="12" t="n">
        <v>46145</v>
      </c>
      <c r="I816" s="12" t="n">
        <v>46143</v>
      </c>
      <c r="J816" s="12" t="n">
        <v>46145</v>
      </c>
      <c r="K816" s="2" t="n">
        <v>670</v>
      </c>
      <c r="L816" s="2" t="inlineStr">
        <is>
          <t>Road</t>
        </is>
      </c>
      <c r="M816" s="2" t="inlineStr">
        <is>
          <t>No Delay</t>
        </is>
      </c>
      <c r="N816" s="4">
        <f>IF(I816&lt;=H816,1,0)</f>
        <v/>
      </c>
      <c r="O816" s="4">
        <f>IF(J816&lt;=G816,1,0)</f>
        <v/>
      </c>
      <c r="P816" s="4">
        <f>MAX(0,I816-H816)</f>
        <v/>
      </c>
      <c r="Q816" s="4">
        <f>MAX(0,J816-G816)</f>
        <v/>
      </c>
      <c r="R816" s="4">
        <f>IF(AND(N816=1,O816=1),"On Track",IF(O816=0,"Customer Delivery Late","Ship Late"))</f>
        <v/>
      </c>
    </row>
    <row r="817">
      <c r="A817" s="2" t="inlineStr">
        <is>
          <t>ORD-00816</t>
        </is>
      </c>
      <c r="B817" s="2" t="inlineStr">
        <is>
          <t>Customer 18</t>
        </is>
      </c>
      <c r="C817" s="2" t="inlineStr">
        <is>
          <t>Contactor</t>
        </is>
      </c>
      <c r="D817" s="2" t="inlineStr">
        <is>
          <t>Plant C</t>
        </is>
      </c>
      <c r="E817" s="2" t="inlineStr">
        <is>
          <t>Export</t>
        </is>
      </c>
      <c r="F817" s="12" t="n">
        <v>46046</v>
      </c>
      <c r="G817" s="12" t="n">
        <v>46053</v>
      </c>
      <c r="H817" s="12" t="n">
        <v>46052</v>
      </c>
      <c r="I817" s="12" t="n">
        <v>46052</v>
      </c>
      <c r="J817" s="12" t="n">
        <v>46053</v>
      </c>
      <c r="K817" s="2" t="n">
        <v>61</v>
      </c>
      <c r="L817" s="2" t="inlineStr">
        <is>
          <t>Sea</t>
        </is>
      </c>
      <c r="M817" s="2" t="inlineStr">
        <is>
          <t>No Delay</t>
        </is>
      </c>
      <c r="N817" s="4">
        <f>IF(I817&lt;=H817,1,0)</f>
        <v/>
      </c>
      <c r="O817" s="4">
        <f>IF(J817&lt;=G817,1,0)</f>
        <v/>
      </c>
      <c r="P817" s="4">
        <f>MAX(0,I817-H817)</f>
        <v/>
      </c>
      <c r="Q817" s="4">
        <f>MAX(0,J817-G817)</f>
        <v/>
      </c>
      <c r="R817" s="4">
        <f>IF(AND(N817=1,O817=1),"On Track",IF(O817=0,"Customer Delivery Late","Ship Late"))</f>
        <v/>
      </c>
    </row>
    <row r="818">
      <c r="A818" s="2" t="inlineStr">
        <is>
          <t>ORD-00817</t>
        </is>
      </c>
      <c r="B818" s="2" t="inlineStr">
        <is>
          <t>Customer 27</t>
        </is>
      </c>
      <c r="C818" s="2" t="inlineStr">
        <is>
          <t>PLC</t>
        </is>
      </c>
      <c r="D818" s="2" t="inlineStr">
        <is>
          <t>Plant C</t>
        </is>
      </c>
      <c r="E818" s="2" t="inlineStr">
        <is>
          <t>Export</t>
        </is>
      </c>
      <c r="F818" s="12" t="n">
        <v>46056</v>
      </c>
      <c r="G818" s="12" t="n">
        <v>46075</v>
      </c>
      <c r="H818" s="12" t="n">
        <v>46072</v>
      </c>
      <c r="I818" s="12" t="n">
        <v>46072</v>
      </c>
      <c r="J818" s="12" t="n">
        <v>46075</v>
      </c>
      <c r="K818" s="2" t="n">
        <v>543</v>
      </c>
      <c r="L818" s="2" t="inlineStr">
        <is>
          <t>Sea</t>
        </is>
      </c>
      <c r="M818" s="2" t="inlineStr">
        <is>
          <t>No Delay</t>
        </is>
      </c>
      <c r="N818" s="4">
        <f>IF(I818&lt;=H818,1,0)</f>
        <v/>
      </c>
      <c r="O818" s="4">
        <f>IF(J818&lt;=G818,1,0)</f>
        <v/>
      </c>
      <c r="P818" s="4">
        <f>MAX(0,I818-H818)</f>
        <v/>
      </c>
      <c r="Q818" s="4">
        <f>MAX(0,J818-G818)</f>
        <v/>
      </c>
      <c r="R818" s="4">
        <f>IF(AND(N818=1,O818=1),"On Track",IF(O818=0,"Customer Delivery Late","Ship Late"))</f>
        <v/>
      </c>
    </row>
    <row r="819">
      <c r="A819" s="2" t="inlineStr">
        <is>
          <t>ORD-00818</t>
        </is>
      </c>
      <c r="B819" s="2" t="inlineStr">
        <is>
          <t>Customer 15</t>
        </is>
      </c>
      <c r="C819" s="2" t="inlineStr">
        <is>
          <t>Contactor</t>
        </is>
      </c>
      <c r="D819" s="2" t="inlineStr">
        <is>
          <t>Plant A</t>
        </is>
      </c>
      <c r="E819" s="2" t="inlineStr">
        <is>
          <t>Central</t>
        </is>
      </c>
      <c r="F819" s="12" t="n">
        <v>46036</v>
      </c>
      <c r="G819" s="12" t="n">
        <v>46049</v>
      </c>
      <c r="H819" s="12" t="n">
        <v>46048</v>
      </c>
      <c r="I819" s="12" t="n">
        <v>46048</v>
      </c>
      <c r="J819" s="12" t="n">
        <v>46050</v>
      </c>
      <c r="K819" s="2" t="n">
        <v>588</v>
      </c>
      <c r="L819" s="2" t="inlineStr">
        <is>
          <t>Air</t>
        </is>
      </c>
      <c r="M819" s="2" t="inlineStr">
        <is>
          <t>Material Shortage</t>
        </is>
      </c>
      <c r="N819" s="4">
        <f>IF(I819&lt;=H819,1,0)</f>
        <v/>
      </c>
      <c r="O819" s="4">
        <f>IF(J819&lt;=G819,1,0)</f>
        <v/>
      </c>
      <c r="P819" s="4">
        <f>MAX(0,I819-H819)</f>
        <v/>
      </c>
      <c r="Q819" s="4">
        <f>MAX(0,J819-G819)</f>
        <v/>
      </c>
      <c r="R819" s="4">
        <f>IF(AND(N819=1,O819=1),"On Track",IF(O819=0,"Customer Delivery Late","Ship Late"))</f>
        <v/>
      </c>
    </row>
    <row r="820">
      <c r="A820" s="2" t="inlineStr">
        <is>
          <t>ORD-00819</t>
        </is>
      </c>
      <c r="B820" s="2" t="inlineStr">
        <is>
          <t>Customer 26</t>
        </is>
      </c>
      <c r="C820" s="2" t="inlineStr">
        <is>
          <t>Breaker</t>
        </is>
      </c>
      <c r="D820" s="2" t="inlineStr">
        <is>
          <t>Plant B</t>
        </is>
      </c>
      <c r="E820" s="2" t="inlineStr">
        <is>
          <t>North</t>
        </is>
      </c>
      <c r="F820" s="12" t="n">
        <v>46069</v>
      </c>
      <c r="G820" s="12" t="n">
        <v>46076</v>
      </c>
      <c r="H820" s="12" t="n">
        <v>46075</v>
      </c>
      <c r="I820" s="12" t="n">
        <v>46074</v>
      </c>
      <c r="J820" s="12" t="n">
        <v>46075</v>
      </c>
      <c r="K820" s="2" t="n">
        <v>1006</v>
      </c>
      <c r="L820" s="2" t="inlineStr">
        <is>
          <t>Sea</t>
        </is>
      </c>
      <c r="M820" s="2" t="inlineStr">
        <is>
          <t>No Delay</t>
        </is>
      </c>
      <c r="N820" s="4">
        <f>IF(I820&lt;=H820,1,0)</f>
        <v/>
      </c>
      <c r="O820" s="4">
        <f>IF(J820&lt;=G820,1,0)</f>
        <v/>
      </c>
      <c r="P820" s="4">
        <f>MAX(0,I820-H820)</f>
        <v/>
      </c>
      <c r="Q820" s="4">
        <f>MAX(0,J820-G820)</f>
        <v/>
      </c>
      <c r="R820" s="4">
        <f>IF(AND(N820=1,O820=1),"On Track",IF(O820=0,"Customer Delivery Late","Ship Late"))</f>
        <v/>
      </c>
    </row>
    <row r="821">
      <c r="A821" s="2" t="inlineStr">
        <is>
          <t>ORD-00820</t>
        </is>
      </c>
      <c r="B821" s="2" t="inlineStr">
        <is>
          <t>Customer 01</t>
        </is>
      </c>
      <c r="C821" s="2" t="inlineStr">
        <is>
          <t>Relay</t>
        </is>
      </c>
      <c r="D821" s="2" t="inlineStr">
        <is>
          <t>Plant C</t>
        </is>
      </c>
      <c r="E821" s="2" t="inlineStr">
        <is>
          <t>North</t>
        </is>
      </c>
      <c r="F821" s="12" t="n">
        <v>46042</v>
      </c>
      <c r="G821" s="12" t="n">
        <v>46053</v>
      </c>
      <c r="H821" s="12" t="n">
        <v>46049</v>
      </c>
      <c r="I821" s="12" t="n">
        <v>46048</v>
      </c>
      <c r="J821" s="12" t="n">
        <v>46052</v>
      </c>
      <c r="K821" s="2" t="n">
        <v>250</v>
      </c>
      <c r="L821" s="2" t="inlineStr">
        <is>
          <t>Air</t>
        </is>
      </c>
      <c r="M821" s="2" t="inlineStr">
        <is>
          <t>No Delay</t>
        </is>
      </c>
      <c r="N821" s="4">
        <f>IF(I821&lt;=H821,1,0)</f>
        <v/>
      </c>
      <c r="O821" s="4">
        <f>IF(J821&lt;=G821,1,0)</f>
        <v/>
      </c>
      <c r="P821" s="4">
        <f>MAX(0,I821-H821)</f>
        <v/>
      </c>
      <c r="Q821" s="4">
        <f>MAX(0,J821-G821)</f>
        <v/>
      </c>
      <c r="R821" s="4">
        <f>IF(AND(N821=1,O821=1),"On Track",IF(O821=0,"Customer Delivery Late","Ship Late"))</f>
        <v/>
      </c>
    </row>
    <row r="822">
      <c r="A822" s="2" t="inlineStr">
        <is>
          <t>ORD-00821</t>
        </is>
      </c>
      <c r="B822" s="2" t="inlineStr">
        <is>
          <t>Customer 30</t>
        </is>
      </c>
      <c r="C822" s="2" t="inlineStr">
        <is>
          <t>Contactor</t>
        </is>
      </c>
      <c r="D822" s="2" t="inlineStr">
        <is>
          <t>Plant A</t>
        </is>
      </c>
      <c r="E822" s="2" t="inlineStr">
        <is>
          <t>North</t>
        </is>
      </c>
      <c r="F822" s="12" t="n">
        <v>46111</v>
      </c>
      <c r="G822" s="12" t="n">
        <v>46131</v>
      </c>
      <c r="H822" s="12" t="n">
        <v>46126</v>
      </c>
      <c r="I822" s="12" t="n">
        <v>46124</v>
      </c>
      <c r="J822" s="12" t="n">
        <v>46130</v>
      </c>
      <c r="K822" s="2" t="n">
        <v>1107</v>
      </c>
      <c r="L822" s="2" t="inlineStr">
        <is>
          <t>Road</t>
        </is>
      </c>
      <c r="M822" s="2" t="inlineStr">
        <is>
          <t>No Delay</t>
        </is>
      </c>
      <c r="N822" s="4">
        <f>IF(I822&lt;=H822,1,0)</f>
        <v/>
      </c>
      <c r="O822" s="4">
        <f>IF(J822&lt;=G822,1,0)</f>
        <v/>
      </c>
      <c r="P822" s="4">
        <f>MAX(0,I822-H822)</f>
        <v/>
      </c>
      <c r="Q822" s="4">
        <f>MAX(0,J822-G822)</f>
        <v/>
      </c>
      <c r="R822" s="4">
        <f>IF(AND(N822=1,O822=1),"On Track",IF(O822=0,"Customer Delivery Late","Ship Late"))</f>
        <v/>
      </c>
    </row>
    <row r="823">
      <c r="A823" s="2" t="inlineStr">
        <is>
          <t>ORD-00822</t>
        </is>
      </c>
      <c r="B823" s="2" t="inlineStr">
        <is>
          <t>Customer 05</t>
        </is>
      </c>
      <c r="C823" s="2" t="inlineStr">
        <is>
          <t>PLC</t>
        </is>
      </c>
      <c r="D823" s="2" t="inlineStr">
        <is>
          <t>Plant A</t>
        </is>
      </c>
      <c r="E823" s="2" t="inlineStr">
        <is>
          <t>Central</t>
        </is>
      </c>
      <c r="F823" s="12" t="n">
        <v>46155</v>
      </c>
      <c r="G823" s="12" t="n">
        <v>46176</v>
      </c>
      <c r="H823" s="12" t="n">
        <v>46174</v>
      </c>
      <c r="I823" s="12" t="n">
        <v>46173</v>
      </c>
      <c r="J823" s="12" t="n">
        <v>46175</v>
      </c>
      <c r="K823" s="2" t="n">
        <v>558</v>
      </c>
      <c r="L823" s="2" t="inlineStr">
        <is>
          <t>Air</t>
        </is>
      </c>
      <c r="M823" s="2" t="inlineStr">
        <is>
          <t>No Delay</t>
        </is>
      </c>
      <c r="N823" s="4">
        <f>IF(I823&lt;=H823,1,0)</f>
        <v/>
      </c>
      <c r="O823" s="4">
        <f>IF(J823&lt;=G823,1,0)</f>
        <v/>
      </c>
      <c r="P823" s="4">
        <f>MAX(0,I823-H823)</f>
        <v/>
      </c>
      <c r="Q823" s="4">
        <f>MAX(0,J823-G823)</f>
        <v/>
      </c>
      <c r="R823" s="4">
        <f>IF(AND(N823=1,O823=1),"On Track",IF(O823=0,"Customer Delivery Late","Ship Late"))</f>
        <v/>
      </c>
    </row>
    <row r="824">
      <c r="A824" s="2" t="inlineStr">
        <is>
          <t>ORD-00823</t>
        </is>
      </c>
      <c r="B824" s="2" t="inlineStr">
        <is>
          <t>Customer 16</t>
        </is>
      </c>
      <c r="C824" s="2" t="inlineStr">
        <is>
          <t>Power Supply</t>
        </is>
      </c>
      <c r="D824" s="2" t="inlineStr">
        <is>
          <t>Plant C</t>
        </is>
      </c>
      <c r="E824" s="2" t="inlineStr">
        <is>
          <t>Export</t>
        </is>
      </c>
      <c r="F824" s="12" t="n">
        <v>46146</v>
      </c>
      <c r="G824" s="12" t="n">
        <v>46157</v>
      </c>
      <c r="H824" s="12" t="n">
        <v>46156</v>
      </c>
      <c r="I824" s="12" t="n">
        <v>46156</v>
      </c>
      <c r="J824" s="12" t="n">
        <v>46157</v>
      </c>
      <c r="K824" s="2" t="n">
        <v>405</v>
      </c>
      <c r="L824" s="2" t="inlineStr">
        <is>
          <t>Air</t>
        </is>
      </c>
      <c r="M824" s="2" t="inlineStr">
        <is>
          <t>No Delay</t>
        </is>
      </c>
      <c r="N824" s="4">
        <f>IF(I824&lt;=H824,1,0)</f>
        <v/>
      </c>
      <c r="O824" s="4">
        <f>IF(J824&lt;=G824,1,0)</f>
        <v/>
      </c>
      <c r="P824" s="4">
        <f>MAX(0,I824-H824)</f>
        <v/>
      </c>
      <c r="Q824" s="4">
        <f>MAX(0,J824-G824)</f>
        <v/>
      </c>
      <c r="R824" s="4">
        <f>IF(AND(N824=1,O824=1),"On Track",IF(O824=0,"Customer Delivery Late","Ship Late"))</f>
        <v/>
      </c>
    </row>
    <row r="825">
      <c r="A825" s="2" t="inlineStr">
        <is>
          <t>ORD-00824</t>
        </is>
      </c>
      <c r="B825" s="2" t="inlineStr">
        <is>
          <t>Customer 24</t>
        </is>
      </c>
      <c r="C825" s="2" t="inlineStr">
        <is>
          <t>Switchgear</t>
        </is>
      </c>
      <c r="D825" s="2" t="inlineStr">
        <is>
          <t>Plant B</t>
        </is>
      </c>
      <c r="E825" s="2" t="inlineStr">
        <is>
          <t>Export</t>
        </is>
      </c>
      <c r="F825" s="12" t="n">
        <v>46067</v>
      </c>
      <c r="G825" s="12" t="n">
        <v>46078</v>
      </c>
      <c r="H825" s="12" t="n">
        <v>46075</v>
      </c>
      <c r="I825" s="12" t="n">
        <v>46073</v>
      </c>
      <c r="J825" s="12" t="n">
        <v>46076</v>
      </c>
      <c r="K825" s="2" t="n">
        <v>877</v>
      </c>
      <c r="L825" s="2" t="inlineStr">
        <is>
          <t>Sea</t>
        </is>
      </c>
      <c r="M825" s="2" t="inlineStr">
        <is>
          <t>No Delay</t>
        </is>
      </c>
      <c r="N825" s="4">
        <f>IF(I825&lt;=H825,1,0)</f>
        <v/>
      </c>
      <c r="O825" s="4">
        <f>IF(J825&lt;=G825,1,0)</f>
        <v/>
      </c>
      <c r="P825" s="4">
        <f>MAX(0,I825-H825)</f>
        <v/>
      </c>
      <c r="Q825" s="4">
        <f>MAX(0,J825-G825)</f>
        <v/>
      </c>
      <c r="R825" s="4">
        <f>IF(AND(N825=1,O825=1),"On Track",IF(O825=0,"Customer Delivery Late","Ship Late"))</f>
        <v/>
      </c>
    </row>
    <row r="826">
      <c r="A826" s="2" t="inlineStr">
        <is>
          <t>ORD-00825</t>
        </is>
      </c>
      <c r="B826" s="2" t="inlineStr">
        <is>
          <t>Customer 12</t>
        </is>
      </c>
      <c r="C826" s="2" t="inlineStr">
        <is>
          <t>Contactor</t>
        </is>
      </c>
      <c r="D826" s="2" t="inlineStr">
        <is>
          <t>Plant B</t>
        </is>
      </c>
      <c r="E826" s="2" t="inlineStr">
        <is>
          <t>Central</t>
        </is>
      </c>
      <c r="F826" s="12" t="n">
        <v>46092</v>
      </c>
      <c r="G826" s="12" t="n">
        <v>46107</v>
      </c>
      <c r="H826" s="12" t="n">
        <v>46102</v>
      </c>
      <c r="I826" s="12" t="n">
        <v>46101</v>
      </c>
      <c r="J826" s="12" t="n">
        <v>46106</v>
      </c>
      <c r="K826" s="2" t="n">
        <v>79</v>
      </c>
      <c r="L826" s="2" t="inlineStr">
        <is>
          <t>Sea</t>
        </is>
      </c>
      <c r="M826" s="2" t="inlineStr">
        <is>
          <t>No Delay</t>
        </is>
      </c>
      <c r="N826" s="4">
        <f>IF(I826&lt;=H826,1,0)</f>
        <v/>
      </c>
      <c r="O826" s="4">
        <f>IF(J826&lt;=G826,1,0)</f>
        <v/>
      </c>
      <c r="P826" s="4">
        <f>MAX(0,I826-H826)</f>
        <v/>
      </c>
      <c r="Q826" s="4">
        <f>MAX(0,J826-G826)</f>
        <v/>
      </c>
      <c r="R826" s="4">
        <f>IF(AND(N826=1,O826=1),"On Track",IF(O826=0,"Customer Delivery Late","Ship Late"))</f>
        <v/>
      </c>
    </row>
    <row r="827">
      <c r="A827" s="2" t="inlineStr">
        <is>
          <t>ORD-00826</t>
        </is>
      </c>
      <c r="B827" s="2" t="inlineStr">
        <is>
          <t>Customer 06</t>
        </is>
      </c>
      <c r="C827" s="2" t="inlineStr">
        <is>
          <t>Drive</t>
        </is>
      </c>
      <c r="D827" s="2" t="inlineStr">
        <is>
          <t>Plant B</t>
        </is>
      </c>
      <c r="E827" s="2" t="inlineStr">
        <is>
          <t>Central</t>
        </is>
      </c>
      <c r="F827" s="12" t="n">
        <v>46087</v>
      </c>
      <c r="G827" s="12" t="n">
        <v>46110</v>
      </c>
      <c r="H827" s="12" t="n">
        <v>46106</v>
      </c>
      <c r="I827" s="12" t="n">
        <v>46106</v>
      </c>
      <c r="J827" s="12" t="n">
        <v>46110</v>
      </c>
      <c r="K827" s="2" t="n">
        <v>742</v>
      </c>
      <c r="L827" s="2" t="inlineStr">
        <is>
          <t>Road</t>
        </is>
      </c>
      <c r="M827" s="2" t="inlineStr">
        <is>
          <t>No Delay</t>
        </is>
      </c>
      <c r="N827" s="4">
        <f>IF(I827&lt;=H827,1,0)</f>
        <v/>
      </c>
      <c r="O827" s="4">
        <f>IF(J827&lt;=G827,1,0)</f>
        <v/>
      </c>
      <c r="P827" s="4">
        <f>MAX(0,I827-H827)</f>
        <v/>
      </c>
      <c r="Q827" s="4">
        <f>MAX(0,J827-G827)</f>
        <v/>
      </c>
      <c r="R827" s="4">
        <f>IF(AND(N827=1,O827=1),"On Track",IF(O827=0,"Customer Delivery Late","Ship Late"))</f>
        <v/>
      </c>
    </row>
    <row r="828">
      <c r="A828" s="2" t="inlineStr">
        <is>
          <t>ORD-00827</t>
        </is>
      </c>
      <c r="B828" s="2" t="inlineStr">
        <is>
          <t>Customer 01</t>
        </is>
      </c>
      <c r="C828" s="2" t="inlineStr">
        <is>
          <t>Drive</t>
        </is>
      </c>
      <c r="D828" s="2" t="inlineStr">
        <is>
          <t>Plant A</t>
        </is>
      </c>
      <c r="E828" s="2" t="inlineStr">
        <is>
          <t>Export</t>
        </is>
      </c>
      <c r="F828" s="12" t="n">
        <v>46041</v>
      </c>
      <c r="G828" s="12" t="n">
        <v>46052</v>
      </c>
      <c r="H828" s="12" t="n">
        <v>46049</v>
      </c>
      <c r="I828" s="12" t="n">
        <v>46048</v>
      </c>
      <c r="J828" s="12" t="n">
        <v>46050</v>
      </c>
      <c r="K828" s="2" t="n">
        <v>1172</v>
      </c>
      <c r="L828" s="2" t="inlineStr">
        <is>
          <t>Air</t>
        </is>
      </c>
      <c r="M828" s="2" t="inlineStr">
        <is>
          <t>No Delay</t>
        </is>
      </c>
      <c r="N828" s="4">
        <f>IF(I828&lt;=H828,1,0)</f>
        <v/>
      </c>
      <c r="O828" s="4">
        <f>IF(J828&lt;=G828,1,0)</f>
        <v/>
      </c>
      <c r="P828" s="4">
        <f>MAX(0,I828-H828)</f>
        <v/>
      </c>
      <c r="Q828" s="4">
        <f>MAX(0,J828-G828)</f>
        <v/>
      </c>
      <c r="R828" s="4">
        <f>IF(AND(N828=1,O828=1),"On Track",IF(O828=0,"Customer Delivery Late","Ship Late"))</f>
        <v/>
      </c>
    </row>
    <row r="829">
      <c r="A829" s="2" t="inlineStr">
        <is>
          <t>ORD-00828</t>
        </is>
      </c>
      <c r="B829" s="2" t="inlineStr">
        <is>
          <t>Customer 09</t>
        </is>
      </c>
      <c r="C829" s="2" t="inlineStr">
        <is>
          <t>Contactor</t>
        </is>
      </c>
      <c r="D829" s="2" t="inlineStr">
        <is>
          <t>Plant C</t>
        </is>
      </c>
      <c r="E829" s="2" t="inlineStr">
        <is>
          <t>Export</t>
        </is>
      </c>
      <c r="F829" s="12" t="n">
        <v>46082</v>
      </c>
      <c r="G829" s="12" t="n">
        <v>46104</v>
      </c>
      <c r="H829" s="12" t="n">
        <v>46103</v>
      </c>
      <c r="I829" s="12" t="n">
        <v>46103</v>
      </c>
      <c r="J829" s="12" t="n">
        <v>46105</v>
      </c>
      <c r="K829" s="2" t="n">
        <v>1407</v>
      </c>
      <c r="L829" s="2" t="inlineStr">
        <is>
          <t>Air</t>
        </is>
      </c>
      <c r="M829" s="2" t="inlineStr">
        <is>
          <t>Capacity Constraint</t>
        </is>
      </c>
      <c r="N829" s="4">
        <f>IF(I829&lt;=H829,1,0)</f>
        <v/>
      </c>
      <c r="O829" s="4">
        <f>IF(J829&lt;=G829,1,0)</f>
        <v/>
      </c>
      <c r="P829" s="4">
        <f>MAX(0,I829-H829)</f>
        <v/>
      </c>
      <c r="Q829" s="4">
        <f>MAX(0,J829-G829)</f>
        <v/>
      </c>
      <c r="R829" s="4">
        <f>IF(AND(N829=1,O829=1),"On Track",IF(O829=0,"Customer Delivery Late","Ship Late"))</f>
        <v/>
      </c>
    </row>
    <row r="830">
      <c r="A830" s="2" t="inlineStr">
        <is>
          <t>ORD-00829</t>
        </is>
      </c>
      <c r="B830" s="2" t="inlineStr">
        <is>
          <t>Customer 14</t>
        </is>
      </c>
      <c r="C830" s="2" t="inlineStr">
        <is>
          <t>Contactor</t>
        </is>
      </c>
      <c r="D830" s="2" t="inlineStr">
        <is>
          <t>Plant A</t>
        </is>
      </c>
      <c r="E830" s="2" t="inlineStr">
        <is>
          <t>Export</t>
        </is>
      </c>
      <c r="F830" s="12" t="n">
        <v>46104</v>
      </c>
      <c r="G830" s="12" t="n">
        <v>46119</v>
      </c>
      <c r="H830" s="12" t="n">
        <v>46117</v>
      </c>
      <c r="I830" s="12" t="n">
        <v>46116</v>
      </c>
      <c r="J830" s="12" t="n">
        <v>46117</v>
      </c>
      <c r="K830" s="2" t="n">
        <v>360</v>
      </c>
      <c r="L830" s="2" t="inlineStr">
        <is>
          <t>Sea</t>
        </is>
      </c>
      <c r="M830" s="2" t="inlineStr">
        <is>
          <t>No Delay</t>
        </is>
      </c>
      <c r="N830" s="4">
        <f>IF(I830&lt;=H830,1,0)</f>
        <v/>
      </c>
      <c r="O830" s="4">
        <f>IF(J830&lt;=G830,1,0)</f>
        <v/>
      </c>
      <c r="P830" s="4">
        <f>MAX(0,I830-H830)</f>
        <v/>
      </c>
      <c r="Q830" s="4">
        <f>MAX(0,J830-G830)</f>
        <v/>
      </c>
      <c r="R830" s="4">
        <f>IF(AND(N830=1,O830=1),"On Track",IF(O830=0,"Customer Delivery Late","Ship Late"))</f>
        <v/>
      </c>
    </row>
    <row r="831">
      <c r="A831" s="2" t="inlineStr">
        <is>
          <t>ORD-00830</t>
        </is>
      </c>
      <c r="B831" s="2" t="inlineStr">
        <is>
          <t>Customer 28</t>
        </is>
      </c>
      <c r="C831" s="2" t="inlineStr">
        <is>
          <t>Breaker</t>
        </is>
      </c>
      <c r="D831" s="2" t="inlineStr">
        <is>
          <t>Plant B</t>
        </is>
      </c>
      <c r="E831" s="2" t="inlineStr">
        <is>
          <t>South</t>
        </is>
      </c>
      <c r="F831" s="12" t="n">
        <v>46106</v>
      </c>
      <c r="G831" s="12" t="n">
        <v>46129</v>
      </c>
      <c r="H831" s="12" t="n">
        <v>46125</v>
      </c>
      <c r="I831" s="12" t="n">
        <v>46123</v>
      </c>
      <c r="J831" s="12" t="n">
        <v>46126</v>
      </c>
      <c r="K831" s="2" t="n">
        <v>278</v>
      </c>
      <c r="L831" s="2" t="inlineStr">
        <is>
          <t>Air</t>
        </is>
      </c>
      <c r="M831" s="2" t="inlineStr">
        <is>
          <t>No Delay</t>
        </is>
      </c>
      <c r="N831" s="4">
        <f>IF(I831&lt;=H831,1,0)</f>
        <v/>
      </c>
      <c r="O831" s="4">
        <f>IF(J831&lt;=G831,1,0)</f>
        <v/>
      </c>
      <c r="P831" s="4">
        <f>MAX(0,I831-H831)</f>
        <v/>
      </c>
      <c r="Q831" s="4">
        <f>MAX(0,J831-G831)</f>
        <v/>
      </c>
      <c r="R831" s="4">
        <f>IF(AND(N831=1,O831=1),"On Track",IF(O831=0,"Customer Delivery Late","Ship Late"))</f>
        <v/>
      </c>
    </row>
    <row r="832">
      <c r="A832" s="2" t="inlineStr">
        <is>
          <t>ORD-00831</t>
        </is>
      </c>
      <c r="B832" s="2" t="inlineStr">
        <is>
          <t>Customer 27</t>
        </is>
      </c>
      <c r="C832" s="2" t="inlineStr">
        <is>
          <t>Power Supply</t>
        </is>
      </c>
      <c r="D832" s="2" t="inlineStr">
        <is>
          <t>Plant C</t>
        </is>
      </c>
      <c r="E832" s="2" t="inlineStr">
        <is>
          <t>South</t>
        </is>
      </c>
      <c r="F832" s="12" t="n">
        <v>46032</v>
      </c>
      <c r="G832" s="12" t="n">
        <v>46054</v>
      </c>
      <c r="H832" s="12" t="n">
        <v>46049</v>
      </c>
      <c r="I832" s="12" t="n">
        <v>46049</v>
      </c>
      <c r="J832" s="12" t="n">
        <v>46053</v>
      </c>
      <c r="K832" s="2" t="n">
        <v>572</v>
      </c>
      <c r="L832" s="2" t="inlineStr">
        <is>
          <t>Air</t>
        </is>
      </c>
      <c r="M832" s="2" t="inlineStr">
        <is>
          <t>No Delay</t>
        </is>
      </c>
      <c r="N832" s="4">
        <f>IF(I832&lt;=H832,1,0)</f>
        <v/>
      </c>
      <c r="O832" s="4">
        <f>IF(J832&lt;=G832,1,0)</f>
        <v/>
      </c>
      <c r="P832" s="4">
        <f>MAX(0,I832-H832)</f>
        <v/>
      </c>
      <c r="Q832" s="4">
        <f>MAX(0,J832-G832)</f>
        <v/>
      </c>
      <c r="R832" s="4">
        <f>IF(AND(N832=1,O832=1),"On Track",IF(O832=0,"Customer Delivery Late","Ship Late"))</f>
        <v/>
      </c>
    </row>
    <row r="833">
      <c r="A833" s="2" t="inlineStr">
        <is>
          <t>ORD-00832</t>
        </is>
      </c>
      <c r="B833" s="2" t="inlineStr">
        <is>
          <t>Customer 10</t>
        </is>
      </c>
      <c r="C833" s="2" t="inlineStr">
        <is>
          <t>Switchgear</t>
        </is>
      </c>
      <c r="D833" s="2" t="inlineStr">
        <is>
          <t>Plant B</t>
        </is>
      </c>
      <c r="E833" s="2" t="inlineStr">
        <is>
          <t>North</t>
        </is>
      </c>
      <c r="F833" s="12" t="n">
        <v>46111</v>
      </c>
      <c r="G833" s="12" t="n">
        <v>46128</v>
      </c>
      <c r="H833" s="12" t="n">
        <v>46127</v>
      </c>
      <c r="I833" s="12" t="n">
        <v>46126</v>
      </c>
      <c r="J833" s="12" t="n">
        <v>46128</v>
      </c>
      <c r="K833" s="2" t="n">
        <v>775</v>
      </c>
      <c r="L833" s="2" t="inlineStr">
        <is>
          <t>Sea</t>
        </is>
      </c>
      <c r="M833" s="2" t="inlineStr">
        <is>
          <t>No Delay</t>
        </is>
      </c>
      <c r="N833" s="4">
        <f>IF(I833&lt;=H833,1,0)</f>
        <v/>
      </c>
      <c r="O833" s="4">
        <f>IF(J833&lt;=G833,1,0)</f>
        <v/>
      </c>
      <c r="P833" s="4">
        <f>MAX(0,I833-H833)</f>
        <v/>
      </c>
      <c r="Q833" s="4">
        <f>MAX(0,J833-G833)</f>
        <v/>
      </c>
      <c r="R833" s="4">
        <f>IF(AND(N833=1,O833=1),"On Track",IF(O833=0,"Customer Delivery Late","Ship Late"))</f>
        <v/>
      </c>
    </row>
    <row r="834">
      <c r="A834" s="2" t="inlineStr">
        <is>
          <t>ORD-00833</t>
        </is>
      </c>
      <c r="B834" s="2" t="inlineStr">
        <is>
          <t>Customer 28</t>
        </is>
      </c>
      <c r="C834" s="2" t="inlineStr">
        <is>
          <t>Power Supply</t>
        </is>
      </c>
      <c r="D834" s="2" t="inlineStr">
        <is>
          <t>Plant A</t>
        </is>
      </c>
      <c r="E834" s="2" t="inlineStr">
        <is>
          <t>Central</t>
        </is>
      </c>
      <c r="F834" s="12" t="n">
        <v>46049</v>
      </c>
      <c r="G834" s="12" t="n">
        <v>46054</v>
      </c>
      <c r="H834" s="12" t="n">
        <v>46052</v>
      </c>
      <c r="I834" s="12" t="n">
        <v>46050</v>
      </c>
      <c r="J834" s="12" t="n">
        <v>46051</v>
      </c>
      <c r="K834" s="2" t="n">
        <v>190</v>
      </c>
      <c r="L834" s="2" t="inlineStr">
        <is>
          <t>Road</t>
        </is>
      </c>
      <c r="M834" s="2" t="inlineStr">
        <is>
          <t>No Delay</t>
        </is>
      </c>
      <c r="N834" s="4">
        <f>IF(I834&lt;=H834,1,0)</f>
        <v/>
      </c>
      <c r="O834" s="4">
        <f>IF(J834&lt;=G834,1,0)</f>
        <v/>
      </c>
      <c r="P834" s="4">
        <f>MAX(0,I834-H834)</f>
        <v/>
      </c>
      <c r="Q834" s="4">
        <f>MAX(0,J834-G834)</f>
        <v/>
      </c>
      <c r="R834" s="4">
        <f>IF(AND(N834=1,O834=1),"On Track",IF(O834=0,"Customer Delivery Late","Ship Late"))</f>
        <v/>
      </c>
    </row>
    <row r="835">
      <c r="A835" s="2" t="inlineStr">
        <is>
          <t>ORD-00834</t>
        </is>
      </c>
      <c r="B835" s="2" t="inlineStr">
        <is>
          <t>Customer 10</t>
        </is>
      </c>
      <c r="C835" s="2" t="inlineStr">
        <is>
          <t>Contactor</t>
        </is>
      </c>
      <c r="D835" s="2" t="inlineStr">
        <is>
          <t>Plant B</t>
        </is>
      </c>
      <c r="E835" s="2" t="inlineStr">
        <is>
          <t>South</t>
        </is>
      </c>
      <c r="F835" s="12" t="n">
        <v>46117</v>
      </c>
      <c r="G835" s="12" t="n">
        <v>46139</v>
      </c>
      <c r="H835" s="12" t="n">
        <v>46138</v>
      </c>
      <c r="I835" s="12" t="n">
        <v>46136</v>
      </c>
      <c r="J835" s="12" t="n">
        <v>46137</v>
      </c>
      <c r="K835" s="2" t="n">
        <v>1418</v>
      </c>
      <c r="L835" s="2" t="inlineStr">
        <is>
          <t>Sea</t>
        </is>
      </c>
      <c r="M835" s="2" t="inlineStr">
        <is>
          <t>No Delay</t>
        </is>
      </c>
      <c r="N835" s="4">
        <f>IF(I835&lt;=H835,1,0)</f>
        <v/>
      </c>
      <c r="O835" s="4">
        <f>IF(J835&lt;=G835,1,0)</f>
        <v/>
      </c>
      <c r="P835" s="4">
        <f>MAX(0,I835-H835)</f>
        <v/>
      </c>
      <c r="Q835" s="4">
        <f>MAX(0,J835-G835)</f>
        <v/>
      </c>
      <c r="R835" s="4">
        <f>IF(AND(N835=1,O835=1),"On Track",IF(O835=0,"Customer Delivery Late","Ship Late"))</f>
        <v/>
      </c>
    </row>
    <row r="836">
      <c r="A836" s="2" t="inlineStr">
        <is>
          <t>ORD-00835</t>
        </is>
      </c>
      <c r="B836" s="2" t="inlineStr">
        <is>
          <t>Customer 28</t>
        </is>
      </c>
      <c r="C836" s="2" t="inlineStr">
        <is>
          <t>Relay</t>
        </is>
      </c>
      <c r="D836" s="2" t="inlineStr">
        <is>
          <t>Plant C</t>
        </is>
      </c>
      <c r="E836" s="2" t="inlineStr">
        <is>
          <t>Export</t>
        </is>
      </c>
      <c r="F836" s="12" t="n">
        <v>46120</v>
      </c>
      <c r="G836" s="12" t="n">
        <v>46133</v>
      </c>
      <c r="H836" s="12" t="n">
        <v>46131</v>
      </c>
      <c r="I836" s="12" t="n">
        <v>46131</v>
      </c>
      <c r="J836" s="12" t="n">
        <v>46132</v>
      </c>
      <c r="K836" s="2" t="n">
        <v>1314</v>
      </c>
      <c r="L836" s="2" t="inlineStr">
        <is>
          <t>Air</t>
        </is>
      </c>
      <c r="M836" s="2" t="inlineStr">
        <is>
          <t>No Delay</t>
        </is>
      </c>
      <c r="N836" s="4">
        <f>IF(I836&lt;=H836,1,0)</f>
        <v/>
      </c>
      <c r="O836" s="4">
        <f>IF(J836&lt;=G836,1,0)</f>
        <v/>
      </c>
      <c r="P836" s="4">
        <f>MAX(0,I836-H836)</f>
        <v/>
      </c>
      <c r="Q836" s="4">
        <f>MAX(0,J836-G836)</f>
        <v/>
      </c>
      <c r="R836" s="4">
        <f>IF(AND(N836=1,O836=1),"On Track",IF(O836=0,"Customer Delivery Late","Ship Late"))</f>
        <v/>
      </c>
    </row>
    <row r="837">
      <c r="A837" s="2" t="inlineStr">
        <is>
          <t>ORD-00836</t>
        </is>
      </c>
      <c r="B837" s="2" t="inlineStr">
        <is>
          <t>Customer 11</t>
        </is>
      </c>
      <c r="C837" s="2" t="inlineStr">
        <is>
          <t>Switchgear</t>
        </is>
      </c>
      <c r="D837" s="2" t="inlineStr">
        <is>
          <t>Plant A</t>
        </is>
      </c>
      <c r="E837" s="2" t="inlineStr">
        <is>
          <t>North</t>
        </is>
      </c>
      <c r="F837" s="12" t="n">
        <v>46194</v>
      </c>
      <c r="G837" s="12" t="n">
        <v>46202</v>
      </c>
      <c r="H837" s="12" t="n">
        <v>46197</v>
      </c>
      <c r="I837" s="12" t="n">
        <v>46197</v>
      </c>
      <c r="J837" s="12" t="n">
        <v>46202</v>
      </c>
      <c r="K837" s="2" t="n">
        <v>550</v>
      </c>
      <c r="L837" s="2" t="inlineStr">
        <is>
          <t>Air</t>
        </is>
      </c>
      <c r="M837" s="2" t="inlineStr">
        <is>
          <t>No Delay</t>
        </is>
      </c>
      <c r="N837" s="4">
        <f>IF(I837&lt;=H837,1,0)</f>
        <v/>
      </c>
      <c r="O837" s="4">
        <f>IF(J837&lt;=G837,1,0)</f>
        <v/>
      </c>
      <c r="P837" s="4">
        <f>MAX(0,I837-H837)</f>
        <v/>
      </c>
      <c r="Q837" s="4">
        <f>MAX(0,J837-G837)</f>
        <v/>
      </c>
      <c r="R837" s="4">
        <f>IF(AND(N837=1,O837=1),"On Track",IF(O837=0,"Customer Delivery Late","Ship Late"))</f>
        <v/>
      </c>
    </row>
    <row r="838">
      <c r="A838" s="2" t="inlineStr">
        <is>
          <t>ORD-00837</t>
        </is>
      </c>
      <c r="B838" s="2" t="inlineStr">
        <is>
          <t>Customer 16</t>
        </is>
      </c>
      <c r="C838" s="2" t="inlineStr">
        <is>
          <t>Breaker</t>
        </is>
      </c>
      <c r="D838" s="2" t="inlineStr">
        <is>
          <t>Plant A</t>
        </is>
      </c>
      <c r="E838" s="2" t="inlineStr">
        <is>
          <t>North</t>
        </is>
      </c>
      <c r="F838" s="12" t="n">
        <v>46044</v>
      </c>
      <c r="G838" s="12" t="n">
        <v>46060</v>
      </c>
      <c r="H838" s="12" t="n">
        <v>46055</v>
      </c>
      <c r="I838" s="12" t="n">
        <v>46053</v>
      </c>
      <c r="J838" s="12" t="n">
        <v>46057</v>
      </c>
      <c r="K838" s="2" t="n">
        <v>1383</v>
      </c>
      <c r="L838" s="2" t="inlineStr">
        <is>
          <t>Road</t>
        </is>
      </c>
      <c r="M838" s="2" t="inlineStr">
        <is>
          <t>No Delay</t>
        </is>
      </c>
      <c r="N838" s="4">
        <f>IF(I838&lt;=H838,1,0)</f>
        <v/>
      </c>
      <c r="O838" s="4">
        <f>IF(J838&lt;=G838,1,0)</f>
        <v/>
      </c>
      <c r="P838" s="4">
        <f>MAX(0,I838-H838)</f>
        <v/>
      </c>
      <c r="Q838" s="4">
        <f>MAX(0,J838-G838)</f>
        <v/>
      </c>
      <c r="R838" s="4">
        <f>IF(AND(N838=1,O838=1),"On Track",IF(O838=0,"Customer Delivery Late","Ship Late"))</f>
        <v/>
      </c>
    </row>
    <row r="839">
      <c r="A839" s="2" t="inlineStr">
        <is>
          <t>ORD-00838</t>
        </is>
      </c>
      <c r="B839" s="2" t="inlineStr">
        <is>
          <t>Customer 17</t>
        </is>
      </c>
      <c r="C839" s="2" t="inlineStr">
        <is>
          <t>Drive</t>
        </is>
      </c>
      <c r="D839" s="2" t="inlineStr">
        <is>
          <t>Plant B</t>
        </is>
      </c>
      <c r="E839" s="2" t="inlineStr">
        <is>
          <t>Export</t>
        </is>
      </c>
      <c r="F839" s="12" t="n">
        <v>46142</v>
      </c>
      <c r="G839" s="12" t="n">
        <v>46159</v>
      </c>
      <c r="H839" s="12" t="n">
        <v>46157</v>
      </c>
      <c r="I839" s="12" t="n">
        <v>46156</v>
      </c>
      <c r="J839" s="12" t="n">
        <v>46159</v>
      </c>
      <c r="K839" s="2" t="n">
        <v>1352</v>
      </c>
      <c r="L839" s="2" t="inlineStr">
        <is>
          <t>Road</t>
        </is>
      </c>
      <c r="M839" s="2" t="inlineStr">
        <is>
          <t>No Delay</t>
        </is>
      </c>
      <c r="N839" s="4">
        <f>IF(I839&lt;=H839,1,0)</f>
        <v/>
      </c>
      <c r="O839" s="4">
        <f>IF(J839&lt;=G839,1,0)</f>
        <v/>
      </c>
      <c r="P839" s="4">
        <f>MAX(0,I839-H839)</f>
        <v/>
      </c>
      <c r="Q839" s="4">
        <f>MAX(0,J839-G839)</f>
        <v/>
      </c>
      <c r="R839" s="4">
        <f>IF(AND(N839=1,O839=1),"On Track",IF(O839=0,"Customer Delivery Late","Ship Late"))</f>
        <v/>
      </c>
    </row>
    <row r="840">
      <c r="A840" s="2" t="inlineStr">
        <is>
          <t>ORD-00839</t>
        </is>
      </c>
      <c r="B840" s="2" t="inlineStr">
        <is>
          <t>Customer 17</t>
        </is>
      </c>
      <c r="C840" s="2" t="inlineStr">
        <is>
          <t>PLC</t>
        </is>
      </c>
      <c r="D840" s="2" t="inlineStr">
        <is>
          <t>Plant B</t>
        </is>
      </c>
      <c r="E840" s="2" t="inlineStr">
        <is>
          <t>Central</t>
        </is>
      </c>
      <c r="F840" s="12" t="n">
        <v>46152</v>
      </c>
      <c r="G840" s="12" t="n">
        <v>46160</v>
      </c>
      <c r="H840" s="12" t="n">
        <v>46158</v>
      </c>
      <c r="I840" s="12" t="n">
        <v>46157</v>
      </c>
      <c r="J840" s="12" t="n">
        <v>46159</v>
      </c>
      <c r="K840" s="2" t="n">
        <v>150</v>
      </c>
      <c r="L840" s="2" t="inlineStr">
        <is>
          <t>Air</t>
        </is>
      </c>
      <c r="M840" s="2" t="inlineStr">
        <is>
          <t>No Delay</t>
        </is>
      </c>
      <c r="N840" s="4">
        <f>IF(I840&lt;=H840,1,0)</f>
        <v/>
      </c>
      <c r="O840" s="4">
        <f>IF(J840&lt;=G840,1,0)</f>
        <v/>
      </c>
      <c r="P840" s="4">
        <f>MAX(0,I840-H840)</f>
        <v/>
      </c>
      <c r="Q840" s="4">
        <f>MAX(0,J840-G840)</f>
        <v/>
      </c>
      <c r="R840" s="4">
        <f>IF(AND(N840=1,O840=1),"On Track",IF(O840=0,"Customer Delivery Late","Ship Late"))</f>
        <v/>
      </c>
    </row>
    <row r="841">
      <c r="A841" s="2" t="inlineStr">
        <is>
          <t>ORD-00840</t>
        </is>
      </c>
      <c r="B841" s="2" t="inlineStr">
        <is>
          <t>Customer 04</t>
        </is>
      </c>
      <c r="C841" s="2" t="inlineStr">
        <is>
          <t>Contactor</t>
        </is>
      </c>
      <c r="D841" s="2" t="inlineStr">
        <is>
          <t>Plant A</t>
        </is>
      </c>
      <c r="E841" s="2" t="inlineStr">
        <is>
          <t>North</t>
        </is>
      </c>
      <c r="F841" s="12" t="n">
        <v>46131</v>
      </c>
      <c r="G841" s="12" t="n">
        <v>46141</v>
      </c>
      <c r="H841" s="12" t="n">
        <v>46138</v>
      </c>
      <c r="I841" s="12" t="n">
        <v>46138</v>
      </c>
      <c r="J841" s="12" t="n">
        <v>46141</v>
      </c>
      <c r="K841" s="2" t="n">
        <v>953</v>
      </c>
      <c r="L841" s="2" t="inlineStr">
        <is>
          <t>Road</t>
        </is>
      </c>
      <c r="M841" s="2" t="inlineStr">
        <is>
          <t>No Delay</t>
        </is>
      </c>
      <c r="N841" s="4">
        <f>IF(I841&lt;=H841,1,0)</f>
        <v/>
      </c>
      <c r="O841" s="4">
        <f>IF(J841&lt;=G841,1,0)</f>
        <v/>
      </c>
      <c r="P841" s="4">
        <f>MAX(0,I841-H841)</f>
        <v/>
      </c>
      <c r="Q841" s="4">
        <f>MAX(0,J841-G841)</f>
        <v/>
      </c>
      <c r="R841" s="4">
        <f>IF(AND(N841=1,O841=1),"On Track",IF(O841=0,"Customer Delivery Late","Ship Late"))</f>
        <v/>
      </c>
    </row>
    <row r="842">
      <c r="A842" s="2" t="inlineStr">
        <is>
          <t>ORD-00841</t>
        </is>
      </c>
      <c r="B842" s="2" t="inlineStr">
        <is>
          <t>Customer 18</t>
        </is>
      </c>
      <c r="C842" s="2" t="inlineStr">
        <is>
          <t>Contactor</t>
        </is>
      </c>
      <c r="D842" s="2" t="inlineStr">
        <is>
          <t>Plant B</t>
        </is>
      </c>
      <c r="E842" s="2" t="inlineStr">
        <is>
          <t>Export</t>
        </is>
      </c>
      <c r="F842" s="12" t="n">
        <v>46091</v>
      </c>
      <c r="G842" s="12" t="n">
        <v>46096</v>
      </c>
      <c r="H842" s="12" t="n">
        <v>46092</v>
      </c>
      <c r="I842" s="12" t="n">
        <v>46091</v>
      </c>
      <c r="J842" s="12" t="n">
        <v>46095</v>
      </c>
      <c r="K842" s="2" t="n">
        <v>444</v>
      </c>
      <c r="L842" s="2" t="inlineStr">
        <is>
          <t>Road</t>
        </is>
      </c>
      <c r="M842" s="2" t="inlineStr">
        <is>
          <t>No Delay</t>
        </is>
      </c>
      <c r="N842" s="4">
        <f>IF(I842&lt;=H842,1,0)</f>
        <v/>
      </c>
      <c r="O842" s="4">
        <f>IF(J842&lt;=G842,1,0)</f>
        <v/>
      </c>
      <c r="P842" s="4">
        <f>MAX(0,I842-H842)</f>
        <v/>
      </c>
      <c r="Q842" s="4">
        <f>MAX(0,J842-G842)</f>
        <v/>
      </c>
      <c r="R842" s="4">
        <f>IF(AND(N842=1,O842=1),"On Track",IF(O842=0,"Customer Delivery Late","Ship Late"))</f>
        <v/>
      </c>
    </row>
    <row r="843">
      <c r="A843" s="2" t="inlineStr">
        <is>
          <t>ORD-00842</t>
        </is>
      </c>
      <c r="B843" s="2" t="inlineStr">
        <is>
          <t>Customer 02</t>
        </is>
      </c>
      <c r="C843" s="2" t="inlineStr">
        <is>
          <t>Power Supply</t>
        </is>
      </c>
      <c r="D843" s="2" t="inlineStr">
        <is>
          <t>Plant C</t>
        </is>
      </c>
      <c r="E843" s="2" t="inlineStr">
        <is>
          <t>Export</t>
        </is>
      </c>
      <c r="F843" s="12" t="n">
        <v>46124</v>
      </c>
      <c r="G843" s="12" t="n">
        <v>46145</v>
      </c>
      <c r="H843" s="12" t="n">
        <v>46141</v>
      </c>
      <c r="I843" s="12" t="n">
        <v>46139</v>
      </c>
      <c r="J843" s="12" t="n">
        <v>46143</v>
      </c>
      <c r="K843" s="2" t="n">
        <v>407</v>
      </c>
      <c r="L843" s="2" t="inlineStr">
        <is>
          <t>Air</t>
        </is>
      </c>
      <c r="M843" s="2" t="inlineStr">
        <is>
          <t>No Delay</t>
        </is>
      </c>
      <c r="N843" s="4">
        <f>IF(I843&lt;=H843,1,0)</f>
        <v/>
      </c>
      <c r="O843" s="4">
        <f>IF(J843&lt;=G843,1,0)</f>
        <v/>
      </c>
      <c r="P843" s="4">
        <f>MAX(0,I843-H843)</f>
        <v/>
      </c>
      <c r="Q843" s="4">
        <f>MAX(0,J843-G843)</f>
        <v/>
      </c>
      <c r="R843" s="4">
        <f>IF(AND(N843=1,O843=1),"On Track",IF(O843=0,"Customer Delivery Late","Ship Late"))</f>
        <v/>
      </c>
    </row>
    <row r="844">
      <c r="A844" s="2" t="inlineStr">
        <is>
          <t>ORD-00843</t>
        </is>
      </c>
      <c r="B844" s="2" t="inlineStr">
        <is>
          <t>Customer 02</t>
        </is>
      </c>
      <c r="C844" s="2" t="inlineStr">
        <is>
          <t>PLC</t>
        </is>
      </c>
      <c r="D844" s="2" t="inlineStr">
        <is>
          <t>Plant A</t>
        </is>
      </c>
      <c r="E844" s="2" t="inlineStr">
        <is>
          <t>Central</t>
        </is>
      </c>
      <c r="F844" s="12" t="n">
        <v>46071</v>
      </c>
      <c r="G844" s="12" t="n">
        <v>46088</v>
      </c>
      <c r="H844" s="12" t="n">
        <v>46086</v>
      </c>
      <c r="I844" s="12" t="n">
        <v>46086</v>
      </c>
      <c r="J844" s="12" t="n">
        <v>46089</v>
      </c>
      <c r="K844" s="2" t="n">
        <v>245</v>
      </c>
      <c r="L844" s="2" t="inlineStr">
        <is>
          <t>Road</t>
        </is>
      </c>
      <c r="M844" s="2" t="inlineStr">
        <is>
          <t>Customer Change</t>
        </is>
      </c>
      <c r="N844" s="4">
        <f>IF(I844&lt;=H844,1,0)</f>
        <v/>
      </c>
      <c r="O844" s="4">
        <f>IF(J844&lt;=G844,1,0)</f>
        <v/>
      </c>
      <c r="P844" s="4">
        <f>MAX(0,I844-H844)</f>
        <v/>
      </c>
      <c r="Q844" s="4">
        <f>MAX(0,J844-G844)</f>
        <v/>
      </c>
      <c r="R844" s="4">
        <f>IF(AND(N844=1,O844=1),"On Track",IF(O844=0,"Customer Delivery Late","Ship Late"))</f>
        <v/>
      </c>
    </row>
    <row r="845">
      <c r="A845" s="2" t="inlineStr">
        <is>
          <t>ORD-00844</t>
        </is>
      </c>
      <c r="B845" s="2" t="inlineStr">
        <is>
          <t>Customer 20</t>
        </is>
      </c>
      <c r="C845" s="2" t="inlineStr">
        <is>
          <t>Power Supply</t>
        </is>
      </c>
      <c r="D845" s="2" t="inlineStr">
        <is>
          <t>Plant B</t>
        </is>
      </c>
      <c r="E845" s="2" t="inlineStr">
        <is>
          <t>Export</t>
        </is>
      </c>
      <c r="F845" s="12" t="n">
        <v>46032</v>
      </c>
      <c r="G845" s="12" t="n">
        <v>46055</v>
      </c>
      <c r="H845" s="12" t="n">
        <v>46052</v>
      </c>
      <c r="I845" s="12" t="n">
        <v>46052</v>
      </c>
      <c r="J845" s="12" t="n">
        <v>46055</v>
      </c>
      <c r="K845" s="2" t="n">
        <v>217</v>
      </c>
      <c r="L845" s="2" t="inlineStr">
        <is>
          <t>Road</t>
        </is>
      </c>
      <c r="M845" s="2" t="inlineStr">
        <is>
          <t>No Delay</t>
        </is>
      </c>
      <c r="N845" s="4">
        <f>IF(I845&lt;=H845,1,0)</f>
        <v/>
      </c>
      <c r="O845" s="4">
        <f>IF(J845&lt;=G845,1,0)</f>
        <v/>
      </c>
      <c r="P845" s="4">
        <f>MAX(0,I845-H845)</f>
        <v/>
      </c>
      <c r="Q845" s="4">
        <f>MAX(0,J845-G845)</f>
        <v/>
      </c>
      <c r="R845" s="4">
        <f>IF(AND(N845=1,O845=1),"On Track",IF(O845=0,"Customer Delivery Late","Ship Late"))</f>
        <v/>
      </c>
    </row>
    <row r="846">
      <c r="A846" s="2" t="inlineStr">
        <is>
          <t>ORD-00845</t>
        </is>
      </c>
      <c r="B846" s="2" t="inlineStr">
        <is>
          <t>Customer 10</t>
        </is>
      </c>
      <c r="C846" s="2" t="inlineStr">
        <is>
          <t>Breaker</t>
        </is>
      </c>
      <c r="D846" s="2" t="inlineStr">
        <is>
          <t>Plant A</t>
        </is>
      </c>
      <c r="E846" s="2" t="inlineStr">
        <is>
          <t>Central</t>
        </is>
      </c>
      <c r="F846" s="12" t="n">
        <v>46200</v>
      </c>
      <c r="G846" s="12" t="n">
        <v>46213</v>
      </c>
      <c r="H846" s="12" t="n">
        <v>46209</v>
      </c>
      <c r="I846" s="12" t="n">
        <v>46207</v>
      </c>
      <c r="J846" s="12" t="n">
        <v>46211</v>
      </c>
      <c r="K846" s="2" t="n">
        <v>1040</v>
      </c>
      <c r="L846" s="2" t="inlineStr">
        <is>
          <t>Sea</t>
        </is>
      </c>
      <c r="M846" s="2" t="inlineStr">
        <is>
          <t>No Delay</t>
        </is>
      </c>
      <c r="N846" s="4">
        <f>IF(I846&lt;=H846,1,0)</f>
        <v/>
      </c>
      <c r="O846" s="4">
        <f>IF(J846&lt;=G846,1,0)</f>
        <v/>
      </c>
      <c r="P846" s="4">
        <f>MAX(0,I846-H846)</f>
        <v/>
      </c>
      <c r="Q846" s="4">
        <f>MAX(0,J846-G846)</f>
        <v/>
      </c>
      <c r="R846" s="4">
        <f>IF(AND(N846=1,O846=1),"On Track",IF(O846=0,"Customer Delivery Late","Ship Late"))</f>
        <v/>
      </c>
    </row>
    <row r="847">
      <c r="A847" s="2" t="inlineStr">
        <is>
          <t>ORD-00846</t>
        </is>
      </c>
      <c r="B847" s="2" t="inlineStr">
        <is>
          <t>Customer 03</t>
        </is>
      </c>
      <c r="C847" s="2" t="inlineStr">
        <is>
          <t>Relay</t>
        </is>
      </c>
      <c r="D847" s="2" t="inlineStr">
        <is>
          <t>Plant A</t>
        </is>
      </c>
      <c r="E847" s="2" t="inlineStr">
        <is>
          <t>South</t>
        </is>
      </c>
      <c r="F847" s="12" t="n">
        <v>46182</v>
      </c>
      <c r="G847" s="12" t="n">
        <v>46202</v>
      </c>
      <c r="H847" s="12" t="n">
        <v>46199</v>
      </c>
      <c r="I847" s="12" t="n">
        <v>46199</v>
      </c>
      <c r="J847" s="12" t="n">
        <v>46202</v>
      </c>
      <c r="K847" s="2" t="n">
        <v>942</v>
      </c>
      <c r="L847" s="2" t="inlineStr">
        <is>
          <t>Road</t>
        </is>
      </c>
      <c r="M847" s="2" t="inlineStr">
        <is>
          <t>No Delay</t>
        </is>
      </c>
      <c r="N847" s="4">
        <f>IF(I847&lt;=H847,1,0)</f>
        <v/>
      </c>
      <c r="O847" s="4">
        <f>IF(J847&lt;=G847,1,0)</f>
        <v/>
      </c>
      <c r="P847" s="4">
        <f>MAX(0,I847-H847)</f>
        <v/>
      </c>
      <c r="Q847" s="4">
        <f>MAX(0,J847-G847)</f>
        <v/>
      </c>
      <c r="R847" s="4">
        <f>IF(AND(N847=1,O847=1),"On Track",IF(O847=0,"Customer Delivery Late","Ship Late"))</f>
        <v/>
      </c>
    </row>
    <row r="848">
      <c r="A848" s="2" t="inlineStr">
        <is>
          <t>ORD-00847</t>
        </is>
      </c>
      <c r="B848" s="2" t="inlineStr">
        <is>
          <t>Customer 25</t>
        </is>
      </c>
      <c r="C848" s="2" t="inlineStr">
        <is>
          <t>Breaker</t>
        </is>
      </c>
      <c r="D848" s="2" t="inlineStr">
        <is>
          <t>Plant C</t>
        </is>
      </c>
      <c r="E848" s="2" t="inlineStr">
        <is>
          <t>South</t>
        </is>
      </c>
      <c r="F848" s="12" t="n">
        <v>46026</v>
      </c>
      <c r="G848" s="12" t="n">
        <v>46046</v>
      </c>
      <c r="H848" s="12" t="n">
        <v>46042</v>
      </c>
      <c r="I848" s="12" t="n">
        <v>46040</v>
      </c>
      <c r="J848" s="12" t="n">
        <v>46043</v>
      </c>
      <c r="K848" s="2" t="n">
        <v>980</v>
      </c>
      <c r="L848" s="2" t="inlineStr">
        <is>
          <t>Sea</t>
        </is>
      </c>
      <c r="M848" s="2" t="inlineStr">
        <is>
          <t>No Delay</t>
        </is>
      </c>
      <c r="N848" s="4">
        <f>IF(I848&lt;=H848,1,0)</f>
        <v/>
      </c>
      <c r="O848" s="4">
        <f>IF(J848&lt;=G848,1,0)</f>
        <v/>
      </c>
      <c r="P848" s="4">
        <f>MAX(0,I848-H848)</f>
        <v/>
      </c>
      <c r="Q848" s="4">
        <f>MAX(0,J848-G848)</f>
        <v/>
      </c>
      <c r="R848" s="4">
        <f>IF(AND(N848=1,O848=1),"On Track",IF(O848=0,"Customer Delivery Late","Ship Late"))</f>
        <v/>
      </c>
    </row>
    <row r="849">
      <c r="A849" s="2" t="inlineStr">
        <is>
          <t>ORD-00848</t>
        </is>
      </c>
      <c r="B849" s="2" t="inlineStr">
        <is>
          <t>Customer 10</t>
        </is>
      </c>
      <c r="C849" s="2" t="inlineStr">
        <is>
          <t>PLC</t>
        </is>
      </c>
      <c r="D849" s="2" t="inlineStr">
        <is>
          <t>Plant C</t>
        </is>
      </c>
      <c r="E849" s="2" t="inlineStr">
        <is>
          <t>Central</t>
        </is>
      </c>
      <c r="F849" s="12" t="n">
        <v>46023</v>
      </c>
      <c r="G849" s="12" t="n">
        <v>46043</v>
      </c>
      <c r="H849" s="12" t="n">
        <v>46041</v>
      </c>
      <c r="I849" s="12" t="n">
        <v>46039</v>
      </c>
      <c r="J849" s="12" t="n">
        <v>46042</v>
      </c>
      <c r="K849" s="2" t="n">
        <v>310</v>
      </c>
      <c r="L849" s="2" t="inlineStr">
        <is>
          <t>Road</t>
        </is>
      </c>
      <c r="M849" s="2" t="inlineStr">
        <is>
          <t>No Delay</t>
        </is>
      </c>
      <c r="N849" s="4">
        <f>IF(I849&lt;=H849,1,0)</f>
        <v/>
      </c>
      <c r="O849" s="4">
        <f>IF(J849&lt;=G849,1,0)</f>
        <v/>
      </c>
      <c r="P849" s="4">
        <f>MAX(0,I849-H849)</f>
        <v/>
      </c>
      <c r="Q849" s="4">
        <f>MAX(0,J849-G849)</f>
        <v/>
      </c>
      <c r="R849" s="4">
        <f>IF(AND(N849=1,O849=1),"On Track",IF(O849=0,"Customer Delivery Late","Ship Late"))</f>
        <v/>
      </c>
    </row>
    <row r="850">
      <c r="A850" s="2" t="inlineStr">
        <is>
          <t>ORD-00849</t>
        </is>
      </c>
      <c r="B850" s="2" t="inlineStr">
        <is>
          <t>Customer 09</t>
        </is>
      </c>
      <c r="C850" s="2" t="inlineStr">
        <is>
          <t>Drive</t>
        </is>
      </c>
      <c r="D850" s="2" t="inlineStr">
        <is>
          <t>Plant B</t>
        </is>
      </c>
      <c r="E850" s="2" t="inlineStr">
        <is>
          <t>North</t>
        </is>
      </c>
      <c r="F850" s="12" t="n">
        <v>46048</v>
      </c>
      <c r="G850" s="12" t="n">
        <v>46062</v>
      </c>
      <c r="H850" s="12" t="n">
        <v>46059</v>
      </c>
      <c r="I850" s="12" t="n">
        <v>46059</v>
      </c>
      <c r="J850" s="12" t="n">
        <v>46063</v>
      </c>
      <c r="K850" s="2" t="n">
        <v>732</v>
      </c>
      <c r="L850" s="2" t="inlineStr">
        <is>
          <t>Air</t>
        </is>
      </c>
      <c r="M850" s="2" t="inlineStr">
        <is>
          <t>Documentation Issue</t>
        </is>
      </c>
      <c r="N850" s="4">
        <f>IF(I850&lt;=H850,1,0)</f>
        <v/>
      </c>
      <c r="O850" s="4">
        <f>IF(J850&lt;=G850,1,0)</f>
        <v/>
      </c>
      <c r="P850" s="4">
        <f>MAX(0,I850-H850)</f>
        <v/>
      </c>
      <c r="Q850" s="4">
        <f>MAX(0,J850-G850)</f>
        <v/>
      </c>
      <c r="R850" s="4">
        <f>IF(AND(N850=1,O850=1),"On Track",IF(O850=0,"Customer Delivery Late","Ship Late"))</f>
        <v/>
      </c>
    </row>
    <row r="851">
      <c r="A851" s="2" t="inlineStr">
        <is>
          <t>ORD-00850</t>
        </is>
      </c>
      <c r="B851" s="2" t="inlineStr">
        <is>
          <t>Customer 28</t>
        </is>
      </c>
      <c r="C851" s="2" t="inlineStr">
        <is>
          <t>PLC</t>
        </is>
      </c>
      <c r="D851" s="2" t="inlineStr">
        <is>
          <t>Plant C</t>
        </is>
      </c>
      <c r="E851" s="2" t="inlineStr">
        <is>
          <t>Central</t>
        </is>
      </c>
      <c r="F851" s="12" t="n">
        <v>46108</v>
      </c>
      <c r="G851" s="12" t="n">
        <v>46129</v>
      </c>
      <c r="H851" s="12" t="n">
        <v>46124</v>
      </c>
      <c r="I851" s="12" t="n">
        <v>46123</v>
      </c>
      <c r="J851" s="12" t="n">
        <v>46128</v>
      </c>
      <c r="K851" s="2" t="n">
        <v>741</v>
      </c>
      <c r="L851" s="2" t="inlineStr">
        <is>
          <t>Air</t>
        </is>
      </c>
      <c r="M851" s="2" t="inlineStr">
        <is>
          <t>No Delay</t>
        </is>
      </c>
      <c r="N851" s="4">
        <f>IF(I851&lt;=H851,1,0)</f>
        <v/>
      </c>
      <c r="O851" s="4">
        <f>IF(J851&lt;=G851,1,0)</f>
        <v/>
      </c>
      <c r="P851" s="4">
        <f>MAX(0,I851-H851)</f>
        <v/>
      </c>
      <c r="Q851" s="4">
        <f>MAX(0,J851-G851)</f>
        <v/>
      </c>
      <c r="R851" s="4">
        <f>IF(AND(N851=1,O851=1),"On Track",IF(O851=0,"Customer Delivery Late","Ship Late"))</f>
        <v/>
      </c>
    </row>
    <row r="852">
      <c r="A852" s="2" t="inlineStr">
        <is>
          <t>ORD-00851</t>
        </is>
      </c>
      <c r="B852" s="2" t="inlineStr">
        <is>
          <t>Customer 07</t>
        </is>
      </c>
      <c r="C852" s="2" t="inlineStr">
        <is>
          <t>Power Supply</t>
        </is>
      </c>
      <c r="D852" s="2" t="inlineStr">
        <is>
          <t>Plant C</t>
        </is>
      </c>
      <c r="E852" s="2" t="inlineStr">
        <is>
          <t>North</t>
        </is>
      </c>
      <c r="F852" s="12" t="n">
        <v>46030</v>
      </c>
      <c r="G852" s="12" t="n">
        <v>46042</v>
      </c>
      <c r="H852" s="12" t="n">
        <v>46037</v>
      </c>
      <c r="I852" s="12" t="n">
        <v>46036</v>
      </c>
      <c r="J852" s="12" t="n">
        <v>46041</v>
      </c>
      <c r="K852" s="2" t="n">
        <v>570</v>
      </c>
      <c r="L852" s="2" t="inlineStr">
        <is>
          <t>Sea</t>
        </is>
      </c>
      <c r="M852" s="2" t="inlineStr">
        <is>
          <t>No Delay</t>
        </is>
      </c>
      <c r="N852" s="4">
        <f>IF(I852&lt;=H852,1,0)</f>
        <v/>
      </c>
      <c r="O852" s="4">
        <f>IF(J852&lt;=G852,1,0)</f>
        <v/>
      </c>
      <c r="P852" s="4">
        <f>MAX(0,I852-H852)</f>
        <v/>
      </c>
      <c r="Q852" s="4">
        <f>MAX(0,J852-G852)</f>
        <v/>
      </c>
      <c r="R852" s="4">
        <f>IF(AND(N852=1,O852=1),"On Track",IF(O852=0,"Customer Delivery Late","Ship Late"))</f>
        <v/>
      </c>
    </row>
    <row r="853">
      <c r="A853" s="2" t="inlineStr">
        <is>
          <t>ORD-00852</t>
        </is>
      </c>
      <c r="B853" s="2" t="inlineStr">
        <is>
          <t>Customer 19</t>
        </is>
      </c>
      <c r="C853" s="2" t="inlineStr">
        <is>
          <t>Power Supply</t>
        </is>
      </c>
      <c r="D853" s="2" t="inlineStr">
        <is>
          <t>Plant B</t>
        </is>
      </c>
      <c r="E853" s="2" t="inlineStr">
        <is>
          <t>South</t>
        </is>
      </c>
      <c r="F853" s="12" t="n">
        <v>46196</v>
      </c>
      <c r="G853" s="12" t="n">
        <v>46218</v>
      </c>
      <c r="H853" s="12" t="n">
        <v>46214</v>
      </c>
      <c r="I853" s="12" t="n">
        <v>46217</v>
      </c>
      <c r="J853" s="12" t="n">
        <v>46221</v>
      </c>
      <c r="K853" s="2" t="n">
        <v>400</v>
      </c>
      <c r="L853" s="2" t="inlineStr">
        <is>
          <t>Road</t>
        </is>
      </c>
      <c r="M853" s="2" t="inlineStr">
        <is>
          <t>Documentation Issue</t>
        </is>
      </c>
      <c r="N853" s="4">
        <f>IF(I853&lt;=H853,1,0)</f>
        <v/>
      </c>
      <c r="O853" s="4">
        <f>IF(J853&lt;=G853,1,0)</f>
        <v/>
      </c>
      <c r="P853" s="4">
        <f>MAX(0,I853-H853)</f>
        <v/>
      </c>
      <c r="Q853" s="4">
        <f>MAX(0,J853-G853)</f>
        <v/>
      </c>
      <c r="R853" s="4">
        <f>IF(AND(N853=1,O853=1),"On Track",IF(O853=0,"Customer Delivery Late","Ship Late"))</f>
        <v/>
      </c>
    </row>
    <row r="854">
      <c r="A854" s="2" t="inlineStr">
        <is>
          <t>ORD-00853</t>
        </is>
      </c>
      <c r="B854" s="2" t="inlineStr">
        <is>
          <t>Customer 26</t>
        </is>
      </c>
      <c r="C854" s="2" t="inlineStr">
        <is>
          <t>Drive</t>
        </is>
      </c>
      <c r="D854" s="2" t="inlineStr">
        <is>
          <t>Plant B</t>
        </is>
      </c>
      <c r="E854" s="2" t="inlineStr">
        <is>
          <t>North</t>
        </is>
      </c>
      <c r="F854" s="12" t="n">
        <v>46171</v>
      </c>
      <c r="G854" s="12" t="n">
        <v>46192</v>
      </c>
      <c r="H854" s="12" t="n">
        <v>46189</v>
      </c>
      <c r="I854" s="12" t="n">
        <v>46187</v>
      </c>
      <c r="J854" s="12" t="n">
        <v>46190</v>
      </c>
      <c r="K854" s="2" t="n">
        <v>27</v>
      </c>
      <c r="L854" s="2" t="inlineStr">
        <is>
          <t>Air</t>
        </is>
      </c>
      <c r="M854" s="2" t="inlineStr">
        <is>
          <t>No Delay</t>
        </is>
      </c>
      <c r="N854" s="4">
        <f>IF(I854&lt;=H854,1,0)</f>
        <v/>
      </c>
      <c r="O854" s="4">
        <f>IF(J854&lt;=G854,1,0)</f>
        <v/>
      </c>
      <c r="P854" s="4">
        <f>MAX(0,I854-H854)</f>
        <v/>
      </c>
      <c r="Q854" s="4">
        <f>MAX(0,J854-G854)</f>
        <v/>
      </c>
      <c r="R854" s="4">
        <f>IF(AND(N854=1,O854=1),"On Track",IF(O854=0,"Customer Delivery Late","Ship Late"))</f>
        <v/>
      </c>
    </row>
    <row r="855">
      <c r="A855" s="2" t="inlineStr">
        <is>
          <t>ORD-00854</t>
        </is>
      </c>
      <c r="B855" s="2" t="inlineStr">
        <is>
          <t>Customer 10</t>
        </is>
      </c>
      <c r="C855" s="2" t="inlineStr">
        <is>
          <t>Switchgear</t>
        </is>
      </c>
      <c r="D855" s="2" t="inlineStr">
        <is>
          <t>Plant B</t>
        </is>
      </c>
      <c r="E855" s="2" t="inlineStr">
        <is>
          <t>North</t>
        </is>
      </c>
      <c r="F855" s="12" t="n">
        <v>46198</v>
      </c>
      <c r="G855" s="12" t="n">
        <v>46207</v>
      </c>
      <c r="H855" s="12" t="n">
        <v>46203</v>
      </c>
      <c r="I855" s="12" t="n">
        <v>46203</v>
      </c>
      <c r="J855" s="12" t="n">
        <v>46208</v>
      </c>
      <c r="K855" s="2" t="n">
        <v>613</v>
      </c>
      <c r="L855" s="2" t="inlineStr">
        <is>
          <t>Road</t>
        </is>
      </c>
      <c r="M855" s="2" t="inlineStr">
        <is>
          <t>Production Delay</t>
        </is>
      </c>
      <c r="N855" s="4">
        <f>IF(I855&lt;=H855,1,0)</f>
        <v/>
      </c>
      <c r="O855" s="4">
        <f>IF(J855&lt;=G855,1,0)</f>
        <v/>
      </c>
      <c r="P855" s="4">
        <f>MAX(0,I855-H855)</f>
        <v/>
      </c>
      <c r="Q855" s="4">
        <f>MAX(0,J855-G855)</f>
        <v/>
      </c>
      <c r="R855" s="4">
        <f>IF(AND(N855=1,O855=1),"On Track",IF(O855=0,"Customer Delivery Late","Ship Late"))</f>
        <v/>
      </c>
    </row>
    <row r="856">
      <c r="A856" s="2" t="inlineStr">
        <is>
          <t>ORD-00855</t>
        </is>
      </c>
      <c r="B856" s="2" t="inlineStr">
        <is>
          <t>Customer 01</t>
        </is>
      </c>
      <c r="C856" s="2" t="inlineStr">
        <is>
          <t>Power Supply</t>
        </is>
      </c>
      <c r="D856" s="2" t="inlineStr">
        <is>
          <t>Plant B</t>
        </is>
      </c>
      <c r="E856" s="2" t="inlineStr">
        <is>
          <t>North</t>
        </is>
      </c>
      <c r="F856" s="12" t="n">
        <v>46139</v>
      </c>
      <c r="G856" s="12" t="n">
        <v>46145</v>
      </c>
      <c r="H856" s="12" t="n">
        <v>46143</v>
      </c>
      <c r="I856" s="12" t="n">
        <v>46143</v>
      </c>
      <c r="J856" s="12" t="n">
        <v>46144</v>
      </c>
      <c r="K856" s="2" t="n">
        <v>112</v>
      </c>
      <c r="L856" s="2" t="inlineStr">
        <is>
          <t>Air</t>
        </is>
      </c>
      <c r="M856" s="2" t="inlineStr">
        <is>
          <t>No Delay</t>
        </is>
      </c>
      <c r="N856" s="4">
        <f>IF(I856&lt;=H856,1,0)</f>
        <v/>
      </c>
      <c r="O856" s="4">
        <f>IF(J856&lt;=G856,1,0)</f>
        <v/>
      </c>
      <c r="P856" s="4">
        <f>MAX(0,I856-H856)</f>
        <v/>
      </c>
      <c r="Q856" s="4">
        <f>MAX(0,J856-G856)</f>
        <v/>
      </c>
      <c r="R856" s="4">
        <f>IF(AND(N856=1,O856=1),"On Track",IF(O856=0,"Customer Delivery Late","Ship Late"))</f>
        <v/>
      </c>
    </row>
    <row r="857">
      <c r="A857" s="2" t="inlineStr">
        <is>
          <t>ORD-00856</t>
        </is>
      </c>
      <c r="B857" s="2" t="inlineStr">
        <is>
          <t>Customer 05</t>
        </is>
      </c>
      <c r="C857" s="2" t="inlineStr">
        <is>
          <t>PLC</t>
        </is>
      </c>
      <c r="D857" s="2" t="inlineStr">
        <is>
          <t>Plant B</t>
        </is>
      </c>
      <c r="E857" s="2" t="inlineStr">
        <is>
          <t>North</t>
        </is>
      </c>
      <c r="F857" s="12" t="n">
        <v>46058</v>
      </c>
      <c r="G857" s="12" t="n">
        <v>46074</v>
      </c>
      <c r="H857" s="12" t="n">
        <v>46071</v>
      </c>
      <c r="I857" s="12" t="n">
        <v>46071</v>
      </c>
      <c r="J857" s="12" t="n">
        <v>46073</v>
      </c>
      <c r="K857" s="2" t="n">
        <v>605</v>
      </c>
      <c r="L857" s="2" t="inlineStr">
        <is>
          <t>Road</t>
        </is>
      </c>
      <c r="M857" s="2" t="inlineStr">
        <is>
          <t>No Delay</t>
        </is>
      </c>
      <c r="N857" s="4">
        <f>IF(I857&lt;=H857,1,0)</f>
        <v/>
      </c>
      <c r="O857" s="4">
        <f>IF(J857&lt;=G857,1,0)</f>
        <v/>
      </c>
      <c r="P857" s="4">
        <f>MAX(0,I857-H857)</f>
        <v/>
      </c>
      <c r="Q857" s="4">
        <f>MAX(0,J857-G857)</f>
        <v/>
      </c>
      <c r="R857" s="4">
        <f>IF(AND(N857=1,O857=1),"On Track",IF(O857=0,"Customer Delivery Late","Ship Late"))</f>
        <v/>
      </c>
    </row>
    <row r="858">
      <c r="A858" s="2" t="inlineStr">
        <is>
          <t>ORD-00857</t>
        </is>
      </c>
      <c r="B858" s="2" t="inlineStr">
        <is>
          <t>Customer 29</t>
        </is>
      </c>
      <c r="C858" s="2" t="inlineStr">
        <is>
          <t>Contactor</t>
        </is>
      </c>
      <c r="D858" s="2" t="inlineStr">
        <is>
          <t>Plant B</t>
        </is>
      </c>
      <c r="E858" s="2" t="inlineStr">
        <is>
          <t>South</t>
        </is>
      </c>
      <c r="F858" s="12" t="n">
        <v>46031</v>
      </c>
      <c r="G858" s="12" t="n">
        <v>46051</v>
      </c>
      <c r="H858" s="12" t="n">
        <v>46048</v>
      </c>
      <c r="I858" s="12" t="n">
        <v>46048</v>
      </c>
      <c r="J858" s="12" t="n">
        <v>46051</v>
      </c>
      <c r="K858" s="2" t="n">
        <v>1232</v>
      </c>
      <c r="L858" s="2" t="inlineStr">
        <is>
          <t>Air</t>
        </is>
      </c>
      <c r="M858" s="2" t="inlineStr">
        <is>
          <t>No Delay</t>
        </is>
      </c>
      <c r="N858" s="4">
        <f>IF(I858&lt;=H858,1,0)</f>
        <v/>
      </c>
      <c r="O858" s="4">
        <f>IF(J858&lt;=G858,1,0)</f>
        <v/>
      </c>
      <c r="P858" s="4">
        <f>MAX(0,I858-H858)</f>
        <v/>
      </c>
      <c r="Q858" s="4">
        <f>MAX(0,J858-G858)</f>
        <v/>
      </c>
      <c r="R858" s="4">
        <f>IF(AND(N858=1,O858=1),"On Track",IF(O858=0,"Customer Delivery Late","Ship Late"))</f>
        <v/>
      </c>
    </row>
    <row r="859">
      <c r="A859" s="2" t="inlineStr">
        <is>
          <t>ORD-00858</t>
        </is>
      </c>
      <c r="B859" s="2" t="inlineStr">
        <is>
          <t>Customer 14</t>
        </is>
      </c>
      <c r="C859" s="2" t="inlineStr">
        <is>
          <t>PLC</t>
        </is>
      </c>
      <c r="D859" s="2" t="inlineStr">
        <is>
          <t>Plant B</t>
        </is>
      </c>
      <c r="E859" s="2" t="inlineStr">
        <is>
          <t>South</t>
        </is>
      </c>
      <c r="F859" s="12" t="n">
        <v>46067</v>
      </c>
      <c r="G859" s="12" t="n">
        <v>46090</v>
      </c>
      <c r="H859" s="12" t="n">
        <v>46086</v>
      </c>
      <c r="I859" s="12" t="n">
        <v>46085</v>
      </c>
      <c r="J859" s="12" t="n">
        <v>46089</v>
      </c>
      <c r="K859" s="2" t="n">
        <v>185</v>
      </c>
      <c r="L859" s="2" t="inlineStr">
        <is>
          <t>Air</t>
        </is>
      </c>
      <c r="M859" s="2" t="inlineStr">
        <is>
          <t>No Delay</t>
        </is>
      </c>
      <c r="N859" s="4">
        <f>IF(I859&lt;=H859,1,0)</f>
        <v/>
      </c>
      <c r="O859" s="4">
        <f>IF(J859&lt;=G859,1,0)</f>
        <v/>
      </c>
      <c r="P859" s="4">
        <f>MAX(0,I859-H859)</f>
        <v/>
      </c>
      <c r="Q859" s="4">
        <f>MAX(0,J859-G859)</f>
        <v/>
      </c>
      <c r="R859" s="4">
        <f>IF(AND(N859=1,O859=1),"On Track",IF(O859=0,"Customer Delivery Late","Ship Late"))</f>
        <v/>
      </c>
    </row>
    <row r="860">
      <c r="A860" s="2" t="inlineStr">
        <is>
          <t>ORD-00859</t>
        </is>
      </c>
      <c r="B860" s="2" t="inlineStr">
        <is>
          <t>Customer 15</t>
        </is>
      </c>
      <c r="C860" s="2" t="inlineStr">
        <is>
          <t>Drive</t>
        </is>
      </c>
      <c r="D860" s="2" t="inlineStr">
        <is>
          <t>Plant C</t>
        </is>
      </c>
      <c r="E860" s="2" t="inlineStr">
        <is>
          <t>South</t>
        </is>
      </c>
      <c r="F860" s="12" t="n">
        <v>46168</v>
      </c>
      <c r="G860" s="12" t="n">
        <v>46193</v>
      </c>
      <c r="H860" s="12" t="n">
        <v>46189</v>
      </c>
      <c r="I860" s="12" t="n">
        <v>46188</v>
      </c>
      <c r="J860" s="12" t="n">
        <v>46191</v>
      </c>
      <c r="K860" s="2" t="n">
        <v>969</v>
      </c>
      <c r="L860" s="2" t="inlineStr">
        <is>
          <t>Air</t>
        </is>
      </c>
      <c r="M860" s="2" t="inlineStr">
        <is>
          <t>No Delay</t>
        </is>
      </c>
      <c r="N860" s="4">
        <f>IF(I860&lt;=H860,1,0)</f>
        <v/>
      </c>
      <c r="O860" s="4">
        <f>IF(J860&lt;=G860,1,0)</f>
        <v/>
      </c>
      <c r="P860" s="4">
        <f>MAX(0,I860-H860)</f>
        <v/>
      </c>
      <c r="Q860" s="4">
        <f>MAX(0,J860-G860)</f>
        <v/>
      </c>
      <c r="R860" s="4">
        <f>IF(AND(N860=1,O860=1),"On Track",IF(O860=0,"Customer Delivery Late","Ship Late"))</f>
        <v/>
      </c>
    </row>
    <row r="861">
      <c r="A861" s="2" t="inlineStr">
        <is>
          <t>ORD-00860</t>
        </is>
      </c>
      <c r="B861" s="2" t="inlineStr">
        <is>
          <t>Customer 25</t>
        </is>
      </c>
      <c r="C861" s="2" t="inlineStr">
        <is>
          <t>Power Supply</t>
        </is>
      </c>
      <c r="D861" s="2" t="inlineStr">
        <is>
          <t>Plant A</t>
        </is>
      </c>
      <c r="E861" s="2" t="inlineStr">
        <is>
          <t>Central</t>
        </is>
      </c>
      <c r="F861" s="12" t="n">
        <v>46132</v>
      </c>
      <c r="G861" s="12" t="n">
        <v>46151</v>
      </c>
      <c r="H861" s="12" t="n">
        <v>46147</v>
      </c>
      <c r="I861" s="12" t="n">
        <v>46146</v>
      </c>
      <c r="J861" s="12" t="n">
        <v>46151</v>
      </c>
      <c r="K861" s="2" t="n">
        <v>1269</v>
      </c>
      <c r="L861" s="2" t="inlineStr">
        <is>
          <t>Air</t>
        </is>
      </c>
      <c r="M861" s="2" t="inlineStr">
        <is>
          <t>No Delay</t>
        </is>
      </c>
      <c r="N861" s="4">
        <f>IF(I861&lt;=H861,1,0)</f>
        <v/>
      </c>
      <c r="O861" s="4">
        <f>IF(J861&lt;=G861,1,0)</f>
        <v/>
      </c>
      <c r="P861" s="4">
        <f>MAX(0,I861-H861)</f>
        <v/>
      </c>
      <c r="Q861" s="4">
        <f>MAX(0,J861-G861)</f>
        <v/>
      </c>
      <c r="R861" s="4">
        <f>IF(AND(N861=1,O861=1),"On Track",IF(O861=0,"Customer Delivery Late","Ship Late"))</f>
        <v/>
      </c>
    </row>
    <row r="862">
      <c r="A862" s="2" t="inlineStr">
        <is>
          <t>ORD-00861</t>
        </is>
      </c>
      <c r="B862" s="2" t="inlineStr">
        <is>
          <t>Customer 13</t>
        </is>
      </c>
      <c r="C862" s="2" t="inlineStr">
        <is>
          <t>Relay</t>
        </is>
      </c>
      <c r="D862" s="2" t="inlineStr">
        <is>
          <t>Plant B</t>
        </is>
      </c>
      <c r="E862" s="2" t="inlineStr">
        <is>
          <t>North</t>
        </is>
      </c>
      <c r="F862" s="12" t="n">
        <v>46085</v>
      </c>
      <c r="G862" s="12" t="n">
        <v>46108</v>
      </c>
      <c r="H862" s="12" t="n">
        <v>46103</v>
      </c>
      <c r="I862" s="12" t="n">
        <v>46103</v>
      </c>
      <c r="J862" s="12" t="n">
        <v>46107</v>
      </c>
      <c r="K862" s="2" t="n">
        <v>957</v>
      </c>
      <c r="L862" s="2" t="inlineStr">
        <is>
          <t>Sea</t>
        </is>
      </c>
      <c r="M862" s="2" t="inlineStr">
        <is>
          <t>No Delay</t>
        </is>
      </c>
      <c r="N862" s="4">
        <f>IF(I862&lt;=H862,1,0)</f>
        <v/>
      </c>
      <c r="O862" s="4">
        <f>IF(J862&lt;=G862,1,0)</f>
        <v/>
      </c>
      <c r="P862" s="4">
        <f>MAX(0,I862-H862)</f>
        <v/>
      </c>
      <c r="Q862" s="4">
        <f>MAX(0,J862-G862)</f>
        <v/>
      </c>
      <c r="R862" s="4">
        <f>IF(AND(N862=1,O862=1),"On Track",IF(O862=0,"Customer Delivery Late","Ship Late"))</f>
        <v/>
      </c>
    </row>
    <row r="863">
      <c r="A863" s="2" t="inlineStr">
        <is>
          <t>ORD-00862</t>
        </is>
      </c>
      <c r="B863" s="2" t="inlineStr">
        <is>
          <t>Customer 27</t>
        </is>
      </c>
      <c r="C863" s="2" t="inlineStr">
        <is>
          <t>Sensor</t>
        </is>
      </c>
      <c r="D863" s="2" t="inlineStr">
        <is>
          <t>Plant C</t>
        </is>
      </c>
      <c r="E863" s="2" t="inlineStr">
        <is>
          <t>Export</t>
        </is>
      </c>
      <c r="F863" s="12" t="n">
        <v>46140</v>
      </c>
      <c r="G863" s="12" t="n">
        <v>46146</v>
      </c>
      <c r="H863" s="12" t="n">
        <v>46145</v>
      </c>
      <c r="I863" s="12" t="n">
        <v>46145</v>
      </c>
      <c r="J863" s="12" t="n">
        <v>46146</v>
      </c>
      <c r="K863" s="2" t="n">
        <v>1424</v>
      </c>
      <c r="L863" s="2" t="inlineStr">
        <is>
          <t>Air</t>
        </is>
      </c>
      <c r="M863" s="2" t="inlineStr">
        <is>
          <t>No Delay</t>
        </is>
      </c>
      <c r="N863" s="4">
        <f>IF(I863&lt;=H863,1,0)</f>
        <v/>
      </c>
      <c r="O863" s="4">
        <f>IF(J863&lt;=G863,1,0)</f>
        <v/>
      </c>
      <c r="P863" s="4">
        <f>MAX(0,I863-H863)</f>
        <v/>
      </c>
      <c r="Q863" s="4">
        <f>MAX(0,J863-G863)</f>
        <v/>
      </c>
      <c r="R863" s="4">
        <f>IF(AND(N863=1,O863=1),"On Track",IF(O863=0,"Customer Delivery Late","Ship Late"))</f>
        <v/>
      </c>
    </row>
    <row r="864">
      <c r="A864" s="2" t="inlineStr">
        <is>
          <t>ORD-00863</t>
        </is>
      </c>
      <c r="B864" s="2" t="inlineStr">
        <is>
          <t>Customer 18</t>
        </is>
      </c>
      <c r="C864" s="2" t="inlineStr">
        <is>
          <t>Switchgear</t>
        </is>
      </c>
      <c r="D864" s="2" t="inlineStr">
        <is>
          <t>Plant A</t>
        </is>
      </c>
      <c r="E864" s="2" t="inlineStr">
        <is>
          <t>Central</t>
        </is>
      </c>
      <c r="F864" s="12" t="n">
        <v>46038</v>
      </c>
      <c r="G864" s="12" t="n">
        <v>46046</v>
      </c>
      <c r="H864" s="12" t="n">
        <v>46041</v>
      </c>
      <c r="I864" s="12" t="n">
        <v>46041</v>
      </c>
      <c r="J864" s="12" t="n">
        <v>46046</v>
      </c>
      <c r="K864" s="2" t="n">
        <v>1393</v>
      </c>
      <c r="L864" s="2" t="inlineStr">
        <is>
          <t>Sea</t>
        </is>
      </c>
      <c r="M864" s="2" t="inlineStr">
        <is>
          <t>No Delay</t>
        </is>
      </c>
      <c r="N864" s="4">
        <f>IF(I864&lt;=H864,1,0)</f>
        <v/>
      </c>
      <c r="O864" s="4">
        <f>IF(J864&lt;=G864,1,0)</f>
        <v/>
      </c>
      <c r="P864" s="4">
        <f>MAX(0,I864-H864)</f>
        <v/>
      </c>
      <c r="Q864" s="4">
        <f>MAX(0,J864-G864)</f>
        <v/>
      </c>
      <c r="R864" s="4">
        <f>IF(AND(N864=1,O864=1),"On Track",IF(O864=0,"Customer Delivery Late","Ship Late"))</f>
        <v/>
      </c>
    </row>
    <row r="865">
      <c r="A865" s="2" t="inlineStr">
        <is>
          <t>ORD-00864</t>
        </is>
      </c>
      <c r="B865" s="2" t="inlineStr">
        <is>
          <t>Customer 04</t>
        </is>
      </c>
      <c r="C865" s="2" t="inlineStr">
        <is>
          <t>Contactor</t>
        </is>
      </c>
      <c r="D865" s="2" t="inlineStr">
        <is>
          <t>Plant A</t>
        </is>
      </c>
      <c r="E865" s="2" t="inlineStr">
        <is>
          <t>Central</t>
        </is>
      </c>
      <c r="F865" s="12" t="n">
        <v>46062</v>
      </c>
      <c r="G865" s="12" t="n">
        <v>46076</v>
      </c>
      <c r="H865" s="12" t="n">
        <v>46073</v>
      </c>
      <c r="I865" s="12" t="n">
        <v>46071</v>
      </c>
      <c r="J865" s="12" t="n">
        <v>46075</v>
      </c>
      <c r="K865" s="2" t="n">
        <v>1246</v>
      </c>
      <c r="L865" s="2" t="inlineStr">
        <is>
          <t>Road</t>
        </is>
      </c>
      <c r="M865" s="2" t="inlineStr">
        <is>
          <t>No Delay</t>
        </is>
      </c>
      <c r="N865" s="4">
        <f>IF(I865&lt;=H865,1,0)</f>
        <v/>
      </c>
      <c r="O865" s="4">
        <f>IF(J865&lt;=G865,1,0)</f>
        <v/>
      </c>
      <c r="P865" s="4">
        <f>MAX(0,I865-H865)</f>
        <v/>
      </c>
      <c r="Q865" s="4">
        <f>MAX(0,J865-G865)</f>
        <v/>
      </c>
      <c r="R865" s="4">
        <f>IF(AND(N865=1,O865=1),"On Track",IF(O865=0,"Customer Delivery Late","Ship Late"))</f>
        <v/>
      </c>
    </row>
    <row r="866">
      <c r="A866" s="2" t="inlineStr">
        <is>
          <t>ORD-00865</t>
        </is>
      </c>
      <c r="B866" s="2" t="inlineStr">
        <is>
          <t>Customer 02</t>
        </is>
      </c>
      <c r="C866" s="2" t="inlineStr">
        <is>
          <t>Contactor</t>
        </is>
      </c>
      <c r="D866" s="2" t="inlineStr">
        <is>
          <t>Plant B</t>
        </is>
      </c>
      <c r="E866" s="2" t="inlineStr">
        <is>
          <t>Export</t>
        </is>
      </c>
      <c r="F866" s="12" t="n">
        <v>46156</v>
      </c>
      <c r="G866" s="12" t="n">
        <v>46164</v>
      </c>
      <c r="H866" s="12" t="n">
        <v>46162</v>
      </c>
      <c r="I866" s="12" t="n">
        <v>46161</v>
      </c>
      <c r="J866" s="12" t="n">
        <v>46164</v>
      </c>
      <c r="K866" s="2" t="n">
        <v>1000</v>
      </c>
      <c r="L866" s="2" t="inlineStr">
        <is>
          <t>Road</t>
        </is>
      </c>
      <c r="M866" s="2" t="inlineStr">
        <is>
          <t>No Delay</t>
        </is>
      </c>
      <c r="N866" s="4">
        <f>IF(I866&lt;=H866,1,0)</f>
        <v/>
      </c>
      <c r="O866" s="4">
        <f>IF(J866&lt;=G866,1,0)</f>
        <v/>
      </c>
      <c r="P866" s="4">
        <f>MAX(0,I866-H866)</f>
        <v/>
      </c>
      <c r="Q866" s="4">
        <f>MAX(0,J866-G866)</f>
        <v/>
      </c>
      <c r="R866" s="4">
        <f>IF(AND(N866=1,O866=1),"On Track",IF(O866=0,"Customer Delivery Late","Ship Late"))</f>
        <v/>
      </c>
    </row>
    <row r="867">
      <c r="A867" s="2" t="inlineStr">
        <is>
          <t>ORD-00866</t>
        </is>
      </c>
      <c r="B867" s="2" t="inlineStr">
        <is>
          <t>Customer 21</t>
        </is>
      </c>
      <c r="C867" s="2" t="inlineStr">
        <is>
          <t>Breaker</t>
        </is>
      </c>
      <c r="D867" s="2" t="inlineStr">
        <is>
          <t>Plant A</t>
        </is>
      </c>
      <c r="E867" s="2" t="inlineStr">
        <is>
          <t>Central</t>
        </is>
      </c>
      <c r="F867" s="12" t="n">
        <v>46083</v>
      </c>
      <c r="G867" s="12" t="n">
        <v>46105</v>
      </c>
      <c r="H867" s="12" t="n">
        <v>46102</v>
      </c>
      <c r="I867" s="12" t="n">
        <v>46102</v>
      </c>
      <c r="J867" s="12" t="n">
        <v>46106</v>
      </c>
      <c r="K867" s="2" t="n">
        <v>1356</v>
      </c>
      <c r="L867" s="2" t="inlineStr">
        <is>
          <t>Road</t>
        </is>
      </c>
      <c r="M867" s="2" t="inlineStr">
        <is>
          <t>Production Delay</t>
        </is>
      </c>
      <c r="N867" s="4">
        <f>IF(I867&lt;=H867,1,0)</f>
        <v/>
      </c>
      <c r="O867" s="4">
        <f>IF(J867&lt;=G867,1,0)</f>
        <v/>
      </c>
      <c r="P867" s="4">
        <f>MAX(0,I867-H867)</f>
        <v/>
      </c>
      <c r="Q867" s="4">
        <f>MAX(0,J867-G867)</f>
        <v/>
      </c>
      <c r="R867" s="4">
        <f>IF(AND(N867=1,O867=1),"On Track",IF(O867=0,"Customer Delivery Late","Ship Late"))</f>
        <v/>
      </c>
    </row>
    <row r="868">
      <c r="A868" s="2" t="inlineStr">
        <is>
          <t>ORD-00867</t>
        </is>
      </c>
      <c r="B868" s="2" t="inlineStr">
        <is>
          <t>Customer 19</t>
        </is>
      </c>
      <c r="C868" s="2" t="inlineStr">
        <is>
          <t>Switchgear</t>
        </is>
      </c>
      <c r="D868" s="2" t="inlineStr">
        <is>
          <t>Plant B</t>
        </is>
      </c>
      <c r="E868" s="2" t="inlineStr">
        <is>
          <t>South</t>
        </is>
      </c>
      <c r="F868" s="12" t="n">
        <v>46066</v>
      </c>
      <c r="G868" s="12" t="n">
        <v>46087</v>
      </c>
      <c r="H868" s="12" t="n">
        <v>46082</v>
      </c>
      <c r="I868" s="12" t="n">
        <v>46081</v>
      </c>
      <c r="J868" s="12" t="n">
        <v>46086</v>
      </c>
      <c r="K868" s="2" t="n">
        <v>811</v>
      </c>
      <c r="L868" s="2" t="inlineStr">
        <is>
          <t>Air</t>
        </is>
      </c>
      <c r="M868" s="2" t="inlineStr">
        <is>
          <t>No Delay</t>
        </is>
      </c>
      <c r="N868" s="4">
        <f>IF(I868&lt;=H868,1,0)</f>
        <v/>
      </c>
      <c r="O868" s="4">
        <f>IF(J868&lt;=G868,1,0)</f>
        <v/>
      </c>
      <c r="P868" s="4">
        <f>MAX(0,I868-H868)</f>
        <v/>
      </c>
      <c r="Q868" s="4">
        <f>MAX(0,J868-G868)</f>
        <v/>
      </c>
      <c r="R868" s="4">
        <f>IF(AND(N868=1,O868=1),"On Track",IF(O868=0,"Customer Delivery Late","Ship Late"))</f>
        <v/>
      </c>
    </row>
    <row r="869">
      <c r="A869" s="2" t="inlineStr">
        <is>
          <t>ORD-00868</t>
        </is>
      </c>
      <c r="B869" s="2" t="inlineStr">
        <is>
          <t>Customer 04</t>
        </is>
      </c>
      <c r="C869" s="2" t="inlineStr">
        <is>
          <t>Power Supply</t>
        </is>
      </c>
      <c r="D869" s="2" t="inlineStr">
        <is>
          <t>Plant A</t>
        </is>
      </c>
      <c r="E869" s="2" t="inlineStr">
        <is>
          <t>South</t>
        </is>
      </c>
      <c r="F869" s="12" t="n">
        <v>46201</v>
      </c>
      <c r="G869" s="12" t="n">
        <v>46209</v>
      </c>
      <c r="H869" s="12" t="n">
        <v>46205</v>
      </c>
      <c r="I869" s="12" t="n">
        <v>46204</v>
      </c>
      <c r="J869" s="12" t="n">
        <v>46207</v>
      </c>
      <c r="K869" s="2" t="n">
        <v>79</v>
      </c>
      <c r="L869" s="2" t="inlineStr">
        <is>
          <t>Sea</t>
        </is>
      </c>
      <c r="M869" s="2" t="inlineStr">
        <is>
          <t>No Delay</t>
        </is>
      </c>
      <c r="N869" s="4">
        <f>IF(I869&lt;=H869,1,0)</f>
        <v/>
      </c>
      <c r="O869" s="4">
        <f>IF(J869&lt;=G869,1,0)</f>
        <v/>
      </c>
      <c r="P869" s="4">
        <f>MAX(0,I869-H869)</f>
        <v/>
      </c>
      <c r="Q869" s="4">
        <f>MAX(0,J869-G869)</f>
        <v/>
      </c>
      <c r="R869" s="4">
        <f>IF(AND(N869=1,O869=1),"On Track",IF(O869=0,"Customer Delivery Late","Ship Late"))</f>
        <v/>
      </c>
    </row>
    <row r="870">
      <c r="A870" s="2" t="inlineStr">
        <is>
          <t>ORD-00869</t>
        </is>
      </c>
      <c r="B870" s="2" t="inlineStr">
        <is>
          <t>Customer 15</t>
        </is>
      </c>
      <c r="C870" s="2" t="inlineStr">
        <is>
          <t>Sensor</t>
        </is>
      </c>
      <c r="D870" s="2" t="inlineStr">
        <is>
          <t>Plant A</t>
        </is>
      </c>
      <c r="E870" s="2" t="inlineStr">
        <is>
          <t>Central</t>
        </is>
      </c>
      <c r="F870" s="12" t="n">
        <v>46189</v>
      </c>
      <c r="G870" s="12" t="n">
        <v>46213</v>
      </c>
      <c r="H870" s="12" t="n">
        <v>46209</v>
      </c>
      <c r="I870" s="12" t="n">
        <v>46208</v>
      </c>
      <c r="J870" s="12" t="n">
        <v>46212</v>
      </c>
      <c r="K870" s="2" t="n">
        <v>742</v>
      </c>
      <c r="L870" s="2" t="inlineStr">
        <is>
          <t>Sea</t>
        </is>
      </c>
      <c r="M870" s="2" t="inlineStr">
        <is>
          <t>No Delay</t>
        </is>
      </c>
      <c r="N870" s="4">
        <f>IF(I870&lt;=H870,1,0)</f>
        <v/>
      </c>
      <c r="O870" s="4">
        <f>IF(J870&lt;=G870,1,0)</f>
        <v/>
      </c>
      <c r="P870" s="4">
        <f>MAX(0,I870-H870)</f>
        <v/>
      </c>
      <c r="Q870" s="4">
        <f>MAX(0,J870-G870)</f>
        <v/>
      </c>
      <c r="R870" s="4">
        <f>IF(AND(N870=1,O870=1),"On Track",IF(O870=0,"Customer Delivery Late","Ship Late"))</f>
        <v/>
      </c>
    </row>
    <row r="871">
      <c r="A871" s="2" t="inlineStr">
        <is>
          <t>ORD-00870</t>
        </is>
      </c>
      <c r="B871" s="2" t="inlineStr">
        <is>
          <t>Customer 05</t>
        </is>
      </c>
      <c r="C871" s="2" t="inlineStr">
        <is>
          <t>Drive</t>
        </is>
      </c>
      <c r="D871" s="2" t="inlineStr">
        <is>
          <t>Plant C</t>
        </is>
      </c>
      <c r="E871" s="2" t="inlineStr">
        <is>
          <t>South</t>
        </is>
      </c>
      <c r="F871" s="12" t="n">
        <v>46151</v>
      </c>
      <c r="G871" s="12" t="n">
        <v>46162</v>
      </c>
      <c r="H871" s="12" t="n">
        <v>46159</v>
      </c>
      <c r="I871" s="12" t="n">
        <v>46159</v>
      </c>
      <c r="J871" s="12" t="n">
        <v>46163</v>
      </c>
      <c r="K871" s="2" t="n">
        <v>951</v>
      </c>
      <c r="L871" s="2" t="inlineStr">
        <is>
          <t>Sea</t>
        </is>
      </c>
      <c r="M871" s="2" t="inlineStr">
        <is>
          <t>Customer Change</t>
        </is>
      </c>
      <c r="N871" s="4">
        <f>IF(I871&lt;=H871,1,0)</f>
        <v/>
      </c>
      <c r="O871" s="4">
        <f>IF(J871&lt;=G871,1,0)</f>
        <v/>
      </c>
      <c r="P871" s="4">
        <f>MAX(0,I871-H871)</f>
        <v/>
      </c>
      <c r="Q871" s="4">
        <f>MAX(0,J871-G871)</f>
        <v/>
      </c>
      <c r="R871" s="4">
        <f>IF(AND(N871=1,O871=1),"On Track",IF(O871=0,"Customer Delivery Late","Ship Late"))</f>
        <v/>
      </c>
    </row>
    <row r="872">
      <c r="A872" s="2" t="inlineStr">
        <is>
          <t>ORD-00871</t>
        </is>
      </c>
      <c r="B872" s="2" t="inlineStr">
        <is>
          <t>Customer 20</t>
        </is>
      </c>
      <c r="C872" s="2" t="inlineStr">
        <is>
          <t>Relay</t>
        </is>
      </c>
      <c r="D872" s="2" t="inlineStr">
        <is>
          <t>Plant C</t>
        </is>
      </c>
      <c r="E872" s="2" t="inlineStr">
        <is>
          <t>South</t>
        </is>
      </c>
      <c r="F872" s="12" t="n">
        <v>46058</v>
      </c>
      <c r="G872" s="12" t="n">
        <v>46071</v>
      </c>
      <c r="H872" s="12" t="n">
        <v>46068</v>
      </c>
      <c r="I872" s="12" t="n">
        <v>46066</v>
      </c>
      <c r="J872" s="12" t="n">
        <v>46069</v>
      </c>
      <c r="K872" s="2" t="n">
        <v>275</v>
      </c>
      <c r="L872" s="2" t="inlineStr">
        <is>
          <t>Sea</t>
        </is>
      </c>
      <c r="M872" s="2" t="inlineStr">
        <is>
          <t>No Delay</t>
        </is>
      </c>
      <c r="N872" s="4">
        <f>IF(I872&lt;=H872,1,0)</f>
        <v/>
      </c>
      <c r="O872" s="4">
        <f>IF(J872&lt;=G872,1,0)</f>
        <v/>
      </c>
      <c r="P872" s="4">
        <f>MAX(0,I872-H872)</f>
        <v/>
      </c>
      <c r="Q872" s="4">
        <f>MAX(0,J872-G872)</f>
        <v/>
      </c>
      <c r="R872" s="4">
        <f>IF(AND(N872=1,O872=1),"On Track",IF(O872=0,"Customer Delivery Late","Ship Late"))</f>
        <v/>
      </c>
    </row>
    <row r="873">
      <c r="A873" s="2" t="inlineStr">
        <is>
          <t>ORD-00872</t>
        </is>
      </c>
      <c r="B873" s="2" t="inlineStr">
        <is>
          <t>Customer 28</t>
        </is>
      </c>
      <c r="C873" s="2" t="inlineStr">
        <is>
          <t>Relay</t>
        </is>
      </c>
      <c r="D873" s="2" t="inlineStr">
        <is>
          <t>Plant A</t>
        </is>
      </c>
      <c r="E873" s="2" t="inlineStr">
        <is>
          <t>North</t>
        </is>
      </c>
      <c r="F873" s="12" t="n">
        <v>46105</v>
      </c>
      <c r="G873" s="12" t="n">
        <v>46128</v>
      </c>
      <c r="H873" s="12" t="n">
        <v>46123</v>
      </c>
      <c r="I873" s="12" t="n">
        <v>46123</v>
      </c>
      <c r="J873" s="12" t="n">
        <v>46127</v>
      </c>
      <c r="K873" s="2" t="n">
        <v>1372</v>
      </c>
      <c r="L873" s="2" t="inlineStr">
        <is>
          <t>Road</t>
        </is>
      </c>
      <c r="M873" s="2" t="inlineStr">
        <is>
          <t>No Delay</t>
        </is>
      </c>
      <c r="N873" s="4">
        <f>IF(I873&lt;=H873,1,0)</f>
        <v/>
      </c>
      <c r="O873" s="4">
        <f>IF(J873&lt;=G873,1,0)</f>
        <v/>
      </c>
      <c r="P873" s="4">
        <f>MAX(0,I873-H873)</f>
        <v/>
      </c>
      <c r="Q873" s="4">
        <f>MAX(0,J873-G873)</f>
        <v/>
      </c>
      <c r="R873" s="4">
        <f>IF(AND(N873=1,O873=1),"On Track",IF(O873=0,"Customer Delivery Late","Ship Late"))</f>
        <v/>
      </c>
    </row>
    <row r="874">
      <c r="A874" s="2" t="inlineStr">
        <is>
          <t>ORD-00873</t>
        </is>
      </c>
      <c r="B874" s="2" t="inlineStr">
        <is>
          <t>Customer 06</t>
        </is>
      </c>
      <c r="C874" s="2" t="inlineStr">
        <is>
          <t>Power Supply</t>
        </is>
      </c>
      <c r="D874" s="2" t="inlineStr">
        <is>
          <t>Plant B</t>
        </is>
      </c>
      <c r="E874" s="2" t="inlineStr">
        <is>
          <t>North</t>
        </is>
      </c>
      <c r="F874" s="12" t="n">
        <v>46150</v>
      </c>
      <c r="G874" s="12" t="n">
        <v>46170</v>
      </c>
      <c r="H874" s="12" t="n">
        <v>46167</v>
      </c>
      <c r="I874" s="12" t="n">
        <v>46167</v>
      </c>
      <c r="J874" s="12" t="n">
        <v>46169</v>
      </c>
      <c r="K874" s="2" t="n">
        <v>136</v>
      </c>
      <c r="L874" s="2" t="inlineStr">
        <is>
          <t>Sea</t>
        </is>
      </c>
      <c r="M874" s="2" t="inlineStr">
        <is>
          <t>No Delay</t>
        </is>
      </c>
      <c r="N874" s="4">
        <f>IF(I874&lt;=H874,1,0)</f>
        <v/>
      </c>
      <c r="O874" s="4">
        <f>IF(J874&lt;=G874,1,0)</f>
        <v/>
      </c>
      <c r="P874" s="4">
        <f>MAX(0,I874-H874)</f>
        <v/>
      </c>
      <c r="Q874" s="4">
        <f>MAX(0,J874-G874)</f>
        <v/>
      </c>
      <c r="R874" s="4">
        <f>IF(AND(N874=1,O874=1),"On Track",IF(O874=0,"Customer Delivery Late","Ship Late"))</f>
        <v/>
      </c>
    </row>
    <row r="875">
      <c r="A875" s="2" t="inlineStr">
        <is>
          <t>ORD-00874</t>
        </is>
      </c>
      <c r="B875" s="2" t="inlineStr">
        <is>
          <t>Customer 27</t>
        </is>
      </c>
      <c r="C875" s="2" t="inlineStr">
        <is>
          <t>Breaker</t>
        </is>
      </c>
      <c r="D875" s="2" t="inlineStr">
        <is>
          <t>Plant A</t>
        </is>
      </c>
      <c r="E875" s="2" t="inlineStr">
        <is>
          <t>South</t>
        </is>
      </c>
      <c r="F875" s="12" t="n">
        <v>46087</v>
      </c>
      <c r="G875" s="12" t="n">
        <v>46095</v>
      </c>
      <c r="H875" s="12" t="n">
        <v>46094</v>
      </c>
      <c r="I875" s="12" t="n">
        <v>46092</v>
      </c>
      <c r="J875" s="12" t="n">
        <v>46093</v>
      </c>
      <c r="K875" s="2" t="n">
        <v>230</v>
      </c>
      <c r="L875" s="2" t="inlineStr">
        <is>
          <t>Sea</t>
        </is>
      </c>
      <c r="M875" s="2" t="inlineStr">
        <is>
          <t>No Delay</t>
        </is>
      </c>
      <c r="N875" s="4">
        <f>IF(I875&lt;=H875,1,0)</f>
        <v/>
      </c>
      <c r="O875" s="4">
        <f>IF(J875&lt;=G875,1,0)</f>
        <v/>
      </c>
      <c r="P875" s="4">
        <f>MAX(0,I875-H875)</f>
        <v/>
      </c>
      <c r="Q875" s="4">
        <f>MAX(0,J875-G875)</f>
        <v/>
      </c>
      <c r="R875" s="4">
        <f>IF(AND(N875=1,O875=1),"On Track",IF(O875=0,"Customer Delivery Late","Ship Late"))</f>
        <v/>
      </c>
    </row>
    <row r="876">
      <c r="A876" s="2" t="inlineStr">
        <is>
          <t>ORD-00875</t>
        </is>
      </c>
      <c r="B876" s="2" t="inlineStr">
        <is>
          <t>Customer 10</t>
        </is>
      </c>
      <c r="C876" s="2" t="inlineStr">
        <is>
          <t>PLC</t>
        </is>
      </c>
      <c r="D876" s="2" t="inlineStr">
        <is>
          <t>Plant A</t>
        </is>
      </c>
      <c r="E876" s="2" t="inlineStr">
        <is>
          <t>Central</t>
        </is>
      </c>
      <c r="F876" s="12" t="n">
        <v>46138</v>
      </c>
      <c r="G876" s="12" t="n">
        <v>46155</v>
      </c>
      <c r="H876" s="12" t="n">
        <v>46153</v>
      </c>
      <c r="I876" s="12" t="n">
        <v>46157</v>
      </c>
      <c r="J876" s="12" t="n">
        <v>46159</v>
      </c>
      <c r="K876" s="2" t="n">
        <v>898</v>
      </c>
      <c r="L876" s="2" t="inlineStr">
        <is>
          <t>Sea</t>
        </is>
      </c>
      <c r="M876" s="2" t="inlineStr">
        <is>
          <t>Customer Change</t>
        </is>
      </c>
      <c r="N876" s="4">
        <f>IF(I876&lt;=H876,1,0)</f>
        <v/>
      </c>
      <c r="O876" s="4">
        <f>IF(J876&lt;=G876,1,0)</f>
        <v/>
      </c>
      <c r="P876" s="4">
        <f>MAX(0,I876-H876)</f>
        <v/>
      </c>
      <c r="Q876" s="4">
        <f>MAX(0,J876-G876)</f>
        <v/>
      </c>
      <c r="R876" s="4">
        <f>IF(AND(N876=1,O876=1),"On Track",IF(O876=0,"Customer Delivery Late","Ship Late"))</f>
        <v/>
      </c>
    </row>
    <row r="877">
      <c r="A877" s="2" t="inlineStr">
        <is>
          <t>ORD-00876</t>
        </is>
      </c>
      <c r="B877" s="2" t="inlineStr">
        <is>
          <t>Customer 05</t>
        </is>
      </c>
      <c r="C877" s="2" t="inlineStr">
        <is>
          <t>Breaker</t>
        </is>
      </c>
      <c r="D877" s="2" t="inlineStr">
        <is>
          <t>Plant B</t>
        </is>
      </c>
      <c r="E877" s="2" t="inlineStr">
        <is>
          <t>Export</t>
        </is>
      </c>
      <c r="F877" s="12" t="n">
        <v>46072</v>
      </c>
      <c r="G877" s="12" t="n">
        <v>46079</v>
      </c>
      <c r="H877" s="12" t="n">
        <v>46074</v>
      </c>
      <c r="I877" s="12" t="n">
        <v>46074</v>
      </c>
      <c r="J877" s="12" t="n">
        <v>46079</v>
      </c>
      <c r="K877" s="2" t="n">
        <v>1173</v>
      </c>
      <c r="L877" s="2" t="inlineStr">
        <is>
          <t>Sea</t>
        </is>
      </c>
      <c r="M877" s="2" t="inlineStr">
        <is>
          <t>No Delay</t>
        </is>
      </c>
      <c r="N877" s="4">
        <f>IF(I877&lt;=H877,1,0)</f>
        <v/>
      </c>
      <c r="O877" s="4">
        <f>IF(J877&lt;=G877,1,0)</f>
        <v/>
      </c>
      <c r="P877" s="4">
        <f>MAX(0,I877-H877)</f>
        <v/>
      </c>
      <c r="Q877" s="4">
        <f>MAX(0,J877-G877)</f>
        <v/>
      </c>
      <c r="R877" s="4">
        <f>IF(AND(N877=1,O877=1),"On Track",IF(O877=0,"Customer Delivery Late","Ship Late"))</f>
        <v/>
      </c>
    </row>
    <row r="878">
      <c r="A878" s="2" t="inlineStr">
        <is>
          <t>ORD-00877</t>
        </is>
      </c>
      <c r="B878" s="2" t="inlineStr">
        <is>
          <t>Customer 19</t>
        </is>
      </c>
      <c r="C878" s="2" t="inlineStr">
        <is>
          <t>Switchgear</t>
        </is>
      </c>
      <c r="D878" s="2" t="inlineStr">
        <is>
          <t>Plant C</t>
        </is>
      </c>
      <c r="E878" s="2" t="inlineStr">
        <is>
          <t>South</t>
        </is>
      </c>
      <c r="F878" s="12" t="n">
        <v>46041</v>
      </c>
      <c r="G878" s="12" t="n">
        <v>46056</v>
      </c>
      <c r="H878" s="12" t="n">
        <v>46054</v>
      </c>
      <c r="I878" s="12" t="n">
        <v>46054</v>
      </c>
      <c r="J878" s="12" t="n">
        <v>46056</v>
      </c>
      <c r="K878" s="2" t="n">
        <v>740</v>
      </c>
      <c r="L878" s="2" t="inlineStr">
        <is>
          <t>Sea</t>
        </is>
      </c>
      <c r="M878" s="2" t="inlineStr">
        <is>
          <t>No Delay</t>
        </is>
      </c>
      <c r="N878" s="4">
        <f>IF(I878&lt;=H878,1,0)</f>
        <v/>
      </c>
      <c r="O878" s="4">
        <f>IF(J878&lt;=G878,1,0)</f>
        <v/>
      </c>
      <c r="P878" s="4">
        <f>MAX(0,I878-H878)</f>
        <v/>
      </c>
      <c r="Q878" s="4">
        <f>MAX(0,J878-G878)</f>
        <v/>
      </c>
      <c r="R878" s="4">
        <f>IF(AND(N878=1,O878=1),"On Track",IF(O878=0,"Customer Delivery Late","Ship Late"))</f>
        <v/>
      </c>
    </row>
    <row r="879">
      <c r="A879" s="2" t="inlineStr">
        <is>
          <t>ORD-00878</t>
        </is>
      </c>
      <c r="B879" s="2" t="inlineStr">
        <is>
          <t>Customer 05</t>
        </is>
      </c>
      <c r="C879" s="2" t="inlineStr">
        <is>
          <t>Sensor</t>
        </is>
      </c>
      <c r="D879" s="2" t="inlineStr">
        <is>
          <t>Plant A</t>
        </is>
      </c>
      <c r="E879" s="2" t="inlineStr">
        <is>
          <t>North</t>
        </is>
      </c>
      <c r="F879" s="12" t="n">
        <v>46166</v>
      </c>
      <c r="G879" s="12" t="n">
        <v>46175</v>
      </c>
      <c r="H879" s="12" t="n">
        <v>46174</v>
      </c>
      <c r="I879" s="12" t="n">
        <v>46174</v>
      </c>
      <c r="J879" s="12" t="n">
        <v>46175</v>
      </c>
      <c r="K879" s="2" t="n">
        <v>1031</v>
      </c>
      <c r="L879" s="2" t="inlineStr">
        <is>
          <t>Road</t>
        </is>
      </c>
      <c r="M879" s="2" t="inlineStr">
        <is>
          <t>No Delay</t>
        </is>
      </c>
      <c r="N879" s="4">
        <f>IF(I879&lt;=H879,1,0)</f>
        <v/>
      </c>
      <c r="O879" s="4">
        <f>IF(J879&lt;=G879,1,0)</f>
        <v/>
      </c>
      <c r="P879" s="4">
        <f>MAX(0,I879-H879)</f>
        <v/>
      </c>
      <c r="Q879" s="4">
        <f>MAX(0,J879-G879)</f>
        <v/>
      </c>
      <c r="R879" s="4">
        <f>IF(AND(N879=1,O879=1),"On Track",IF(O879=0,"Customer Delivery Late","Ship Late"))</f>
        <v/>
      </c>
    </row>
    <row r="880">
      <c r="A880" s="2" t="inlineStr">
        <is>
          <t>ORD-00879</t>
        </is>
      </c>
      <c r="B880" s="2" t="inlineStr">
        <is>
          <t>Customer 12</t>
        </is>
      </c>
      <c r="C880" s="2" t="inlineStr">
        <is>
          <t>Contactor</t>
        </is>
      </c>
      <c r="D880" s="2" t="inlineStr">
        <is>
          <t>Plant A</t>
        </is>
      </c>
      <c r="E880" s="2" t="inlineStr">
        <is>
          <t>South</t>
        </is>
      </c>
      <c r="F880" s="12" t="n">
        <v>46036</v>
      </c>
      <c r="G880" s="12" t="n">
        <v>46060</v>
      </c>
      <c r="H880" s="12" t="n">
        <v>46055</v>
      </c>
      <c r="I880" s="12" t="n">
        <v>46053</v>
      </c>
      <c r="J880" s="12" t="n">
        <v>46058</v>
      </c>
      <c r="K880" s="2" t="n">
        <v>163</v>
      </c>
      <c r="L880" s="2" t="inlineStr">
        <is>
          <t>Sea</t>
        </is>
      </c>
      <c r="M880" s="2" t="inlineStr">
        <is>
          <t>No Delay</t>
        </is>
      </c>
      <c r="N880" s="4">
        <f>IF(I880&lt;=H880,1,0)</f>
        <v/>
      </c>
      <c r="O880" s="4">
        <f>IF(J880&lt;=G880,1,0)</f>
        <v/>
      </c>
      <c r="P880" s="4">
        <f>MAX(0,I880-H880)</f>
        <v/>
      </c>
      <c r="Q880" s="4">
        <f>MAX(0,J880-G880)</f>
        <v/>
      </c>
      <c r="R880" s="4">
        <f>IF(AND(N880=1,O880=1),"On Track",IF(O880=0,"Customer Delivery Late","Ship Late"))</f>
        <v/>
      </c>
    </row>
    <row r="881">
      <c r="A881" s="2" t="inlineStr">
        <is>
          <t>ORD-00880</t>
        </is>
      </c>
      <c r="B881" s="2" t="inlineStr">
        <is>
          <t>Customer 18</t>
        </is>
      </c>
      <c r="C881" s="2" t="inlineStr">
        <is>
          <t>Contactor</t>
        </is>
      </c>
      <c r="D881" s="2" t="inlineStr">
        <is>
          <t>Plant C</t>
        </is>
      </c>
      <c r="E881" s="2" t="inlineStr">
        <is>
          <t>Export</t>
        </is>
      </c>
      <c r="F881" s="12" t="n">
        <v>46170</v>
      </c>
      <c r="G881" s="12" t="n">
        <v>46182</v>
      </c>
      <c r="H881" s="12" t="n">
        <v>46177</v>
      </c>
      <c r="I881" s="12" t="n">
        <v>46177</v>
      </c>
      <c r="J881" s="12" t="n">
        <v>46182</v>
      </c>
      <c r="K881" s="2" t="n">
        <v>548</v>
      </c>
      <c r="L881" s="2" t="inlineStr">
        <is>
          <t>Sea</t>
        </is>
      </c>
      <c r="M881" s="2" t="inlineStr">
        <is>
          <t>No Delay</t>
        </is>
      </c>
      <c r="N881" s="4">
        <f>IF(I881&lt;=H881,1,0)</f>
        <v/>
      </c>
      <c r="O881" s="4">
        <f>IF(J881&lt;=G881,1,0)</f>
        <v/>
      </c>
      <c r="P881" s="4">
        <f>MAX(0,I881-H881)</f>
        <v/>
      </c>
      <c r="Q881" s="4">
        <f>MAX(0,J881-G881)</f>
        <v/>
      </c>
      <c r="R881" s="4">
        <f>IF(AND(N881=1,O881=1),"On Track",IF(O881=0,"Customer Delivery Late","Ship Late"))</f>
        <v/>
      </c>
    </row>
    <row r="882">
      <c r="A882" s="2" t="inlineStr">
        <is>
          <t>ORD-00881</t>
        </is>
      </c>
      <c r="B882" s="2" t="inlineStr">
        <is>
          <t>Customer 18</t>
        </is>
      </c>
      <c r="C882" s="2" t="inlineStr">
        <is>
          <t>Drive</t>
        </is>
      </c>
      <c r="D882" s="2" t="inlineStr">
        <is>
          <t>Plant C</t>
        </is>
      </c>
      <c r="E882" s="2" t="inlineStr">
        <is>
          <t>North</t>
        </is>
      </c>
      <c r="F882" s="12" t="n">
        <v>46030</v>
      </c>
      <c r="G882" s="12" t="n">
        <v>46036</v>
      </c>
      <c r="H882" s="12" t="n">
        <v>46033</v>
      </c>
      <c r="I882" s="12" t="n">
        <v>46031</v>
      </c>
      <c r="J882" s="12" t="n">
        <v>46033</v>
      </c>
      <c r="K882" s="2" t="n">
        <v>492</v>
      </c>
      <c r="L882" s="2" t="inlineStr">
        <is>
          <t>Air</t>
        </is>
      </c>
      <c r="M882" s="2" t="inlineStr">
        <is>
          <t>No Delay</t>
        </is>
      </c>
      <c r="N882" s="4">
        <f>IF(I882&lt;=H882,1,0)</f>
        <v/>
      </c>
      <c r="O882" s="4">
        <f>IF(J882&lt;=G882,1,0)</f>
        <v/>
      </c>
      <c r="P882" s="4">
        <f>MAX(0,I882-H882)</f>
        <v/>
      </c>
      <c r="Q882" s="4">
        <f>MAX(0,J882-G882)</f>
        <v/>
      </c>
      <c r="R882" s="4">
        <f>IF(AND(N882=1,O882=1),"On Track",IF(O882=0,"Customer Delivery Late","Ship Late"))</f>
        <v/>
      </c>
    </row>
    <row r="883">
      <c r="A883" s="2" t="inlineStr">
        <is>
          <t>ORD-00882</t>
        </is>
      </c>
      <c r="B883" s="2" t="inlineStr">
        <is>
          <t>Customer 20</t>
        </is>
      </c>
      <c r="C883" s="2" t="inlineStr">
        <is>
          <t>Contactor</t>
        </is>
      </c>
      <c r="D883" s="2" t="inlineStr">
        <is>
          <t>Plant C</t>
        </is>
      </c>
      <c r="E883" s="2" t="inlineStr">
        <is>
          <t>Export</t>
        </is>
      </c>
      <c r="F883" s="12" t="n">
        <v>46041</v>
      </c>
      <c r="G883" s="12" t="n">
        <v>46064</v>
      </c>
      <c r="H883" s="12" t="n">
        <v>46059</v>
      </c>
      <c r="I883" s="12" t="n">
        <v>46057</v>
      </c>
      <c r="J883" s="12" t="n">
        <v>46061</v>
      </c>
      <c r="K883" s="2" t="n">
        <v>275</v>
      </c>
      <c r="L883" s="2" t="inlineStr">
        <is>
          <t>Air</t>
        </is>
      </c>
      <c r="M883" s="2" t="inlineStr">
        <is>
          <t>No Delay</t>
        </is>
      </c>
      <c r="N883" s="4">
        <f>IF(I883&lt;=H883,1,0)</f>
        <v/>
      </c>
      <c r="O883" s="4">
        <f>IF(J883&lt;=G883,1,0)</f>
        <v/>
      </c>
      <c r="P883" s="4">
        <f>MAX(0,I883-H883)</f>
        <v/>
      </c>
      <c r="Q883" s="4">
        <f>MAX(0,J883-G883)</f>
        <v/>
      </c>
      <c r="R883" s="4">
        <f>IF(AND(N883=1,O883=1),"On Track",IF(O883=0,"Customer Delivery Late","Ship Late"))</f>
        <v/>
      </c>
    </row>
    <row r="884">
      <c r="A884" s="2" t="inlineStr">
        <is>
          <t>ORD-00883</t>
        </is>
      </c>
      <c r="B884" s="2" t="inlineStr">
        <is>
          <t>Customer 26</t>
        </is>
      </c>
      <c r="C884" s="2" t="inlineStr">
        <is>
          <t>PLC</t>
        </is>
      </c>
      <c r="D884" s="2" t="inlineStr">
        <is>
          <t>Plant A</t>
        </is>
      </c>
      <c r="E884" s="2" t="inlineStr">
        <is>
          <t>North</t>
        </is>
      </c>
      <c r="F884" s="12" t="n">
        <v>46033</v>
      </c>
      <c r="G884" s="12" t="n">
        <v>46041</v>
      </c>
      <c r="H884" s="12" t="n">
        <v>46040</v>
      </c>
      <c r="I884" s="12" t="n">
        <v>46038</v>
      </c>
      <c r="J884" s="12" t="n">
        <v>46039</v>
      </c>
      <c r="K884" s="2" t="n">
        <v>63</v>
      </c>
      <c r="L884" s="2" t="inlineStr">
        <is>
          <t>Road</t>
        </is>
      </c>
      <c r="M884" s="2" t="inlineStr">
        <is>
          <t>No Delay</t>
        </is>
      </c>
      <c r="N884" s="4">
        <f>IF(I884&lt;=H884,1,0)</f>
        <v/>
      </c>
      <c r="O884" s="4">
        <f>IF(J884&lt;=G884,1,0)</f>
        <v/>
      </c>
      <c r="P884" s="4">
        <f>MAX(0,I884-H884)</f>
        <v/>
      </c>
      <c r="Q884" s="4">
        <f>MAX(0,J884-G884)</f>
        <v/>
      </c>
      <c r="R884" s="4">
        <f>IF(AND(N884=1,O884=1),"On Track",IF(O884=0,"Customer Delivery Late","Ship Late"))</f>
        <v/>
      </c>
    </row>
    <row r="885">
      <c r="A885" s="2" t="inlineStr">
        <is>
          <t>ORD-00884</t>
        </is>
      </c>
      <c r="B885" s="2" t="inlineStr">
        <is>
          <t>Customer 25</t>
        </is>
      </c>
      <c r="C885" s="2" t="inlineStr">
        <is>
          <t>Power Supply</t>
        </is>
      </c>
      <c r="D885" s="2" t="inlineStr">
        <is>
          <t>Plant C</t>
        </is>
      </c>
      <c r="E885" s="2" t="inlineStr">
        <is>
          <t>Central</t>
        </is>
      </c>
      <c r="F885" s="12" t="n">
        <v>46159</v>
      </c>
      <c r="G885" s="12" t="n">
        <v>46183</v>
      </c>
      <c r="H885" s="12" t="n">
        <v>46179</v>
      </c>
      <c r="I885" s="12" t="n">
        <v>46179</v>
      </c>
      <c r="J885" s="12" t="n">
        <v>46184</v>
      </c>
      <c r="K885" s="2" t="n">
        <v>890</v>
      </c>
      <c r="L885" s="2" t="inlineStr">
        <is>
          <t>Sea</t>
        </is>
      </c>
      <c r="M885" s="2" t="inlineStr">
        <is>
          <t>Documentation Issue</t>
        </is>
      </c>
      <c r="N885" s="4">
        <f>IF(I885&lt;=H885,1,0)</f>
        <v/>
      </c>
      <c r="O885" s="4">
        <f>IF(J885&lt;=G885,1,0)</f>
        <v/>
      </c>
      <c r="P885" s="4">
        <f>MAX(0,I885-H885)</f>
        <v/>
      </c>
      <c r="Q885" s="4">
        <f>MAX(0,J885-G885)</f>
        <v/>
      </c>
      <c r="R885" s="4">
        <f>IF(AND(N885=1,O885=1),"On Track",IF(O885=0,"Customer Delivery Late","Ship Late"))</f>
        <v/>
      </c>
    </row>
    <row r="886">
      <c r="A886" s="2" t="inlineStr">
        <is>
          <t>ORD-00885</t>
        </is>
      </c>
      <c r="B886" s="2" t="inlineStr">
        <is>
          <t>Customer 14</t>
        </is>
      </c>
      <c r="C886" s="2" t="inlineStr">
        <is>
          <t>Breaker</t>
        </is>
      </c>
      <c r="D886" s="2" t="inlineStr">
        <is>
          <t>Plant A</t>
        </is>
      </c>
      <c r="E886" s="2" t="inlineStr">
        <is>
          <t>Central</t>
        </is>
      </c>
      <c r="F886" s="12" t="n">
        <v>46132</v>
      </c>
      <c r="G886" s="12" t="n">
        <v>46154</v>
      </c>
      <c r="H886" s="12" t="n">
        <v>46152</v>
      </c>
      <c r="I886" s="12" t="n">
        <v>46150</v>
      </c>
      <c r="J886" s="12" t="n">
        <v>46152</v>
      </c>
      <c r="K886" s="2" t="n">
        <v>198</v>
      </c>
      <c r="L886" s="2" t="inlineStr">
        <is>
          <t>Sea</t>
        </is>
      </c>
      <c r="M886" s="2" t="inlineStr">
        <is>
          <t>No Delay</t>
        </is>
      </c>
      <c r="N886" s="4">
        <f>IF(I886&lt;=H886,1,0)</f>
        <v/>
      </c>
      <c r="O886" s="4">
        <f>IF(J886&lt;=G886,1,0)</f>
        <v/>
      </c>
      <c r="P886" s="4">
        <f>MAX(0,I886-H886)</f>
        <v/>
      </c>
      <c r="Q886" s="4">
        <f>MAX(0,J886-G886)</f>
        <v/>
      </c>
      <c r="R886" s="4">
        <f>IF(AND(N886=1,O886=1),"On Track",IF(O886=0,"Customer Delivery Late","Ship Late"))</f>
        <v/>
      </c>
    </row>
    <row r="887">
      <c r="A887" s="2" t="inlineStr">
        <is>
          <t>ORD-00886</t>
        </is>
      </c>
      <c r="B887" s="2" t="inlineStr">
        <is>
          <t>Customer 08</t>
        </is>
      </c>
      <c r="C887" s="2" t="inlineStr">
        <is>
          <t>Breaker</t>
        </is>
      </c>
      <c r="D887" s="2" t="inlineStr">
        <is>
          <t>Plant A</t>
        </is>
      </c>
      <c r="E887" s="2" t="inlineStr">
        <is>
          <t>North</t>
        </is>
      </c>
      <c r="F887" s="12" t="n">
        <v>46025</v>
      </c>
      <c r="G887" s="12" t="n">
        <v>46037</v>
      </c>
      <c r="H887" s="12" t="n">
        <v>46033</v>
      </c>
      <c r="I887" s="12" t="n">
        <v>46033</v>
      </c>
      <c r="J887" s="12" t="n">
        <v>46036</v>
      </c>
      <c r="K887" s="2" t="n">
        <v>269</v>
      </c>
      <c r="L887" s="2" t="inlineStr">
        <is>
          <t>Air</t>
        </is>
      </c>
      <c r="M887" s="2" t="inlineStr">
        <is>
          <t>No Delay</t>
        </is>
      </c>
      <c r="N887" s="4">
        <f>IF(I887&lt;=H887,1,0)</f>
        <v/>
      </c>
      <c r="O887" s="4">
        <f>IF(J887&lt;=G887,1,0)</f>
        <v/>
      </c>
      <c r="P887" s="4">
        <f>MAX(0,I887-H887)</f>
        <v/>
      </c>
      <c r="Q887" s="4">
        <f>MAX(0,J887-G887)</f>
        <v/>
      </c>
      <c r="R887" s="4">
        <f>IF(AND(N887=1,O887=1),"On Track",IF(O887=0,"Customer Delivery Late","Ship Late"))</f>
        <v/>
      </c>
    </row>
    <row r="888">
      <c r="A888" s="2" t="inlineStr">
        <is>
          <t>ORD-00887</t>
        </is>
      </c>
      <c r="B888" s="2" t="inlineStr">
        <is>
          <t>Customer 13</t>
        </is>
      </c>
      <c r="C888" s="2" t="inlineStr">
        <is>
          <t>Switchgear</t>
        </is>
      </c>
      <c r="D888" s="2" t="inlineStr">
        <is>
          <t>Plant C</t>
        </is>
      </c>
      <c r="E888" s="2" t="inlineStr">
        <is>
          <t>North</t>
        </is>
      </c>
      <c r="F888" s="12" t="n">
        <v>46069</v>
      </c>
      <c r="G888" s="12" t="n">
        <v>46083</v>
      </c>
      <c r="H888" s="12" t="n">
        <v>46082</v>
      </c>
      <c r="I888" s="12" t="n">
        <v>46082</v>
      </c>
      <c r="J888" s="12" t="n">
        <v>46083</v>
      </c>
      <c r="K888" s="2" t="n">
        <v>1354</v>
      </c>
      <c r="L888" s="2" t="inlineStr">
        <is>
          <t>Road</t>
        </is>
      </c>
      <c r="M888" s="2" t="inlineStr">
        <is>
          <t>No Delay</t>
        </is>
      </c>
      <c r="N888" s="4">
        <f>IF(I888&lt;=H888,1,0)</f>
        <v/>
      </c>
      <c r="O888" s="4">
        <f>IF(J888&lt;=G888,1,0)</f>
        <v/>
      </c>
      <c r="P888" s="4">
        <f>MAX(0,I888-H888)</f>
        <v/>
      </c>
      <c r="Q888" s="4">
        <f>MAX(0,J888-G888)</f>
        <v/>
      </c>
      <c r="R888" s="4">
        <f>IF(AND(N888=1,O888=1),"On Track",IF(O888=0,"Customer Delivery Late","Ship Late"))</f>
        <v/>
      </c>
    </row>
    <row r="889">
      <c r="A889" s="2" t="inlineStr">
        <is>
          <t>ORD-00888</t>
        </is>
      </c>
      <c r="B889" s="2" t="inlineStr">
        <is>
          <t>Customer 10</t>
        </is>
      </c>
      <c r="C889" s="2" t="inlineStr">
        <is>
          <t>Drive</t>
        </is>
      </c>
      <c r="D889" s="2" t="inlineStr">
        <is>
          <t>Plant C</t>
        </is>
      </c>
      <c r="E889" s="2" t="inlineStr">
        <is>
          <t>South</t>
        </is>
      </c>
      <c r="F889" s="12" t="n">
        <v>46042</v>
      </c>
      <c r="G889" s="12" t="n">
        <v>46055</v>
      </c>
      <c r="H889" s="12" t="n">
        <v>46050</v>
      </c>
      <c r="I889" s="12" t="n">
        <v>46050</v>
      </c>
      <c r="J889" s="12" t="n">
        <v>46055</v>
      </c>
      <c r="K889" s="2" t="n">
        <v>1348</v>
      </c>
      <c r="L889" s="2" t="inlineStr">
        <is>
          <t>Road</t>
        </is>
      </c>
      <c r="M889" s="2" t="inlineStr">
        <is>
          <t>No Delay</t>
        </is>
      </c>
      <c r="N889" s="4">
        <f>IF(I889&lt;=H889,1,0)</f>
        <v/>
      </c>
      <c r="O889" s="4">
        <f>IF(J889&lt;=G889,1,0)</f>
        <v/>
      </c>
      <c r="P889" s="4">
        <f>MAX(0,I889-H889)</f>
        <v/>
      </c>
      <c r="Q889" s="4">
        <f>MAX(0,J889-G889)</f>
        <v/>
      </c>
      <c r="R889" s="4">
        <f>IF(AND(N889=1,O889=1),"On Track",IF(O889=0,"Customer Delivery Late","Ship Late"))</f>
        <v/>
      </c>
    </row>
    <row r="890">
      <c r="A890" s="2" t="inlineStr">
        <is>
          <t>ORD-00889</t>
        </is>
      </c>
      <c r="B890" s="2" t="inlineStr">
        <is>
          <t>Customer 14</t>
        </is>
      </c>
      <c r="C890" s="2" t="inlineStr">
        <is>
          <t>Switchgear</t>
        </is>
      </c>
      <c r="D890" s="2" t="inlineStr">
        <is>
          <t>Plant B</t>
        </is>
      </c>
      <c r="E890" s="2" t="inlineStr">
        <is>
          <t>North</t>
        </is>
      </c>
      <c r="F890" s="12" t="n">
        <v>46157</v>
      </c>
      <c r="G890" s="12" t="n">
        <v>46170</v>
      </c>
      <c r="H890" s="12" t="n">
        <v>46167</v>
      </c>
      <c r="I890" s="12" t="n">
        <v>46167</v>
      </c>
      <c r="J890" s="12" t="n">
        <v>46169</v>
      </c>
      <c r="K890" s="2" t="n">
        <v>426</v>
      </c>
      <c r="L890" s="2" t="inlineStr">
        <is>
          <t>Road</t>
        </is>
      </c>
      <c r="M890" s="2" t="inlineStr">
        <is>
          <t>No Delay</t>
        </is>
      </c>
      <c r="N890" s="4">
        <f>IF(I890&lt;=H890,1,0)</f>
        <v/>
      </c>
      <c r="O890" s="4">
        <f>IF(J890&lt;=G890,1,0)</f>
        <v/>
      </c>
      <c r="P890" s="4">
        <f>MAX(0,I890-H890)</f>
        <v/>
      </c>
      <c r="Q890" s="4">
        <f>MAX(0,J890-G890)</f>
        <v/>
      </c>
      <c r="R890" s="4">
        <f>IF(AND(N890=1,O890=1),"On Track",IF(O890=0,"Customer Delivery Late","Ship Late"))</f>
        <v/>
      </c>
    </row>
    <row r="891">
      <c r="A891" s="2" t="inlineStr">
        <is>
          <t>ORD-00890</t>
        </is>
      </c>
      <c r="B891" s="2" t="inlineStr">
        <is>
          <t>Customer 26</t>
        </is>
      </c>
      <c r="C891" s="2" t="inlineStr">
        <is>
          <t>Relay</t>
        </is>
      </c>
      <c r="D891" s="2" t="inlineStr">
        <is>
          <t>Plant A</t>
        </is>
      </c>
      <c r="E891" s="2" t="inlineStr">
        <is>
          <t>Central</t>
        </is>
      </c>
      <c r="F891" s="12" t="n">
        <v>46156</v>
      </c>
      <c r="G891" s="12" t="n">
        <v>46168</v>
      </c>
      <c r="H891" s="12" t="n">
        <v>46165</v>
      </c>
      <c r="I891" s="12" t="n">
        <v>46163</v>
      </c>
      <c r="J891" s="12" t="n">
        <v>46166</v>
      </c>
      <c r="K891" s="2" t="n">
        <v>1440</v>
      </c>
      <c r="L891" s="2" t="inlineStr">
        <is>
          <t>Air</t>
        </is>
      </c>
      <c r="M891" s="2" t="inlineStr">
        <is>
          <t>No Delay</t>
        </is>
      </c>
      <c r="N891" s="4">
        <f>IF(I891&lt;=H891,1,0)</f>
        <v/>
      </c>
      <c r="O891" s="4">
        <f>IF(J891&lt;=G891,1,0)</f>
        <v/>
      </c>
      <c r="P891" s="4">
        <f>MAX(0,I891-H891)</f>
        <v/>
      </c>
      <c r="Q891" s="4">
        <f>MAX(0,J891-G891)</f>
        <v/>
      </c>
      <c r="R891" s="4">
        <f>IF(AND(N891=1,O891=1),"On Track",IF(O891=0,"Customer Delivery Late","Ship Late"))</f>
        <v/>
      </c>
    </row>
    <row r="892">
      <c r="A892" s="2" t="inlineStr">
        <is>
          <t>ORD-00891</t>
        </is>
      </c>
      <c r="B892" s="2" t="inlineStr">
        <is>
          <t>Customer 10</t>
        </is>
      </c>
      <c r="C892" s="2" t="inlineStr">
        <is>
          <t>Contactor</t>
        </is>
      </c>
      <c r="D892" s="2" t="inlineStr">
        <is>
          <t>Plant A</t>
        </is>
      </c>
      <c r="E892" s="2" t="inlineStr">
        <is>
          <t>South</t>
        </is>
      </c>
      <c r="F892" s="12" t="n">
        <v>46189</v>
      </c>
      <c r="G892" s="12" t="n">
        <v>46208</v>
      </c>
      <c r="H892" s="12" t="n">
        <v>46207</v>
      </c>
      <c r="I892" s="12" t="n">
        <v>46205</v>
      </c>
      <c r="J892" s="12" t="n">
        <v>46206</v>
      </c>
      <c r="K892" s="2" t="n">
        <v>1258</v>
      </c>
      <c r="L892" s="2" t="inlineStr">
        <is>
          <t>Air</t>
        </is>
      </c>
      <c r="M892" s="2" t="inlineStr">
        <is>
          <t>No Delay</t>
        </is>
      </c>
      <c r="N892" s="4">
        <f>IF(I892&lt;=H892,1,0)</f>
        <v/>
      </c>
      <c r="O892" s="4">
        <f>IF(J892&lt;=G892,1,0)</f>
        <v/>
      </c>
      <c r="P892" s="4">
        <f>MAX(0,I892-H892)</f>
        <v/>
      </c>
      <c r="Q892" s="4">
        <f>MAX(0,J892-G892)</f>
        <v/>
      </c>
      <c r="R892" s="4">
        <f>IF(AND(N892=1,O892=1),"On Track",IF(O892=0,"Customer Delivery Late","Ship Late"))</f>
        <v/>
      </c>
    </row>
    <row r="893">
      <c r="A893" s="2" t="inlineStr">
        <is>
          <t>ORD-00892</t>
        </is>
      </c>
      <c r="B893" s="2" t="inlineStr">
        <is>
          <t>Customer 22</t>
        </is>
      </c>
      <c r="C893" s="2" t="inlineStr">
        <is>
          <t>Power Supply</t>
        </is>
      </c>
      <c r="D893" s="2" t="inlineStr">
        <is>
          <t>Plant C</t>
        </is>
      </c>
      <c r="E893" s="2" t="inlineStr">
        <is>
          <t>North</t>
        </is>
      </c>
      <c r="F893" s="12" t="n">
        <v>46149</v>
      </c>
      <c r="G893" s="12" t="n">
        <v>46154</v>
      </c>
      <c r="H893" s="12" t="n">
        <v>46150</v>
      </c>
      <c r="I893" s="12" t="n">
        <v>46148</v>
      </c>
      <c r="J893" s="12" t="n">
        <v>46152</v>
      </c>
      <c r="K893" s="2" t="n">
        <v>1362</v>
      </c>
      <c r="L893" s="2" t="inlineStr">
        <is>
          <t>Air</t>
        </is>
      </c>
      <c r="M893" s="2" t="inlineStr">
        <is>
          <t>No Delay</t>
        </is>
      </c>
      <c r="N893" s="4">
        <f>IF(I893&lt;=H893,1,0)</f>
        <v/>
      </c>
      <c r="O893" s="4">
        <f>IF(J893&lt;=G893,1,0)</f>
        <v/>
      </c>
      <c r="P893" s="4">
        <f>MAX(0,I893-H893)</f>
        <v/>
      </c>
      <c r="Q893" s="4">
        <f>MAX(0,J893-G893)</f>
        <v/>
      </c>
      <c r="R893" s="4">
        <f>IF(AND(N893=1,O893=1),"On Track",IF(O893=0,"Customer Delivery Late","Ship Late"))</f>
        <v/>
      </c>
    </row>
    <row r="894">
      <c r="A894" s="2" t="inlineStr">
        <is>
          <t>ORD-00893</t>
        </is>
      </c>
      <c r="B894" s="2" t="inlineStr">
        <is>
          <t>Customer 19</t>
        </is>
      </c>
      <c r="C894" s="2" t="inlineStr">
        <is>
          <t>PLC</t>
        </is>
      </c>
      <c r="D894" s="2" t="inlineStr">
        <is>
          <t>Plant A</t>
        </is>
      </c>
      <c r="E894" s="2" t="inlineStr">
        <is>
          <t>South</t>
        </is>
      </c>
      <c r="F894" s="12" t="n">
        <v>46031</v>
      </c>
      <c r="G894" s="12" t="n">
        <v>46053</v>
      </c>
      <c r="H894" s="12" t="n">
        <v>46050</v>
      </c>
      <c r="I894" s="12" t="n">
        <v>46050</v>
      </c>
      <c r="J894" s="12" t="n">
        <v>46053</v>
      </c>
      <c r="K894" s="2" t="n">
        <v>1496</v>
      </c>
      <c r="L894" s="2" t="inlineStr">
        <is>
          <t>Sea</t>
        </is>
      </c>
      <c r="M894" s="2" t="inlineStr">
        <is>
          <t>No Delay</t>
        </is>
      </c>
      <c r="N894" s="4">
        <f>IF(I894&lt;=H894,1,0)</f>
        <v/>
      </c>
      <c r="O894" s="4">
        <f>IF(J894&lt;=G894,1,0)</f>
        <v/>
      </c>
      <c r="P894" s="4">
        <f>MAX(0,I894-H894)</f>
        <v/>
      </c>
      <c r="Q894" s="4">
        <f>MAX(0,J894-G894)</f>
        <v/>
      </c>
      <c r="R894" s="4">
        <f>IF(AND(N894=1,O894=1),"On Track",IF(O894=0,"Customer Delivery Late","Ship Late"))</f>
        <v/>
      </c>
    </row>
    <row r="895">
      <c r="A895" s="2" t="inlineStr">
        <is>
          <t>ORD-00894</t>
        </is>
      </c>
      <c r="B895" s="2" t="inlineStr">
        <is>
          <t>Customer 18</t>
        </is>
      </c>
      <c r="C895" s="2" t="inlineStr">
        <is>
          <t>Switchgear</t>
        </is>
      </c>
      <c r="D895" s="2" t="inlineStr">
        <is>
          <t>Plant B</t>
        </is>
      </c>
      <c r="E895" s="2" t="inlineStr">
        <is>
          <t>South</t>
        </is>
      </c>
      <c r="F895" s="12" t="n">
        <v>46134</v>
      </c>
      <c r="G895" s="12" t="n">
        <v>46152</v>
      </c>
      <c r="H895" s="12" t="n">
        <v>46151</v>
      </c>
      <c r="I895" s="12" t="n">
        <v>46151</v>
      </c>
      <c r="J895" s="12" t="n">
        <v>46152</v>
      </c>
      <c r="K895" s="2" t="n">
        <v>342</v>
      </c>
      <c r="L895" s="2" t="inlineStr">
        <is>
          <t>Air</t>
        </is>
      </c>
      <c r="M895" s="2" t="inlineStr">
        <is>
          <t>No Delay</t>
        </is>
      </c>
      <c r="N895" s="4">
        <f>IF(I895&lt;=H895,1,0)</f>
        <v/>
      </c>
      <c r="O895" s="4">
        <f>IF(J895&lt;=G895,1,0)</f>
        <v/>
      </c>
      <c r="P895" s="4">
        <f>MAX(0,I895-H895)</f>
        <v/>
      </c>
      <c r="Q895" s="4">
        <f>MAX(0,J895-G895)</f>
        <v/>
      </c>
      <c r="R895" s="4">
        <f>IF(AND(N895=1,O895=1),"On Track",IF(O895=0,"Customer Delivery Late","Ship Late"))</f>
        <v/>
      </c>
    </row>
    <row r="896">
      <c r="A896" s="2" t="inlineStr">
        <is>
          <t>ORD-00895</t>
        </is>
      </c>
      <c r="B896" s="2" t="inlineStr">
        <is>
          <t>Customer 25</t>
        </is>
      </c>
      <c r="C896" s="2" t="inlineStr">
        <is>
          <t>Sensor</t>
        </is>
      </c>
      <c r="D896" s="2" t="inlineStr">
        <is>
          <t>Plant B</t>
        </is>
      </c>
      <c r="E896" s="2" t="inlineStr">
        <is>
          <t>Export</t>
        </is>
      </c>
      <c r="F896" s="12" t="n">
        <v>46142</v>
      </c>
      <c r="G896" s="12" t="n">
        <v>46154</v>
      </c>
      <c r="H896" s="12" t="n">
        <v>46152</v>
      </c>
      <c r="I896" s="12" t="n">
        <v>46151</v>
      </c>
      <c r="J896" s="12" t="n">
        <v>46152</v>
      </c>
      <c r="K896" s="2" t="n">
        <v>89</v>
      </c>
      <c r="L896" s="2" t="inlineStr">
        <is>
          <t>Sea</t>
        </is>
      </c>
      <c r="M896" s="2" t="inlineStr">
        <is>
          <t>No Delay</t>
        </is>
      </c>
      <c r="N896" s="4">
        <f>IF(I896&lt;=H896,1,0)</f>
        <v/>
      </c>
      <c r="O896" s="4">
        <f>IF(J896&lt;=G896,1,0)</f>
        <v/>
      </c>
      <c r="P896" s="4">
        <f>MAX(0,I896-H896)</f>
        <v/>
      </c>
      <c r="Q896" s="4">
        <f>MAX(0,J896-G896)</f>
        <v/>
      </c>
      <c r="R896" s="4">
        <f>IF(AND(N896=1,O896=1),"On Track",IF(O896=0,"Customer Delivery Late","Ship Late"))</f>
        <v/>
      </c>
    </row>
    <row r="897">
      <c r="A897" s="2" t="inlineStr">
        <is>
          <t>ORD-00896</t>
        </is>
      </c>
      <c r="B897" s="2" t="inlineStr">
        <is>
          <t>Customer 22</t>
        </is>
      </c>
      <c r="C897" s="2" t="inlineStr">
        <is>
          <t>Drive</t>
        </is>
      </c>
      <c r="D897" s="2" t="inlineStr">
        <is>
          <t>Plant B</t>
        </is>
      </c>
      <c r="E897" s="2" t="inlineStr">
        <is>
          <t>Central</t>
        </is>
      </c>
      <c r="F897" s="12" t="n">
        <v>46093</v>
      </c>
      <c r="G897" s="12" t="n">
        <v>46109</v>
      </c>
      <c r="H897" s="12" t="n">
        <v>46106</v>
      </c>
      <c r="I897" s="12" t="n">
        <v>46106</v>
      </c>
      <c r="J897" s="12" t="n">
        <v>46108</v>
      </c>
      <c r="K897" s="2" t="n">
        <v>918</v>
      </c>
      <c r="L897" s="2" t="inlineStr">
        <is>
          <t>Air</t>
        </is>
      </c>
      <c r="M897" s="2" t="inlineStr">
        <is>
          <t>No Delay</t>
        </is>
      </c>
      <c r="N897" s="4">
        <f>IF(I897&lt;=H897,1,0)</f>
        <v/>
      </c>
      <c r="O897" s="4">
        <f>IF(J897&lt;=G897,1,0)</f>
        <v/>
      </c>
      <c r="P897" s="4">
        <f>MAX(0,I897-H897)</f>
        <v/>
      </c>
      <c r="Q897" s="4">
        <f>MAX(0,J897-G897)</f>
        <v/>
      </c>
      <c r="R897" s="4">
        <f>IF(AND(N897=1,O897=1),"On Track",IF(O897=0,"Customer Delivery Late","Ship Late"))</f>
        <v/>
      </c>
    </row>
    <row r="898">
      <c r="A898" s="2" t="inlineStr">
        <is>
          <t>ORD-00897</t>
        </is>
      </c>
      <c r="B898" s="2" t="inlineStr">
        <is>
          <t>Customer 02</t>
        </is>
      </c>
      <c r="C898" s="2" t="inlineStr">
        <is>
          <t>Contactor</t>
        </is>
      </c>
      <c r="D898" s="2" t="inlineStr">
        <is>
          <t>Plant B</t>
        </is>
      </c>
      <c r="E898" s="2" t="inlineStr">
        <is>
          <t>South</t>
        </is>
      </c>
      <c r="F898" s="12" t="n">
        <v>46027</v>
      </c>
      <c r="G898" s="12" t="n">
        <v>46046</v>
      </c>
      <c r="H898" s="12" t="n">
        <v>46045</v>
      </c>
      <c r="I898" s="12" t="n">
        <v>46044</v>
      </c>
      <c r="J898" s="12" t="n">
        <v>46046</v>
      </c>
      <c r="K898" s="2" t="n">
        <v>141</v>
      </c>
      <c r="L898" s="2" t="inlineStr">
        <is>
          <t>Air</t>
        </is>
      </c>
      <c r="M898" s="2" t="inlineStr">
        <is>
          <t>No Delay</t>
        </is>
      </c>
      <c r="N898" s="4">
        <f>IF(I898&lt;=H898,1,0)</f>
        <v/>
      </c>
      <c r="O898" s="4">
        <f>IF(J898&lt;=G898,1,0)</f>
        <v/>
      </c>
      <c r="P898" s="4">
        <f>MAX(0,I898-H898)</f>
        <v/>
      </c>
      <c r="Q898" s="4">
        <f>MAX(0,J898-G898)</f>
        <v/>
      </c>
      <c r="R898" s="4">
        <f>IF(AND(N898=1,O898=1),"On Track",IF(O898=0,"Customer Delivery Late","Ship Late"))</f>
        <v/>
      </c>
    </row>
    <row r="899">
      <c r="A899" s="2" t="inlineStr">
        <is>
          <t>ORD-00898</t>
        </is>
      </c>
      <c r="B899" s="2" t="inlineStr">
        <is>
          <t>Customer 05</t>
        </is>
      </c>
      <c r="C899" s="2" t="inlineStr">
        <is>
          <t>Breaker</t>
        </is>
      </c>
      <c r="D899" s="2" t="inlineStr">
        <is>
          <t>Plant A</t>
        </is>
      </c>
      <c r="E899" s="2" t="inlineStr">
        <is>
          <t>North</t>
        </is>
      </c>
      <c r="F899" s="12" t="n">
        <v>46069</v>
      </c>
      <c r="G899" s="12" t="n">
        <v>46082</v>
      </c>
      <c r="H899" s="12" t="n">
        <v>46079</v>
      </c>
      <c r="I899" s="12" t="n">
        <v>46078</v>
      </c>
      <c r="J899" s="12" t="n">
        <v>46081</v>
      </c>
      <c r="K899" s="2" t="n">
        <v>1350</v>
      </c>
      <c r="L899" s="2" t="inlineStr">
        <is>
          <t>Road</t>
        </is>
      </c>
      <c r="M899" s="2" t="inlineStr">
        <is>
          <t>No Delay</t>
        </is>
      </c>
      <c r="N899" s="4">
        <f>IF(I899&lt;=H899,1,0)</f>
        <v/>
      </c>
      <c r="O899" s="4">
        <f>IF(J899&lt;=G899,1,0)</f>
        <v/>
      </c>
      <c r="P899" s="4">
        <f>MAX(0,I899-H899)</f>
        <v/>
      </c>
      <c r="Q899" s="4">
        <f>MAX(0,J899-G899)</f>
        <v/>
      </c>
      <c r="R899" s="4">
        <f>IF(AND(N899=1,O899=1),"On Track",IF(O899=0,"Customer Delivery Late","Ship Late"))</f>
        <v/>
      </c>
    </row>
    <row r="900">
      <c r="A900" s="2" t="inlineStr">
        <is>
          <t>ORD-00899</t>
        </is>
      </c>
      <c r="B900" s="2" t="inlineStr">
        <is>
          <t>Customer 09</t>
        </is>
      </c>
      <c r="C900" s="2" t="inlineStr">
        <is>
          <t>Sensor</t>
        </is>
      </c>
      <c r="D900" s="2" t="inlineStr">
        <is>
          <t>Plant A</t>
        </is>
      </c>
      <c r="E900" s="2" t="inlineStr">
        <is>
          <t>South</t>
        </is>
      </c>
      <c r="F900" s="12" t="n">
        <v>46070</v>
      </c>
      <c r="G900" s="12" t="n">
        <v>46091</v>
      </c>
      <c r="H900" s="12" t="n">
        <v>46087</v>
      </c>
      <c r="I900" s="12" t="n">
        <v>46085</v>
      </c>
      <c r="J900" s="12" t="n">
        <v>46088</v>
      </c>
      <c r="K900" s="2" t="n">
        <v>1116</v>
      </c>
      <c r="L900" s="2" t="inlineStr">
        <is>
          <t>Sea</t>
        </is>
      </c>
      <c r="M900" s="2" t="inlineStr">
        <is>
          <t>No Delay</t>
        </is>
      </c>
      <c r="N900" s="4">
        <f>IF(I900&lt;=H900,1,0)</f>
        <v/>
      </c>
      <c r="O900" s="4">
        <f>IF(J900&lt;=G900,1,0)</f>
        <v/>
      </c>
      <c r="P900" s="4">
        <f>MAX(0,I900-H900)</f>
        <v/>
      </c>
      <c r="Q900" s="4">
        <f>MAX(0,J900-G900)</f>
        <v/>
      </c>
      <c r="R900" s="4">
        <f>IF(AND(N900=1,O900=1),"On Track",IF(O900=0,"Customer Delivery Late","Ship Late"))</f>
        <v/>
      </c>
    </row>
    <row r="901">
      <c r="A901" s="2" t="inlineStr">
        <is>
          <t>ORD-00900</t>
        </is>
      </c>
      <c r="B901" s="2" t="inlineStr">
        <is>
          <t>Customer 08</t>
        </is>
      </c>
      <c r="C901" s="2" t="inlineStr">
        <is>
          <t>PLC</t>
        </is>
      </c>
      <c r="D901" s="2" t="inlineStr">
        <is>
          <t>Plant B</t>
        </is>
      </c>
      <c r="E901" s="2" t="inlineStr">
        <is>
          <t>South</t>
        </is>
      </c>
      <c r="F901" s="12" t="n">
        <v>46034</v>
      </c>
      <c r="G901" s="12" t="n">
        <v>46058</v>
      </c>
      <c r="H901" s="12" t="n">
        <v>46056</v>
      </c>
      <c r="I901" s="12" t="n">
        <v>46054</v>
      </c>
      <c r="J901" s="12" t="n">
        <v>46055</v>
      </c>
      <c r="K901" s="2" t="n">
        <v>1404</v>
      </c>
      <c r="L901" s="2" t="inlineStr">
        <is>
          <t>Air</t>
        </is>
      </c>
      <c r="M901" s="2" t="inlineStr">
        <is>
          <t>No Delay</t>
        </is>
      </c>
      <c r="N901" s="4">
        <f>IF(I901&lt;=H901,1,0)</f>
        <v/>
      </c>
      <c r="O901" s="4">
        <f>IF(J901&lt;=G901,1,0)</f>
        <v/>
      </c>
      <c r="P901" s="4">
        <f>MAX(0,I901-H901)</f>
        <v/>
      </c>
      <c r="Q901" s="4">
        <f>MAX(0,J901-G901)</f>
        <v/>
      </c>
      <c r="R901" s="4">
        <f>IF(AND(N901=1,O901=1),"On Track",IF(O901=0,"Customer Delivery Late","Ship Late"))</f>
        <v/>
      </c>
    </row>
    <row r="902">
      <c r="A902" s="2" t="inlineStr">
        <is>
          <t>ORD-00901</t>
        </is>
      </c>
      <c r="B902" s="2" t="inlineStr">
        <is>
          <t>Customer 12</t>
        </is>
      </c>
      <c r="C902" s="2" t="inlineStr">
        <is>
          <t>Drive</t>
        </is>
      </c>
      <c r="D902" s="2" t="inlineStr">
        <is>
          <t>Plant B</t>
        </is>
      </c>
      <c r="E902" s="2" t="inlineStr">
        <is>
          <t>South</t>
        </is>
      </c>
      <c r="F902" s="12" t="n">
        <v>46041</v>
      </c>
      <c r="G902" s="12" t="n">
        <v>46066</v>
      </c>
      <c r="H902" s="12" t="n">
        <v>46062</v>
      </c>
      <c r="I902" s="12" t="n">
        <v>46060</v>
      </c>
      <c r="J902" s="12" t="n">
        <v>46064</v>
      </c>
      <c r="K902" s="2" t="n">
        <v>973</v>
      </c>
      <c r="L902" s="2" t="inlineStr">
        <is>
          <t>Air</t>
        </is>
      </c>
      <c r="M902" s="2" t="inlineStr">
        <is>
          <t>No Delay</t>
        </is>
      </c>
      <c r="N902" s="4">
        <f>IF(I902&lt;=H902,1,0)</f>
        <v/>
      </c>
      <c r="O902" s="4">
        <f>IF(J902&lt;=G902,1,0)</f>
        <v/>
      </c>
      <c r="P902" s="4">
        <f>MAX(0,I902-H902)</f>
        <v/>
      </c>
      <c r="Q902" s="4">
        <f>MAX(0,J902-G902)</f>
        <v/>
      </c>
      <c r="R902" s="4">
        <f>IF(AND(N902=1,O902=1),"On Track",IF(O902=0,"Customer Delivery Late","Ship Late"))</f>
        <v/>
      </c>
    </row>
    <row r="903">
      <c r="A903" s="2" t="inlineStr">
        <is>
          <t>ORD-00902</t>
        </is>
      </c>
      <c r="B903" s="2" t="inlineStr">
        <is>
          <t>Customer 20</t>
        </is>
      </c>
      <c r="C903" s="2" t="inlineStr">
        <is>
          <t>PLC</t>
        </is>
      </c>
      <c r="D903" s="2" t="inlineStr">
        <is>
          <t>Plant B</t>
        </is>
      </c>
      <c r="E903" s="2" t="inlineStr">
        <is>
          <t>South</t>
        </is>
      </c>
      <c r="F903" s="12" t="n">
        <v>46182</v>
      </c>
      <c r="G903" s="12" t="n">
        <v>46187</v>
      </c>
      <c r="H903" s="12" t="n">
        <v>46185</v>
      </c>
      <c r="I903" s="12" t="n">
        <v>46184</v>
      </c>
      <c r="J903" s="12" t="n">
        <v>46187</v>
      </c>
      <c r="K903" s="2" t="n">
        <v>450</v>
      </c>
      <c r="L903" s="2" t="inlineStr">
        <is>
          <t>Air</t>
        </is>
      </c>
      <c r="M903" s="2" t="inlineStr">
        <is>
          <t>No Delay</t>
        </is>
      </c>
      <c r="N903" s="4">
        <f>IF(I903&lt;=H903,1,0)</f>
        <v/>
      </c>
      <c r="O903" s="4">
        <f>IF(J903&lt;=G903,1,0)</f>
        <v/>
      </c>
      <c r="P903" s="4">
        <f>MAX(0,I903-H903)</f>
        <v/>
      </c>
      <c r="Q903" s="4">
        <f>MAX(0,J903-G903)</f>
        <v/>
      </c>
      <c r="R903" s="4">
        <f>IF(AND(N903=1,O903=1),"On Track",IF(O903=0,"Customer Delivery Late","Ship Late"))</f>
        <v/>
      </c>
    </row>
    <row r="904">
      <c r="A904" s="2" t="inlineStr">
        <is>
          <t>ORD-00903</t>
        </is>
      </c>
      <c r="B904" s="2" t="inlineStr">
        <is>
          <t>Customer 08</t>
        </is>
      </c>
      <c r="C904" s="2" t="inlineStr">
        <is>
          <t>Power Supply</t>
        </is>
      </c>
      <c r="D904" s="2" t="inlineStr">
        <is>
          <t>Plant C</t>
        </is>
      </c>
      <c r="E904" s="2" t="inlineStr">
        <is>
          <t>North</t>
        </is>
      </c>
      <c r="F904" s="12" t="n">
        <v>46172</v>
      </c>
      <c r="G904" s="12" t="n">
        <v>46178</v>
      </c>
      <c r="H904" s="12" t="n">
        <v>46176</v>
      </c>
      <c r="I904" s="12" t="n">
        <v>46176</v>
      </c>
      <c r="J904" s="12" t="n">
        <v>46177</v>
      </c>
      <c r="K904" s="2" t="n">
        <v>1090</v>
      </c>
      <c r="L904" s="2" t="inlineStr">
        <is>
          <t>Road</t>
        </is>
      </c>
      <c r="M904" s="2" t="inlineStr">
        <is>
          <t>No Delay</t>
        </is>
      </c>
      <c r="N904" s="4">
        <f>IF(I904&lt;=H904,1,0)</f>
        <v/>
      </c>
      <c r="O904" s="4">
        <f>IF(J904&lt;=G904,1,0)</f>
        <v/>
      </c>
      <c r="P904" s="4">
        <f>MAX(0,I904-H904)</f>
        <v/>
      </c>
      <c r="Q904" s="4">
        <f>MAX(0,J904-G904)</f>
        <v/>
      </c>
      <c r="R904" s="4">
        <f>IF(AND(N904=1,O904=1),"On Track",IF(O904=0,"Customer Delivery Late","Ship Late"))</f>
        <v/>
      </c>
    </row>
    <row r="905">
      <c r="A905" s="2" t="inlineStr">
        <is>
          <t>ORD-00904</t>
        </is>
      </c>
      <c r="B905" s="2" t="inlineStr">
        <is>
          <t>Customer 10</t>
        </is>
      </c>
      <c r="C905" s="2" t="inlineStr">
        <is>
          <t>PLC</t>
        </is>
      </c>
      <c r="D905" s="2" t="inlineStr">
        <is>
          <t>Plant B</t>
        </is>
      </c>
      <c r="E905" s="2" t="inlineStr">
        <is>
          <t>Central</t>
        </is>
      </c>
      <c r="F905" s="12" t="n">
        <v>46178</v>
      </c>
      <c r="G905" s="12" t="n">
        <v>46198</v>
      </c>
      <c r="H905" s="12" t="n">
        <v>46193</v>
      </c>
      <c r="I905" s="12" t="n">
        <v>46192</v>
      </c>
      <c r="J905" s="12" t="n">
        <v>46197</v>
      </c>
      <c r="K905" s="2" t="n">
        <v>751</v>
      </c>
      <c r="L905" s="2" t="inlineStr">
        <is>
          <t>Road</t>
        </is>
      </c>
      <c r="M905" s="2" t="inlineStr">
        <is>
          <t>No Delay</t>
        </is>
      </c>
      <c r="N905" s="4">
        <f>IF(I905&lt;=H905,1,0)</f>
        <v/>
      </c>
      <c r="O905" s="4">
        <f>IF(J905&lt;=G905,1,0)</f>
        <v/>
      </c>
      <c r="P905" s="4">
        <f>MAX(0,I905-H905)</f>
        <v/>
      </c>
      <c r="Q905" s="4">
        <f>MAX(0,J905-G905)</f>
        <v/>
      </c>
      <c r="R905" s="4">
        <f>IF(AND(N905=1,O905=1),"On Track",IF(O905=0,"Customer Delivery Late","Ship Late"))</f>
        <v/>
      </c>
    </row>
    <row r="906">
      <c r="A906" s="2" t="inlineStr">
        <is>
          <t>ORD-00905</t>
        </is>
      </c>
      <c r="B906" s="2" t="inlineStr">
        <is>
          <t>Customer 18</t>
        </is>
      </c>
      <c r="C906" s="2" t="inlineStr">
        <is>
          <t>Contactor</t>
        </is>
      </c>
      <c r="D906" s="2" t="inlineStr">
        <is>
          <t>Plant B</t>
        </is>
      </c>
      <c r="E906" s="2" t="inlineStr">
        <is>
          <t>Export</t>
        </is>
      </c>
      <c r="F906" s="12" t="n">
        <v>46139</v>
      </c>
      <c r="G906" s="12" t="n">
        <v>46154</v>
      </c>
      <c r="H906" s="12" t="n">
        <v>46153</v>
      </c>
      <c r="I906" s="12" t="n">
        <v>46152</v>
      </c>
      <c r="J906" s="12" t="n">
        <v>46153</v>
      </c>
      <c r="K906" s="2" t="n">
        <v>1249</v>
      </c>
      <c r="L906" s="2" t="inlineStr">
        <is>
          <t>Road</t>
        </is>
      </c>
      <c r="M906" s="2" t="inlineStr">
        <is>
          <t>No Delay</t>
        </is>
      </c>
      <c r="N906" s="4">
        <f>IF(I906&lt;=H906,1,0)</f>
        <v/>
      </c>
      <c r="O906" s="4">
        <f>IF(J906&lt;=G906,1,0)</f>
        <v/>
      </c>
      <c r="P906" s="4">
        <f>MAX(0,I906-H906)</f>
        <v/>
      </c>
      <c r="Q906" s="4">
        <f>MAX(0,J906-G906)</f>
        <v/>
      </c>
      <c r="R906" s="4">
        <f>IF(AND(N906=1,O906=1),"On Track",IF(O906=0,"Customer Delivery Late","Ship Late"))</f>
        <v/>
      </c>
    </row>
    <row r="907">
      <c r="A907" s="2" t="inlineStr">
        <is>
          <t>ORD-00906</t>
        </is>
      </c>
      <c r="B907" s="2" t="inlineStr">
        <is>
          <t>Customer 22</t>
        </is>
      </c>
      <c r="C907" s="2" t="inlineStr">
        <is>
          <t>Relay</t>
        </is>
      </c>
      <c r="D907" s="2" t="inlineStr">
        <is>
          <t>Plant C</t>
        </is>
      </c>
      <c r="E907" s="2" t="inlineStr">
        <is>
          <t>South</t>
        </is>
      </c>
      <c r="F907" s="12" t="n">
        <v>46137</v>
      </c>
      <c r="G907" s="12" t="n">
        <v>46155</v>
      </c>
      <c r="H907" s="12" t="n">
        <v>46153</v>
      </c>
      <c r="I907" s="12" t="n">
        <v>46151</v>
      </c>
      <c r="J907" s="12" t="n">
        <v>46153</v>
      </c>
      <c r="K907" s="2" t="n">
        <v>597</v>
      </c>
      <c r="L907" s="2" t="inlineStr">
        <is>
          <t>Air</t>
        </is>
      </c>
      <c r="M907" s="2" t="inlineStr">
        <is>
          <t>No Delay</t>
        </is>
      </c>
      <c r="N907" s="4">
        <f>IF(I907&lt;=H907,1,0)</f>
        <v/>
      </c>
      <c r="O907" s="4">
        <f>IF(J907&lt;=G907,1,0)</f>
        <v/>
      </c>
      <c r="P907" s="4">
        <f>MAX(0,I907-H907)</f>
        <v/>
      </c>
      <c r="Q907" s="4">
        <f>MAX(0,J907-G907)</f>
        <v/>
      </c>
      <c r="R907" s="4">
        <f>IF(AND(N907=1,O907=1),"On Track",IF(O907=0,"Customer Delivery Late","Ship Late"))</f>
        <v/>
      </c>
    </row>
    <row r="908">
      <c r="A908" s="2" t="inlineStr">
        <is>
          <t>ORD-00907</t>
        </is>
      </c>
      <c r="B908" s="2" t="inlineStr">
        <is>
          <t>Customer 29</t>
        </is>
      </c>
      <c r="C908" s="2" t="inlineStr">
        <is>
          <t>Relay</t>
        </is>
      </c>
      <c r="D908" s="2" t="inlineStr">
        <is>
          <t>Plant B</t>
        </is>
      </c>
      <c r="E908" s="2" t="inlineStr">
        <is>
          <t>North</t>
        </is>
      </c>
      <c r="F908" s="12" t="n">
        <v>46103</v>
      </c>
      <c r="G908" s="12" t="n">
        <v>46111</v>
      </c>
      <c r="H908" s="12" t="n">
        <v>46110</v>
      </c>
      <c r="I908" s="12" t="n">
        <v>46110</v>
      </c>
      <c r="J908" s="12" t="n">
        <v>46112</v>
      </c>
      <c r="K908" s="2" t="n">
        <v>351</v>
      </c>
      <c r="L908" s="2" t="inlineStr">
        <is>
          <t>Road</t>
        </is>
      </c>
      <c r="M908" s="2" t="inlineStr">
        <is>
          <t>Production Delay</t>
        </is>
      </c>
      <c r="N908" s="4">
        <f>IF(I908&lt;=H908,1,0)</f>
        <v/>
      </c>
      <c r="O908" s="4">
        <f>IF(J908&lt;=G908,1,0)</f>
        <v/>
      </c>
      <c r="P908" s="4">
        <f>MAX(0,I908-H908)</f>
        <v/>
      </c>
      <c r="Q908" s="4">
        <f>MAX(0,J908-G908)</f>
        <v/>
      </c>
      <c r="R908" s="4">
        <f>IF(AND(N908=1,O908=1),"On Track",IF(O908=0,"Customer Delivery Late","Ship Late"))</f>
        <v/>
      </c>
    </row>
    <row r="909">
      <c r="A909" s="2" t="inlineStr">
        <is>
          <t>ORD-00908</t>
        </is>
      </c>
      <c r="B909" s="2" t="inlineStr">
        <is>
          <t>Customer 27</t>
        </is>
      </c>
      <c r="C909" s="2" t="inlineStr">
        <is>
          <t>Power Supply</t>
        </is>
      </c>
      <c r="D909" s="2" t="inlineStr">
        <is>
          <t>Plant A</t>
        </is>
      </c>
      <c r="E909" s="2" t="inlineStr">
        <is>
          <t>Central</t>
        </is>
      </c>
      <c r="F909" s="12" t="n">
        <v>46130</v>
      </c>
      <c r="G909" s="12" t="n">
        <v>46143</v>
      </c>
      <c r="H909" s="12" t="n">
        <v>46138</v>
      </c>
      <c r="I909" s="12" t="n">
        <v>46137</v>
      </c>
      <c r="J909" s="12" t="n">
        <v>46142</v>
      </c>
      <c r="K909" s="2" t="n">
        <v>159</v>
      </c>
      <c r="L909" s="2" t="inlineStr">
        <is>
          <t>Road</t>
        </is>
      </c>
      <c r="M909" s="2" t="inlineStr">
        <is>
          <t>No Delay</t>
        </is>
      </c>
      <c r="N909" s="4">
        <f>IF(I909&lt;=H909,1,0)</f>
        <v/>
      </c>
      <c r="O909" s="4">
        <f>IF(J909&lt;=G909,1,0)</f>
        <v/>
      </c>
      <c r="P909" s="4">
        <f>MAX(0,I909-H909)</f>
        <v/>
      </c>
      <c r="Q909" s="4">
        <f>MAX(0,J909-G909)</f>
        <v/>
      </c>
      <c r="R909" s="4">
        <f>IF(AND(N909=1,O909=1),"On Track",IF(O909=0,"Customer Delivery Late","Ship Late"))</f>
        <v/>
      </c>
    </row>
    <row r="910">
      <c r="A910" s="2" t="inlineStr">
        <is>
          <t>ORD-00909</t>
        </is>
      </c>
      <c r="B910" s="2" t="inlineStr">
        <is>
          <t>Customer 08</t>
        </is>
      </c>
      <c r="C910" s="2" t="inlineStr">
        <is>
          <t>Sensor</t>
        </is>
      </c>
      <c r="D910" s="2" t="inlineStr">
        <is>
          <t>Plant A</t>
        </is>
      </c>
      <c r="E910" s="2" t="inlineStr">
        <is>
          <t>South</t>
        </is>
      </c>
      <c r="F910" s="12" t="n">
        <v>46154</v>
      </c>
      <c r="G910" s="12" t="n">
        <v>46175</v>
      </c>
      <c r="H910" s="12" t="n">
        <v>46171</v>
      </c>
      <c r="I910" s="12" t="n">
        <v>46170</v>
      </c>
      <c r="J910" s="12" t="n">
        <v>46174</v>
      </c>
      <c r="K910" s="2" t="n">
        <v>699</v>
      </c>
      <c r="L910" s="2" t="inlineStr">
        <is>
          <t>Sea</t>
        </is>
      </c>
      <c r="M910" s="2" t="inlineStr">
        <is>
          <t>No Delay</t>
        </is>
      </c>
      <c r="N910" s="4">
        <f>IF(I910&lt;=H910,1,0)</f>
        <v/>
      </c>
      <c r="O910" s="4">
        <f>IF(J910&lt;=G910,1,0)</f>
        <v/>
      </c>
      <c r="P910" s="4">
        <f>MAX(0,I910-H910)</f>
        <v/>
      </c>
      <c r="Q910" s="4">
        <f>MAX(0,J910-G910)</f>
        <v/>
      </c>
      <c r="R910" s="4">
        <f>IF(AND(N910=1,O910=1),"On Track",IF(O910=0,"Customer Delivery Late","Ship Late"))</f>
        <v/>
      </c>
    </row>
    <row r="911">
      <c r="A911" s="2" t="inlineStr">
        <is>
          <t>ORD-00910</t>
        </is>
      </c>
      <c r="B911" s="2" t="inlineStr">
        <is>
          <t>Customer 21</t>
        </is>
      </c>
      <c r="C911" s="2" t="inlineStr">
        <is>
          <t>Switchgear</t>
        </is>
      </c>
      <c r="D911" s="2" t="inlineStr">
        <is>
          <t>Plant C</t>
        </is>
      </c>
      <c r="E911" s="2" t="inlineStr">
        <is>
          <t>Export</t>
        </is>
      </c>
      <c r="F911" s="12" t="n">
        <v>46178</v>
      </c>
      <c r="G911" s="12" t="n">
        <v>46202</v>
      </c>
      <c r="H911" s="12" t="n">
        <v>46201</v>
      </c>
      <c r="I911" s="12" t="n">
        <v>46202</v>
      </c>
      <c r="J911" s="12" t="n">
        <v>46203</v>
      </c>
      <c r="K911" s="2" t="n">
        <v>602</v>
      </c>
      <c r="L911" s="2" t="inlineStr">
        <is>
          <t>Air</t>
        </is>
      </c>
      <c r="M911" s="2" t="inlineStr">
        <is>
          <t>Documentation Issue</t>
        </is>
      </c>
      <c r="N911" s="4">
        <f>IF(I911&lt;=H911,1,0)</f>
        <v/>
      </c>
      <c r="O911" s="4">
        <f>IF(J911&lt;=G911,1,0)</f>
        <v/>
      </c>
      <c r="P911" s="4">
        <f>MAX(0,I911-H911)</f>
        <v/>
      </c>
      <c r="Q911" s="4">
        <f>MAX(0,J911-G911)</f>
        <v/>
      </c>
      <c r="R911" s="4">
        <f>IF(AND(N911=1,O911=1),"On Track",IF(O911=0,"Customer Delivery Late","Ship Late"))</f>
        <v/>
      </c>
    </row>
    <row r="912">
      <c r="A912" s="2" t="inlineStr">
        <is>
          <t>ORD-00911</t>
        </is>
      </c>
      <c r="B912" s="2" t="inlineStr">
        <is>
          <t>Customer 19</t>
        </is>
      </c>
      <c r="C912" s="2" t="inlineStr">
        <is>
          <t>Drive</t>
        </is>
      </c>
      <c r="D912" s="2" t="inlineStr">
        <is>
          <t>Plant C</t>
        </is>
      </c>
      <c r="E912" s="2" t="inlineStr">
        <is>
          <t>Export</t>
        </is>
      </c>
      <c r="F912" s="12" t="n">
        <v>46202</v>
      </c>
      <c r="G912" s="12" t="n">
        <v>46211</v>
      </c>
      <c r="H912" s="12" t="n">
        <v>46209</v>
      </c>
      <c r="I912" s="12" t="n">
        <v>46209</v>
      </c>
      <c r="J912" s="12" t="n">
        <v>46211</v>
      </c>
      <c r="K912" s="2" t="n">
        <v>786</v>
      </c>
      <c r="L912" s="2" t="inlineStr">
        <is>
          <t>Air</t>
        </is>
      </c>
      <c r="M912" s="2" t="inlineStr">
        <is>
          <t>No Delay</t>
        </is>
      </c>
      <c r="N912" s="4">
        <f>IF(I912&lt;=H912,1,0)</f>
        <v/>
      </c>
      <c r="O912" s="4">
        <f>IF(J912&lt;=G912,1,0)</f>
        <v/>
      </c>
      <c r="P912" s="4">
        <f>MAX(0,I912-H912)</f>
        <v/>
      </c>
      <c r="Q912" s="4">
        <f>MAX(0,J912-G912)</f>
        <v/>
      </c>
      <c r="R912" s="4">
        <f>IF(AND(N912=1,O912=1),"On Track",IF(O912=0,"Customer Delivery Late","Ship Late"))</f>
        <v/>
      </c>
    </row>
    <row r="913">
      <c r="A913" s="2" t="inlineStr">
        <is>
          <t>ORD-00912</t>
        </is>
      </c>
      <c r="B913" s="2" t="inlineStr">
        <is>
          <t>Customer 11</t>
        </is>
      </c>
      <c r="C913" s="2" t="inlineStr">
        <is>
          <t>Breaker</t>
        </is>
      </c>
      <c r="D913" s="2" t="inlineStr">
        <is>
          <t>Plant C</t>
        </is>
      </c>
      <c r="E913" s="2" t="inlineStr">
        <is>
          <t>Export</t>
        </is>
      </c>
      <c r="F913" s="12" t="n">
        <v>46135</v>
      </c>
      <c r="G913" s="12" t="n">
        <v>46145</v>
      </c>
      <c r="H913" s="12" t="n">
        <v>46140</v>
      </c>
      <c r="I913" s="12" t="n">
        <v>46139</v>
      </c>
      <c r="J913" s="12" t="n">
        <v>46144</v>
      </c>
      <c r="K913" s="2" t="n">
        <v>594</v>
      </c>
      <c r="L913" s="2" t="inlineStr">
        <is>
          <t>Air</t>
        </is>
      </c>
      <c r="M913" s="2" t="inlineStr">
        <is>
          <t>No Delay</t>
        </is>
      </c>
      <c r="N913" s="4">
        <f>IF(I913&lt;=H913,1,0)</f>
        <v/>
      </c>
      <c r="O913" s="4">
        <f>IF(J913&lt;=G913,1,0)</f>
        <v/>
      </c>
      <c r="P913" s="4">
        <f>MAX(0,I913-H913)</f>
        <v/>
      </c>
      <c r="Q913" s="4">
        <f>MAX(0,J913-G913)</f>
        <v/>
      </c>
      <c r="R913" s="4">
        <f>IF(AND(N913=1,O913=1),"On Track",IF(O913=0,"Customer Delivery Late","Ship Late"))</f>
        <v/>
      </c>
    </row>
    <row r="914">
      <c r="A914" s="2" t="inlineStr">
        <is>
          <t>ORD-00913</t>
        </is>
      </c>
      <c r="B914" s="2" t="inlineStr">
        <is>
          <t>Customer 19</t>
        </is>
      </c>
      <c r="C914" s="2" t="inlineStr">
        <is>
          <t>Drive</t>
        </is>
      </c>
      <c r="D914" s="2" t="inlineStr">
        <is>
          <t>Plant A</t>
        </is>
      </c>
      <c r="E914" s="2" t="inlineStr">
        <is>
          <t>South</t>
        </is>
      </c>
      <c r="F914" s="12" t="n">
        <v>46121</v>
      </c>
      <c r="G914" s="12" t="n">
        <v>46136</v>
      </c>
      <c r="H914" s="12" t="n">
        <v>46134</v>
      </c>
      <c r="I914" s="12" t="n">
        <v>46132</v>
      </c>
      <c r="J914" s="12" t="n">
        <v>46134</v>
      </c>
      <c r="K914" s="2" t="n">
        <v>593</v>
      </c>
      <c r="L914" s="2" t="inlineStr">
        <is>
          <t>Road</t>
        </is>
      </c>
      <c r="M914" s="2" t="inlineStr">
        <is>
          <t>No Delay</t>
        </is>
      </c>
      <c r="N914" s="4">
        <f>IF(I914&lt;=H914,1,0)</f>
        <v/>
      </c>
      <c r="O914" s="4">
        <f>IF(J914&lt;=G914,1,0)</f>
        <v/>
      </c>
      <c r="P914" s="4">
        <f>MAX(0,I914-H914)</f>
        <v/>
      </c>
      <c r="Q914" s="4">
        <f>MAX(0,J914-G914)</f>
        <v/>
      </c>
      <c r="R914" s="4">
        <f>IF(AND(N914=1,O914=1),"On Track",IF(O914=0,"Customer Delivery Late","Ship Late"))</f>
        <v/>
      </c>
    </row>
    <row r="915">
      <c r="A915" s="2" t="inlineStr">
        <is>
          <t>ORD-00914</t>
        </is>
      </c>
      <c r="B915" s="2" t="inlineStr">
        <is>
          <t>Customer 09</t>
        </is>
      </c>
      <c r="C915" s="2" t="inlineStr">
        <is>
          <t>Contactor</t>
        </is>
      </c>
      <c r="D915" s="2" t="inlineStr">
        <is>
          <t>Plant A</t>
        </is>
      </c>
      <c r="E915" s="2" t="inlineStr">
        <is>
          <t>South</t>
        </is>
      </c>
      <c r="F915" s="12" t="n">
        <v>46053</v>
      </c>
      <c r="G915" s="12" t="n">
        <v>46067</v>
      </c>
      <c r="H915" s="12" t="n">
        <v>46064</v>
      </c>
      <c r="I915" s="12" t="n">
        <v>46062</v>
      </c>
      <c r="J915" s="12" t="n">
        <v>46065</v>
      </c>
      <c r="K915" s="2" t="n">
        <v>298</v>
      </c>
      <c r="L915" s="2" t="inlineStr">
        <is>
          <t>Road</t>
        </is>
      </c>
      <c r="M915" s="2" t="inlineStr">
        <is>
          <t>No Delay</t>
        </is>
      </c>
      <c r="N915" s="4">
        <f>IF(I915&lt;=H915,1,0)</f>
        <v/>
      </c>
      <c r="O915" s="4">
        <f>IF(J915&lt;=G915,1,0)</f>
        <v/>
      </c>
      <c r="P915" s="4">
        <f>MAX(0,I915-H915)</f>
        <v/>
      </c>
      <c r="Q915" s="4">
        <f>MAX(0,J915-G915)</f>
        <v/>
      </c>
      <c r="R915" s="4">
        <f>IF(AND(N915=1,O915=1),"On Track",IF(O915=0,"Customer Delivery Late","Ship Late"))</f>
        <v/>
      </c>
    </row>
    <row r="916">
      <c r="A916" s="2" t="inlineStr">
        <is>
          <t>ORD-00915</t>
        </is>
      </c>
      <c r="B916" s="2" t="inlineStr">
        <is>
          <t>Customer 07</t>
        </is>
      </c>
      <c r="C916" s="2" t="inlineStr">
        <is>
          <t>Breaker</t>
        </is>
      </c>
      <c r="D916" s="2" t="inlineStr">
        <is>
          <t>Plant B</t>
        </is>
      </c>
      <c r="E916" s="2" t="inlineStr">
        <is>
          <t>North</t>
        </is>
      </c>
      <c r="F916" s="12" t="n">
        <v>46075</v>
      </c>
      <c r="G916" s="12" t="n">
        <v>46097</v>
      </c>
      <c r="H916" s="12" t="n">
        <v>46092</v>
      </c>
      <c r="I916" s="12" t="n">
        <v>46090</v>
      </c>
      <c r="J916" s="12" t="n">
        <v>46096</v>
      </c>
      <c r="K916" s="2" t="n">
        <v>766</v>
      </c>
      <c r="L916" s="2" t="inlineStr">
        <is>
          <t>Road</t>
        </is>
      </c>
      <c r="M916" s="2" t="inlineStr">
        <is>
          <t>No Delay</t>
        </is>
      </c>
      <c r="N916" s="4">
        <f>IF(I916&lt;=H916,1,0)</f>
        <v/>
      </c>
      <c r="O916" s="4">
        <f>IF(J916&lt;=G916,1,0)</f>
        <v/>
      </c>
      <c r="P916" s="4">
        <f>MAX(0,I916-H916)</f>
        <v/>
      </c>
      <c r="Q916" s="4">
        <f>MAX(0,J916-G916)</f>
        <v/>
      </c>
      <c r="R916" s="4">
        <f>IF(AND(N916=1,O916=1),"On Track",IF(O916=0,"Customer Delivery Late","Ship Late"))</f>
        <v/>
      </c>
    </row>
    <row r="917">
      <c r="A917" s="2" t="inlineStr">
        <is>
          <t>ORD-00916</t>
        </is>
      </c>
      <c r="B917" s="2" t="inlineStr">
        <is>
          <t>Customer 04</t>
        </is>
      </c>
      <c r="C917" s="2" t="inlineStr">
        <is>
          <t>Contactor</t>
        </is>
      </c>
      <c r="D917" s="2" t="inlineStr">
        <is>
          <t>Plant B</t>
        </is>
      </c>
      <c r="E917" s="2" t="inlineStr">
        <is>
          <t>Export</t>
        </is>
      </c>
      <c r="F917" s="12" t="n">
        <v>46095</v>
      </c>
      <c r="G917" s="12" t="n">
        <v>46118</v>
      </c>
      <c r="H917" s="12" t="n">
        <v>46114</v>
      </c>
      <c r="I917" s="12" t="n">
        <v>46114</v>
      </c>
      <c r="J917" s="12" t="n">
        <v>46118</v>
      </c>
      <c r="K917" s="2" t="n">
        <v>1020</v>
      </c>
      <c r="L917" s="2" t="inlineStr">
        <is>
          <t>Air</t>
        </is>
      </c>
      <c r="M917" s="2" t="inlineStr">
        <is>
          <t>No Delay</t>
        </is>
      </c>
      <c r="N917" s="4">
        <f>IF(I917&lt;=H917,1,0)</f>
        <v/>
      </c>
      <c r="O917" s="4">
        <f>IF(J917&lt;=G917,1,0)</f>
        <v/>
      </c>
      <c r="P917" s="4">
        <f>MAX(0,I917-H917)</f>
        <v/>
      </c>
      <c r="Q917" s="4">
        <f>MAX(0,J917-G917)</f>
        <v/>
      </c>
      <c r="R917" s="4">
        <f>IF(AND(N917=1,O917=1),"On Track",IF(O917=0,"Customer Delivery Late","Ship Late"))</f>
        <v/>
      </c>
    </row>
    <row r="918">
      <c r="A918" s="2" t="inlineStr">
        <is>
          <t>ORD-00917</t>
        </is>
      </c>
      <c r="B918" s="2" t="inlineStr">
        <is>
          <t>Customer 08</t>
        </is>
      </c>
      <c r="C918" s="2" t="inlineStr">
        <is>
          <t>Contactor</t>
        </is>
      </c>
      <c r="D918" s="2" t="inlineStr">
        <is>
          <t>Plant B</t>
        </is>
      </c>
      <c r="E918" s="2" t="inlineStr">
        <is>
          <t>Central</t>
        </is>
      </c>
      <c r="F918" s="12" t="n">
        <v>46045</v>
      </c>
      <c r="G918" s="12" t="n">
        <v>46054</v>
      </c>
      <c r="H918" s="12" t="n">
        <v>46051</v>
      </c>
      <c r="I918" s="12" t="n">
        <v>46049</v>
      </c>
      <c r="J918" s="12" t="n">
        <v>46051</v>
      </c>
      <c r="K918" s="2" t="n">
        <v>1048</v>
      </c>
      <c r="L918" s="2" t="inlineStr">
        <is>
          <t>Air</t>
        </is>
      </c>
      <c r="M918" s="2" t="inlineStr">
        <is>
          <t>No Delay</t>
        </is>
      </c>
      <c r="N918" s="4">
        <f>IF(I918&lt;=H918,1,0)</f>
        <v/>
      </c>
      <c r="O918" s="4">
        <f>IF(J918&lt;=G918,1,0)</f>
        <v/>
      </c>
      <c r="P918" s="4">
        <f>MAX(0,I918-H918)</f>
        <v/>
      </c>
      <c r="Q918" s="4">
        <f>MAX(0,J918-G918)</f>
        <v/>
      </c>
      <c r="R918" s="4">
        <f>IF(AND(N918=1,O918=1),"On Track",IF(O918=0,"Customer Delivery Late","Ship Late"))</f>
        <v/>
      </c>
    </row>
    <row r="919">
      <c r="A919" s="2" t="inlineStr">
        <is>
          <t>ORD-00918</t>
        </is>
      </c>
      <c r="B919" s="2" t="inlineStr">
        <is>
          <t>Customer 30</t>
        </is>
      </c>
      <c r="C919" s="2" t="inlineStr">
        <is>
          <t>Drive</t>
        </is>
      </c>
      <c r="D919" s="2" t="inlineStr">
        <is>
          <t>Plant A</t>
        </is>
      </c>
      <c r="E919" s="2" t="inlineStr">
        <is>
          <t>North</t>
        </is>
      </c>
      <c r="F919" s="12" t="n">
        <v>46093</v>
      </c>
      <c r="G919" s="12" t="n">
        <v>46112</v>
      </c>
      <c r="H919" s="12" t="n">
        <v>46107</v>
      </c>
      <c r="I919" s="12" t="n">
        <v>46105</v>
      </c>
      <c r="J919" s="12" t="n">
        <v>46109</v>
      </c>
      <c r="K919" s="2" t="n">
        <v>1309</v>
      </c>
      <c r="L919" s="2" t="inlineStr">
        <is>
          <t>Sea</t>
        </is>
      </c>
      <c r="M919" s="2" t="inlineStr">
        <is>
          <t>No Delay</t>
        </is>
      </c>
      <c r="N919" s="4">
        <f>IF(I919&lt;=H919,1,0)</f>
        <v/>
      </c>
      <c r="O919" s="4">
        <f>IF(J919&lt;=G919,1,0)</f>
        <v/>
      </c>
      <c r="P919" s="4">
        <f>MAX(0,I919-H919)</f>
        <v/>
      </c>
      <c r="Q919" s="4">
        <f>MAX(0,J919-G919)</f>
        <v/>
      </c>
      <c r="R919" s="4">
        <f>IF(AND(N919=1,O919=1),"On Track",IF(O919=0,"Customer Delivery Late","Ship Late"))</f>
        <v/>
      </c>
    </row>
    <row r="920">
      <c r="A920" s="2" t="inlineStr">
        <is>
          <t>ORD-00919</t>
        </is>
      </c>
      <c r="B920" s="2" t="inlineStr">
        <is>
          <t>Customer 16</t>
        </is>
      </c>
      <c r="C920" s="2" t="inlineStr">
        <is>
          <t>Relay</t>
        </is>
      </c>
      <c r="D920" s="2" t="inlineStr">
        <is>
          <t>Plant C</t>
        </is>
      </c>
      <c r="E920" s="2" t="inlineStr">
        <is>
          <t>Export</t>
        </is>
      </c>
      <c r="F920" s="12" t="n">
        <v>46025</v>
      </c>
      <c r="G920" s="12" t="n">
        <v>46037</v>
      </c>
      <c r="H920" s="12" t="n">
        <v>46035</v>
      </c>
      <c r="I920" s="12" t="n">
        <v>46033</v>
      </c>
      <c r="J920" s="12" t="n">
        <v>46035</v>
      </c>
      <c r="K920" s="2" t="n">
        <v>588</v>
      </c>
      <c r="L920" s="2" t="inlineStr">
        <is>
          <t>Road</t>
        </is>
      </c>
      <c r="M920" s="2" t="inlineStr">
        <is>
          <t>No Delay</t>
        </is>
      </c>
      <c r="N920" s="4">
        <f>IF(I920&lt;=H920,1,0)</f>
        <v/>
      </c>
      <c r="O920" s="4">
        <f>IF(J920&lt;=G920,1,0)</f>
        <v/>
      </c>
      <c r="P920" s="4">
        <f>MAX(0,I920-H920)</f>
        <v/>
      </c>
      <c r="Q920" s="4">
        <f>MAX(0,J920-G920)</f>
        <v/>
      </c>
      <c r="R920" s="4">
        <f>IF(AND(N920=1,O920=1),"On Track",IF(O920=0,"Customer Delivery Late","Ship Late"))</f>
        <v/>
      </c>
    </row>
    <row r="921">
      <c r="A921" s="2" t="inlineStr">
        <is>
          <t>ORD-00920</t>
        </is>
      </c>
      <c r="B921" s="2" t="inlineStr">
        <is>
          <t>Customer 16</t>
        </is>
      </c>
      <c r="C921" s="2" t="inlineStr">
        <is>
          <t>PLC</t>
        </is>
      </c>
      <c r="D921" s="2" t="inlineStr">
        <is>
          <t>Plant C</t>
        </is>
      </c>
      <c r="E921" s="2" t="inlineStr">
        <is>
          <t>Central</t>
        </is>
      </c>
      <c r="F921" s="12" t="n">
        <v>46073</v>
      </c>
      <c r="G921" s="12" t="n">
        <v>46098</v>
      </c>
      <c r="H921" s="12" t="n">
        <v>46097</v>
      </c>
      <c r="I921" s="12" t="n">
        <v>46097</v>
      </c>
      <c r="J921" s="12" t="n">
        <v>46098</v>
      </c>
      <c r="K921" s="2" t="n">
        <v>89</v>
      </c>
      <c r="L921" s="2" t="inlineStr">
        <is>
          <t>Air</t>
        </is>
      </c>
      <c r="M921" s="2" t="inlineStr">
        <is>
          <t>No Delay</t>
        </is>
      </c>
      <c r="N921" s="4">
        <f>IF(I921&lt;=H921,1,0)</f>
        <v/>
      </c>
      <c r="O921" s="4">
        <f>IF(J921&lt;=G921,1,0)</f>
        <v/>
      </c>
      <c r="P921" s="4">
        <f>MAX(0,I921-H921)</f>
        <v/>
      </c>
      <c r="Q921" s="4">
        <f>MAX(0,J921-G921)</f>
        <v/>
      </c>
      <c r="R921" s="4">
        <f>IF(AND(N921=1,O921=1),"On Track",IF(O921=0,"Customer Delivery Late","Ship Late"))</f>
        <v/>
      </c>
    </row>
    <row r="922">
      <c r="A922" s="2" t="inlineStr">
        <is>
          <t>ORD-00921</t>
        </is>
      </c>
      <c r="B922" s="2" t="inlineStr">
        <is>
          <t>Customer 22</t>
        </is>
      </c>
      <c r="C922" s="2" t="inlineStr">
        <is>
          <t>Relay</t>
        </is>
      </c>
      <c r="D922" s="2" t="inlineStr">
        <is>
          <t>Plant B</t>
        </is>
      </c>
      <c r="E922" s="2" t="inlineStr">
        <is>
          <t>Central</t>
        </is>
      </c>
      <c r="F922" s="12" t="n">
        <v>46199</v>
      </c>
      <c r="G922" s="12" t="n">
        <v>46212</v>
      </c>
      <c r="H922" s="12" t="n">
        <v>46207</v>
      </c>
      <c r="I922" s="12" t="n">
        <v>46207</v>
      </c>
      <c r="J922" s="12" t="n">
        <v>46212</v>
      </c>
      <c r="K922" s="2" t="n">
        <v>608</v>
      </c>
      <c r="L922" s="2" t="inlineStr">
        <is>
          <t>Sea</t>
        </is>
      </c>
      <c r="M922" s="2" t="inlineStr">
        <is>
          <t>No Delay</t>
        </is>
      </c>
      <c r="N922" s="4">
        <f>IF(I922&lt;=H922,1,0)</f>
        <v/>
      </c>
      <c r="O922" s="4">
        <f>IF(J922&lt;=G922,1,0)</f>
        <v/>
      </c>
      <c r="P922" s="4">
        <f>MAX(0,I922-H922)</f>
        <v/>
      </c>
      <c r="Q922" s="4">
        <f>MAX(0,J922-G922)</f>
        <v/>
      </c>
      <c r="R922" s="4">
        <f>IF(AND(N922=1,O922=1),"On Track",IF(O922=0,"Customer Delivery Late","Ship Late"))</f>
        <v/>
      </c>
    </row>
    <row r="923">
      <c r="A923" s="2" t="inlineStr">
        <is>
          <t>ORD-00922</t>
        </is>
      </c>
      <c r="B923" s="2" t="inlineStr">
        <is>
          <t>Customer 04</t>
        </is>
      </c>
      <c r="C923" s="2" t="inlineStr">
        <is>
          <t>Sensor</t>
        </is>
      </c>
      <c r="D923" s="2" t="inlineStr">
        <is>
          <t>Plant B</t>
        </is>
      </c>
      <c r="E923" s="2" t="inlineStr">
        <is>
          <t>Export</t>
        </is>
      </c>
      <c r="F923" s="12" t="n">
        <v>46147</v>
      </c>
      <c r="G923" s="12" t="n">
        <v>46167</v>
      </c>
      <c r="H923" s="12" t="n">
        <v>46163</v>
      </c>
      <c r="I923" s="12" t="n">
        <v>46163</v>
      </c>
      <c r="J923" s="12" t="n">
        <v>46167</v>
      </c>
      <c r="K923" s="2" t="n">
        <v>676</v>
      </c>
      <c r="L923" s="2" t="inlineStr">
        <is>
          <t>Road</t>
        </is>
      </c>
      <c r="M923" s="2" t="inlineStr">
        <is>
          <t>No Delay</t>
        </is>
      </c>
      <c r="N923" s="4">
        <f>IF(I923&lt;=H923,1,0)</f>
        <v/>
      </c>
      <c r="O923" s="4">
        <f>IF(J923&lt;=G923,1,0)</f>
        <v/>
      </c>
      <c r="P923" s="4">
        <f>MAX(0,I923-H923)</f>
        <v/>
      </c>
      <c r="Q923" s="4">
        <f>MAX(0,J923-G923)</f>
        <v/>
      </c>
      <c r="R923" s="4">
        <f>IF(AND(N923=1,O923=1),"On Track",IF(O923=0,"Customer Delivery Late","Ship Late"))</f>
        <v/>
      </c>
    </row>
    <row r="924">
      <c r="A924" s="2" t="inlineStr">
        <is>
          <t>ORD-00923</t>
        </is>
      </c>
      <c r="B924" s="2" t="inlineStr">
        <is>
          <t>Customer 23</t>
        </is>
      </c>
      <c r="C924" s="2" t="inlineStr">
        <is>
          <t>Relay</t>
        </is>
      </c>
      <c r="D924" s="2" t="inlineStr">
        <is>
          <t>Plant B</t>
        </is>
      </c>
      <c r="E924" s="2" t="inlineStr">
        <is>
          <t>Export</t>
        </is>
      </c>
      <c r="F924" s="12" t="n">
        <v>46192</v>
      </c>
      <c r="G924" s="12" t="n">
        <v>46210</v>
      </c>
      <c r="H924" s="12" t="n">
        <v>46209</v>
      </c>
      <c r="I924" s="12" t="n">
        <v>46208</v>
      </c>
      <c r="J924" s="12" t="n">
        <v>46209</v>
      </c>
      <c r="K924" s="2" t="n">
        <v>1240</v>
      </c>
      <c r="L924" s="2" t="inlineStr">
        <is>
          <t>Air</t>
        </is>
      </c>
      <c r="M924" s="2" t="inlineStr">
        <is>
          <t>No Delay</t>
        </is>
      </c>
      <c r="N924" s="4">
        <f>IF(I924&lt;=H924,1,0)</f>
        <v/>
      </c>
      <c r="O924" s="4">
        <f>IF(J924&lt;=G924,1,0)</f>
        <v/>
      </c>
      <c r="P924" s="4">
        <f>MAX(0,I924-H924)</f>
        <v/>
      </c>
      <c r="Q924" s="4">
        <f>MAX(0,J924-G924)</f>
        <v/>
      </c>
      <c r="R924" s="4">
        <f>IF(AND(N924=1,O924=1),"On Track",IF(O924=0,"Customer Delivery Late","Ship Late"))</f>
        <v/>
      </c>
    </row>
    <row r="925">
      <c r="A925" s="2" t="inlineStr">
        <is>
          <t>ORD-00924</t>
        </is>
      </c>
      <c r="B925" s="2" t="inlineStr">
        <is>
          <t>Customer 25</t>
        </is>
      </c>
      <c r="C925" s="2" t="inlineStr">
        <is>
          <t>Drive</t>
        </is>
      </c>
      <c r="D925" s="2" t="inlineStr">
        <is>
          <t>Plant B</t>
        </is>
      </c>
      <c r="E925" s="2" t="inlineStr">
        <is>
          <t>South</t>
        </is>
      </c>
      <c r="F925" s="12" t="n">
        <v>46198</v>
      </c>
      <c r="G925" s="12" t="n">
        <v>46210</v>
      </c>
      <c r="H925" s="12" t="n">
        <v>46209</v>
      </c>
      <c r="I925" s="12" t="n">
        <v>46209</v>
      </c>
      <c r="J925" s="12" t="n">
        <v>46210</v>
      </c>
      <c r="K925" s="2" t="n">
        <v>852</v>
      </c>
      <c r="L925" s="2" t="inlineStr">
        <is>
          <t>Air</t>
        </is>
      </c>
      <c r="M925" s="2" t="inlineStr">
        <is>
          <t>No Delay</t>
        </is>
      </c>
      <c r="N925" s="4">
        <f>IF(I925&lt;=H925,1,0)</f>
        <v/>
      </c>
      <c r="O925" s="4">
        <f>IF(J925&lt;=G925,1,0)</f>
        <v/>
      </c>
      <c r="P925" s="4">
        <f>MAX(0,I925-H925)</f>
        <v/>
      </c>
      <c r="Q925" s="4">
        <f>MAX(0,J925-G925)</f>
        <v/>
      </c>
      <c r="R925" s="4">
        <f>IF(AND(N925=1,O925=1),"On Track",IF(O925=0,"Customer Delivery Late","Ship Late"))</f>
        <v/>
      </c>
    </row>
    <row r="926">
      <c r="A926" s="2" t="inlineStr">
        <is>
          <t>ORD-00925</t>
        </is>
      </c>
      <c r="B926" s="2" t="inlineStr">
        <is>
          <t>Customer 11</t>
        </is>
      </c>
      <c r="C926" s="2" t="inlineStr">
        <is>
          <t>Breaker</t>
        </is>
      </c>
      <c r="D926" s="2" t="inlineStr">
        <is>
          <t>Plant B</t>
        </is>
      </c>
      <c r="E926" s="2" t="inlineStr">
        <is>
          <t>Export</t>
        </is>
      </c>
      <c r="F926" s="12" t="n">
        <v>46136</v>
      </c>
      <c r="G926" s="12" t="n">
        <v>46154</v>
      </c>
      <c r="H926" s="12" t="n">
        <v>46150</v>
      </c>
      <c r="I926" s="12" t="n">
        <v>46148</v>
      </c>
      <c r="J926" s="12" t="n">
        <v>46152</v>
      </c>
      <c r="K926" s="2" t="n">
        <v>849</v>
      </c>
      <c r="L926" s="2" t="inlineStr">
        <is>
          <t>Road</t>
        </is>
      </c>
      <c r="M926" s="2" t="inlineStr">
        <is>
          <t>No Delay</t>
        </is>
      </c>
      <c r="N926" s="4">
        <f>IF(I926&lt;=H926,1,0)</f>
        <v/>
      </c>
      <c r="O926" s="4">
        <f>IF(J926&lt;=G926,1,0)</f>
        <v/>
      </c>
      <c r="P926" s="4">
        <f>MAX(0,I926-H926)</f>
        <v/>
      </c>
      <c r="Q926" s="4">
        <f>MAX(0,J926-G926)</f>
        <v/>
      </c>
      <c r="R926" s="4">
        <f>IF(AND(N926=1,O926=1),"On Track",IF(O926=0,"Customer Delivery Late","Ship Late"))</f>
        <v/>
      </c>
    </row>
    <row r="927">
      <c r="A927" s="2" t="inlineStr">
        <is>
          <t>ORD-00926</t>
        </is>
      </c>
      <c r="B927" s="2" t="inlineStr">
        <is>
          <t>Customer 20</t>
        </is>
      </c>
      <c r="C927" s="2" t="inlineStr">
        <is>
          <t>Breaker</t>
        </is>
      </c>
      <c r="D927" s="2" t="inlineStr">
        <is>
          <t>Plant C</t>
        </is>
      </c>
      <c r="E927" s="2" t="inlineStr">
        <is>
          <t>North</t>
        </is>
      </c>
      <c r="F927" s="12" t="n">
        <v>46169</v>
      </c>
      <c r="G927" s="12" t="n">
        <v>46179</v>
      </c>
      <c r="H927" s="12" t="n">
        <v>46174</v>
      </c>
      <c r="I927" s="12" t="n">
        <v>46174</v>
      </c>
      <c r="J927" s="12" t="n">
        <v>46180</v>
      </c>
      <c r="K927" s="2" t="n">
        <v>786</v>
      </c>
      <c r="L927" s="2" t="inlineStr">
        <is>
          <t>Road</t>
        </is>
      </c>
      <c r="M927" s="2" t="inlineStr">
        <is>
          <t>Production Delay</t>
        </is>
      </c>
      <c r="N927" s="4">
        <f>IF(I927&lt;=H927,1,0)</f>
        <v/>
      </c>
      <c r="O927" s="4">
        <f>IF(J927&lt;=G927,1,0)</f>
        <v/>
      </c>
      <c r="P927" s="4">
        <f>MAX(0,I927-H927)</f>
        <v/>
      </c>
      <c r="Q927" s="4">
        <f>MAX(0,J927-G927)</f>
        <v/>
      </c>
      <c r="R927" s="4">
        <f>IF(AND(N927=1,O927=1),"On Track",IF(O927=0,"Customer Delivery Late","Ship Late"))</f>
        <v/>
      </c>
    </row>
    <row r="928">
      <c r="A928" s="2" t="inlineStr">
        <is>
          <t>ORD-00927</t>
        </is>
      </c>
      <c r="B928" s="2" t="inlineStr">
        <is>
          <t>Customer 12</t>
        </is>
      </c>
      <c r="C928" s="2" t="inlineStr">
        <is>
          <t>PLC</t>
        </is>
      </c>
      <c r="D928" s="2" t="inlineStr">
        <is>
          <t>Plant A</t>
        </is>
      </c>
      <c r="E928" s="2" t="inlineStr">
        <is>
          <t>Export</t>
        </is>
      </c>
      <c r="F928" s="12" t="n">
        <v>46203</v>
      </c>
      <c r="G928" s="12" t="n">
        <v>46218</v>
      </c>
      <c r="H928" s="12" t="n">
        <v>46215</v>
      </c>
      <c r="I928" s="12" t="n">
        <v>46215</v>
      </c>
      <c r="J928" s="12" t="n">
        <v>46217</v>
      </c>
      <c r="K928" s="2" t="n">
        <v>1480</v>
      </c>
      <c r="L928" s="2" t="inlineStr">
        <is>
          <t>Road</t>
        </is>
      </c>
      <c r="M928" s="2" t="inlineStr">
        <is>
          <t>No Delay</t>
        </is>
      </c>
      <c r="N928" s="4">
        <f>IF(I928&lt;=H928,1,0)</f>
        <v/>
      </c>
      <c r="O928" s="4">
        <f>IF(J928&lt;=G928,1,0)</f>
        <v/>
      </c>
      <c r="P928" s="4">
        <f>MAX(0,I928-H928)</f>
        <v/>
      </c>
      <c r="Q928" s="4">
        <f>MAX(0,J928-G928)</f>
        <v/>
      </c>
      <c r="R928" s="4">
        <f>IF(AND(N928=1,O928=1),"On Track",IF(O928=0,"Customer Delivery Late","Ship Late"))</f>
        <v/>
      </c>
    </row>
    <row r="929">
      <c r="A929" s="2" t="inlineStr">
        <is>
          <t>ORD-00928</t>
        </is>
      </c>
      <c r="B929" s="2" t="inlineStr">
        <is>
          <t>Customer 01</t>
        </is>
      </c>
      <c r="C929" s="2" t="inlineStr">
        <is>
          <t>Contactor</t>
        </is>
      </c>
      <c r="D929" s="2" t="inlineStr">
        <is>
          <t>Plant C</t>
        </is>
      </c>
      <c r="E929" s="2" t="inlineStr">
        <is>
          <t>Export</t>
        </is>
      </c>
      <c r="F929" s="12" t="n">
        <v>46097</v>
      </c>
      <c r="G929" s="12" t="n">
        <v>46107</v>
      </c>
      <c r="H929" s="12" t="n">
        <v>46104</v>
      </c>
      <c r="I929" s="12" t="n">
        <v>46102</v>
      </c>
      <c r="J929" s="12" t="n">
        <v>46104</v>
      </c>
      <c r="K929" s="2" t="n">
        <v>1003</v>
      </c>
      <c r="L929" s="2" t="inlineStr">
        <is>
          <t>Road</t>
        </is>
      </c>
      <c r="M929" s="2" t="inlineStr">
        <is>
          <t>No Delay</t>
        </is>
      </c>
      <c r="N929" s="4">
        <f>IF(I929&lt;=H929,1,0)</f>
        <v/>
      </c>
      <c r="O929" s="4">
        <f>IF(J929&lt;=G929,1,0)</f>
        <v/>
      </c>
      <c r="P929" s="4">
        <f>MAX(0,I929-H929)</f>
        <v/>
      </c>
      <c r="Q929" s="4">
        <f>MAX(0,J929-G929)</f>
        <v/>
      </c>
      <c r="R929" s="4">
        <f>IF(AND(N929=1,O929=1),"On Track",IF(O929=0,"Customer Delivery Late","Ship Late"))</f>
        <v/>
      </c>
    </row>
    <row r="930">
      <c r="A930" s="2" t="inlineStr">
        <is>
          <t>ORD-00929</t>
        </is>
      </c>
      <c r="B930" s="2" t="inlineStr">
        <is>
          <t>Customer 04</t>
        </is>
      </c>
      <c r="C930" s="2" t="inlineStr">
        <is>
          <t>Power Supply</t>
        </is>
      </c>
      <c r="D930" s="2" t="inlineStr">
        <is>
          <t>Plant C</t>
        </is>
      </c>
      <c r="E930" s="2" t="inlineStr">
        <is>
          <t>Export</t>
        </is>
      </c>
      <c r="F930" s="12" t="n">
        <v>46063</v>
      </c>
      <c r="G930" s="12" t="n">
        <v>46077</v>
      </c>
      <c r="H930" s="12" t="n">
        <v>46074</v>
      </c>
      <c r="I930" s="12" t="n">
        <v>46074</v>
      </c>
      <c r="J930" s="12" t="n">
        <v>46076</v>
      </c>
      <c r="K930" s="2" t="n">
        <v>278</v>
      </c>
      <c r="L930" s="2" t="inlineStr">
        <is>
          <t>Sea</t>
        </is>
      </c>
      <c r="M930" s="2" t="inlineStr">
        <is>
          <t>No Delay</t>
        </is>
      </c>
      <c r="N930" s="4">
        <f>IF(I930&lt;=H930,1,0)</f>
        <v/>
      </c>
      <c r="O930" s="4">
        <f>IF(J930&lt;=G930,1,0)</f>
        <v/>
      </c>
      <c r="P930" s="4">
        <f>MAX(0,I930-H930)</f>
        <v/>
      </c>
      <c r="Q930" s="4">
        <f>MAX(0,J930-G930)</f>
        <v/>
      </c>
      <c r="R930" s="4">
        <f>IF(AND(N930=1,O930=1),"On Track",IF(O930=0,"Customer Delivery Late","Ship Late"))</f>
        <v/>
      </c>
    </row>
    <row r="931">
      <c r="A931" s="2" t="inlineStr">
        <is>
          <t>ORD-00930</t>
        </is>
      </c>
      <c r="B931" s="2" t="inlineStr">
        <is>
          <t>Customer 30</t>
        </is>
      </c>
      <c r="C931" s="2" t="inlineStr">
        <is>
          <t>Relay</t>
        </is>
      </c>
      <c r="D931" s="2" t="inlineStr">
        <is>
          <t>Plant A</t>
        </is>
      </c>
      <c r="E931" s="2" t="inlineStr">
        <is>
          <t>Export</t>
        </is>
      </c>
      <c r="F931" s="12" t="n">
        <v>46092</v>
      </c>
      <c r="G931" s="12" t="n">
        <v>46099</v>
      </c>
      <c r="H931" s="12" t="n">
        <v>46098</v>
      </c>
      <c r="I931" s="12" t="n">
        <v>46098</v>
      </c>
      <c r="J931" s="12" t="n">
        <v>46104</v>
      </c>
      <c r="K931" s="2" t="n">
        <v>407</v>
      </c>
      <c r="L931" s="2" t="inlineStr">
        <is>
          <t>Sea</t>
        </is>
      </c>
      <c r="M931" s="2" t="inlineStr">
        <is>
          <t>Capacity Constraint</t>
        </is>
      </c>
      <c r="N931" s="4">
        <f>IF(I931&lt;=H931,1,0)</f>
        <v/>
      </c>
      <c r="O931" s="4">
        <f>IF(J931&lt;=G931,1,0)</f>
        <v/>
      </c>
      <c r="P931" s="4">
        <f>MAX(0,I931-H931)</f>
        <v/>
      </c>
      <c r="Q931" s="4">
        <f>MAX(0,J931-G931)</f>
        <v/>
      </c>
      <c r="R931" s="4">
        <f>IF(AND(N931=1,O931=1),"On Track",IF(O931=0,"Customer Delivery Late","Ship Late"))</f>
        <v/>
      </c>
    </row>
    <row r="932">
      <c r="A932" s="2" t="inlineStr">
        <is>
          <t>ORD-00931</t>
        </is>
      </c>
      <c r="B932" s="2" t="inlineStr">
        <is>
          <t>Customer 04</t>
        </is>
      </c>
      <c r="C932" s="2" t="inlineStr">
        <is>
          <t>Sensor</t>
        </is>
      </c>
      <c r="D932" s="2" t="inlineStr">
        <is>
          <t>Plant C</t>
        </is>
      </c>
      <c r="E932" s="2" t="inlineStr">
        <is>
          <t>Export</t>
        </is>
      </c>
      <c r="F932" s="12" t="n">
        <v>46102</v>
      </c>
      <c r="G932" s="12" t="n">
        <v>46117</v>
      </c>
      <c r="H932" s="12" t="n">
        <v>46113</v>
      </c>
      <c r="I932" s="12" t="n">
        <v>46111</v>
      </c>
      <c r="J932" s="12" t="n">
        <v>46115</v>
      </c>
      <c r="K932" s="2" t="n">
        <v>781</v>
      </c>
      <c r="L932" s="2" t="inlineStr">
        <is>
          <t>Air</t>
        </is>
      </c>
      <c r="M932" s="2" t="inlineStr">
        <is>
          <t>No Delay</t>
        </is>
      </c>
      <c r="N932" s="4">
        <f>IF(I932&lt;=H932,1,0)</f>
        <v/>
      </c>
      <c r="O932" s="4">
        <f>IF(J932&lt;=G932,1,0)</f>
        <v/>
      </c>
      <c r="P932" s="4">
        <f>MAX(0,I932-H932)</f>
        <v/>
      </c>
      <c r="Q932" s="4">
        <f>MAX(0,J932-G932)</f>
        <v/>
      </c>
      <c r="R932" s="4">
        <f>IF(AND(N932=1,O932=1),"On Track",IF(O932=0,"Customer Delivery Late","Ship Late"))</f>
        <v/>
      </c>
    </row>
    <row r="933">
      <c r="A933" s="2" t="inlineStr">
        <is>
          <t>ORD-00932</t>
        </is>
      </c>
      <c r="B933" s="2" t="inlineStr">
        <is>
          <t>Customer 17</t>
        </is>
      </c>
      <c r="C933" s="2" t="inlineStr">
        <is>
          <t>PLC</t>
        </is>
      </c>
      <c r="D933" s="2" t="inlineStr">
        <is>
          <t>Plant B</t>
        </is>
      </c>
      <c r="E933" s="2" t="inlineStr">
        <is>
          <t>North</t>
        </is>
      </c>
      <c r="F933" s="12" t="n">
        <v>46132</v>
      </c>
      <c r="G933" s="12" t="n">
        <v>46139</v>
      </c>
      <c r="H933" s="12" t="n">
        <v>46137</v>
      </c>
      <c r="I933" s="12" t="n">
        <v>46142</v>
      </c>
      <c r="J933" s="12" t="n">
        <v>46144</v>
      </c>
      <c r="K933" s="2" t="n">
        <v>1027</v>
      </c>
      <c r="L933" s="2" t="inlineStr">
        <is>
          <t>Sea</t>
        </is>
      </c>
      <c r="M933" s="2" t="inlineStr">
        <is>
          <t>Capacity Constraint</t>
        </is>
      </c>
      <c r="N933" s="4">
        <f>IF(I933&lt;=H933,1,0)</f>
        <v/>
      </c>
      <c r="O933" s="4">
        <f>IF(J933&lt;=G933,1,0)</f>
        <v/>
      </c>
      <c r="P933" s="4">
        <f>MAX(0,I933-H933)</f>
        <v/>
      </c>
      <c r="Q933" s="4">
        <f>MAX(0,J933-G933)</f>
        <v/>
      </c>
      <c r="R933" s="4">
        <f>IF(AND(N933=1,O933=1),"On Track",IF(O933=0,"Customer Delivery Late","Ship Late"))</f>
        <v/>
      </c>
    </row>
    <row r="934">
      <c r="A934" s="2" t="inlineStr">
        <is>
          <t>ORD-00933</t>
        </is>
      </c>
      <c r="B934" s="2" t="inlineStr">
        <is>
          <t>Customer 13</t>
        </is>
      </c>
      <c r="C934" s="2" t="inlineStr">
        <is>
          <t>PLC</t>
        </is>
      </c>
      <c r="D934" s="2" t="inlineStr">
        <is>
          <t>Plant B</t>
        </is>
      </c>
      <c r="E934" s="2" t="inlineStr">
        <is>
          <t>South</t>
        </is>
      </c>
      <c r="F934" s="12" t="n">
        <v>46123</v>
      </c>
      <c r="G934" s="12" t="n">
        <v>46139</v>
      </c>
      <c r="H934" s="12" t="n">
        <v>46134</v>
      </c>
      <c r="I934" s="12" t="n">
        <v>46133</v>
      </c>
      <c r="J934" s="12" t="n">
        <v>46139</v>
      </c>
      <c r="K934" s="2" t="n">
        <v>986</v>
      </c>
      <c r="L934" s="2" t="inlineStr">
        <is>
          <t>Sea</t>
        </is>
      </c>
      <c r="M934" s="2" t="inlineStr">
        <is>
          <t>No Delay</t>
        </is>
      </c>
      <c r="N934" s="4">
        <f>IF(I934&lt;=H934,1,0)</f>
        <v/>
      </c>
      <c r="O934" s="4">
        <f>IF(J934&lt;=G934,1,0)</f>
        <v/>
      </c>
      <c r="P934" s="4">
        <f>MAX(0,I934-H934)</f>
        <v/>
      </c>
      <c r="Q934" s="4">
        <f>MAX(0,J934-G934)</f>
        <v/>
      </c>
      <c r="R934" s="4">
        <f>IF(AND(N934=1,O934=1),"On Track",IF(O934=0,"Customer Delivery Late","Ship Late"))</f>
        <v/>
      </c>
    </row>
    <row r="935">
      <c r="A935" s="2" t="inlineStr">
        <is>
          <t>ORD-00934</t>
        </is>
      </c>
      <c r="B935" s="2" t="inlineStr">
        <is>
          <t>Customer 07</t>
        </is>
      </c>
      <c r="C935" s="2" t="inlineStr">
        <is>
          <t>Switchgear</t>
        </is>
      </c>
      <c r="D935" s="2" t="inlineStr">
        <is>
          <t>Plant C</t>
        </is>
      </c>
      <c r="E935" s="2" t="inlineStr">
        <is>
          <t>Central</t>
        </is>
      </c>
      <c r="F935" s="12" t="n">
        <v>46050</v>
      </c>
      <c r="G935" s="12" t="n">
        <v>46075</v>
      </c>
      <c r="H935" s="12" t="n">
        <v>46072</v>
      </c>
      <c r="I935" s="12" t="n">
        <v>46072</v>
      </c>
      <c r="J935" s="12" t="n">
        <v>46074</v>
      </c>
      <c r="K935" s="2" t="n">
        <v>181</v>
      </c>
      <c r="L935" s="2" t="inlineStr">
        <is>
          <t>Road</t>
        </is>
      </c>
      <c r="M935" s="2" t="inlineStr">
        <is>
          <t>No Delay</t>
        </is>
      </c>
      <c r="N935" s="4">
        <f>IF(I935&lt;=H935,1,0)</f>
        <v/>
      </c>
      <c r="O935" s="4">
        <f>IF(J935&lt;=G935,1,0)</f>
        <v/>
      </c>
      <c r="P935" s="4">
        <f>MAX(0,I935-H935)</f>
        <v/>
      </c>
      <c r="Q935" s="4">
        <f>MAX(0,J935-G935)</f>
        <v/>
      </c>
      <c r="R935" s="4">
        <f>IF(AND(N935=1,O935=1),"On Track",IF(O935=0,"Customer Delivery Late","Ship Late"))</f>
        <v/>
      </c>
    </row>
    <row r="936">
      <c r="A936" s="2" t="inlineStr">
        <is>
          <t>ORD-00935</t>
        </is>
      </c>
      <c r="B936" s="2" t="inlineStr">
        <is>
          <t>Customer 09</t>
        </is>
      </c>
      <c r="C936" s="2" t="inlineStr">
        <is>
          <t>Power Supply</t>
        </is>
      </c>
      <c r="D936" s="2" t="inlineStr">
        <is>
          <t>Plant B</t>
        </is>
      </c>
      <c r="E936" s="2" t="inlineStr">
        <is>
          <t>South</t>
        </is>
      </c>
      <c r="F936" s="12" t="n">
        <v>46126</v>
      </c>
      <c r="G936" s="12" t="n">
        <v>46150</v>
      </c>
      <c r="H936" s="12" t="n">
        <v>46146</v>
      </c>
      <c r="I936" s="12" t="n">
        <v>46146</v>
      </c>
      <c r="J936" s="12" t="n">
        <v>46149</v>
      </c>
      <c r="K936" s="2" t="n">
        <v>318</v>
      </c>
      <c r="L936" s="2" t="inlineStr">
        <is>
          <t>Road</t>
        </is>
      </c>
      <c r="M936" s="2" t="inlineStr">
        <is>
          <t>No Delay</t>
        </is>
      </c>
      <c r="N936" s="4">
        <f>IF(I936&lt;=H936,1,0)</f>
        <v/>
      </c>
      <c r="O936" s="4">
        <f>IF(J936&lt;=G936,1,0)</f>
        <v/>
      </c>
      <c r="P936" s="4">
        <f>MAX(0,I936-H936)</f>
        <v/>
      </c>
      <c r="Q936" s="4">
        <f>MAX(0,J936-G936)</f>
        <v/>
      </c>
      <c r="R936" s="4">
        <f>IF(AND(N936=1,O936=1),"On Track",IF(O936=0,"Customer Delivery Late","Ship Late"))</f>
        <v/>
      </c>
    </row>
    <row r="937">
      <c r="A937" s="2" t="inlineStr">
        <is>
          <t>ORD-00936</t>
        </is>
      </c>
      <c r="B937" s="2" t="inlineStr">
        <is>
          <t>Customer 26</t>
        </is>
      </c>
      <c r="C937" s="2" t="inlineStr">
        <is>
          <t>Switchgear</t>
        </is>
      </c>
      <c r="D937" s="2" t="inlineStr">
        <is>
          <t>Plant C</t>
        </is>
      </c>
      <c r="E937" s="2" t="inlineStr">
        <is>
          <t>Export</t>
        </is>
      </c>
      <c r="F937" s="12" t="n">
        <v>46105</v>
      </c>
      <c r="G937" s="12" t="n">
        <v>46128</v>
      </c>
      <c r="H937" s="12" t="n">
        <v>46123</v>
      </c>
      <c r="I937" s="12" t="n">
        <v>46121</v>
      </c>
      <c r="J937" s="12" t="n">
        <v>46126</v>
      </c>
      <c r="K937" s="2" t="n">
        <v>651</v>
      </c>
      <c r="L937" s="2" t="inlineStr">
        <is>
          <t>Sea</t>
        </is>
      </c>
      <c r="M937" s="2" t="inlineStr">
        <is>
          <t>No Delay</t>
        </is>
      </c>
      <c r="N937" s="4">
        <f>IF(I937&lt;=H937,1,0)</f>
        <v/>
      </c>
      <c r="O937" s="4">
        <f>IF(J937&lt;=G937,1,0)</f>
        <v/>
      </c>
      <c r="P937" s="4">
        <f>MAX(0,I937-H937)</f>
        <v/>
      </c>
      <c r="Q937" s="4">
        <f>MAX(0,J937-G937)</f>
        <v/>
      </c>
      <c r="R937" s="4">
        <f>IF(AND(N937=1,O937=1),"On Track",IF(O937=0,"Customer Delivery Late","Ship Late"))</f>
        <v/>
      </c>
    </row>
    <row r="938">
      <c r="A938" s="2" t="inlineStr">
        <is>
          <t>ORD-00937</t>
        </is>
      </c>
      <c r="B938" s="2" t="inlineStr">
        <is>
          <t>Customer 03</t>
        </is>
      </c>
      <c r="C938" s="2" t="inlineStr">
        <is>
          <t>Power Supply</t>
        </is>
      </c>
      <c r="D938" s="2" t="inlineStr">
        <is>
          <t>Plant A</t>
        </is>
      </c>
      <c r="E938" s="2" t="inlineStr">
        <is>
          <t>North</t>
        </is>
      </c>
      <c r="F938" s="12" t="n">
        <v>46083</v>
      </c>
      <c r="G938" s="12" t="n">
        <v>46098</v>
      </c>
      <c r="H938" s="12" t="n">
        <v>46094</v>
      </c>
      <c r="I938" s="12" t="n">
        <v>46094</v>
      </c>
      <c r="J938" s="12" t="n">
        <v>46097</v>
      </c>
      <c r="K938" s="2" t="n">
        <v>341</v>
      </c>
      <c r="L938" s="2" t="inlineStr">
        <is>
          <t>Sea</t>
        </is>
      </c>
      <c r="M938" s="2" t="inlineStr">
        <is>
          <t>No Delay</t>
        </is>
      </c>
      <c r="N938" s="4">
        <f>IF(I938&lt;=H938,1,0)</f>
        <v/>
      </c>
      <c r="O938" s="4">
        <f>IF(J938&lt;=G938,1,0)</f>
        <v/>
      </c>
      <c r="P938" s="4">
        <f>MAX(0,I938-H938)</f>
        <v/>
      </c>
      <c r="Q938" s="4">
        <f>MAX(0,J938-G938)</f>
        <v/>
      </c>
      <c r="R938" s="4">
        <f>IF(AND(N938=1,O938=1),"On Track",IF(O938=0,"Customer Delivery Late","Ship Late"))</f>
        <v/>
      </c>
    </row>
    <row r="939">
      <c r="A939" s="2" t="inlineStr">
        <is>
          <t>ORD-00938</t>
        </is>
      </c>
      <c r="B939" s="2" t="inlineStr">
        <is>
          <t>Customer 21</t>
        </is>
      </c>
      <c r="C939" s="2" t="inlineStr">
        <is>
          <t>Switchgear</t>
        </is>
      </c>
      <c r="D939" s="2" t="inlineStr">
        <is>
          <t>Plant A</t>
        </is>
      </c>
      <c r="E939" s="2" t="inlineStr">
        <is>
          <t>Export</t>
        </is>
      </c>
      <c r="F939" s="12" t="n">
        <v>46054</v>
      </c>
      <c r="G939" s="12" t="n">
        <v>46064</v>
      </c>
      <c r="H939" s="12" t="n">
        <v>46062</v>
      </c>
      <c r="I939" s="12" t="n">
        <v>46060</v>
      </c>
      <c r="J939" s="12" t="n">
        <v>46062</v>
      </c>
      <c r="K939" s="2" t="n">
        <v>827</v>
      </c>
      <c r="L939" s="2" t="inlineStr">
        <is>
          <t>Road</t>
        </is>
      </c>
      <c r="M939" s="2" t="inlineStr">
        <is>
          <t>No Delay</t>
        </is>
      </c>
      <c r="N939" s="4">
        <f>IF(I939&lt;=H939,1,0)</f>
        <v/>
      </c>
      <c r="O939" s="4">
        <f>IF(J939&lt;=G939,1,0)</f>
        <v/>
      </c>
      <c r="P939" s="4">
        <f>MAX(0,I939-H939)</f>
        <v/>
      </c>
      <c r="Q939" s="4">
        <f>MAX(0,J939-G939)</f>
        <v/>
      </c>
      <c r="R939" s="4">
        <f>IF(AND(N939=1,O939=1),"On Track",IF(O939=0,"Customer Delivery Late","Ship Late"))</f>
        <v/>
      </c>
    </row>
    <row r="940">
      <c r="A940" s="2" t="inlineStr">
        <is>
          <t>ORD-00939</t>
        </is>
      </c>
      <c r="B940" s="2" t="inlineStr">
        <is>
          <t>Customer 21</t>
        </is>
      </c>
      <c r="C940" s="2" t="inlineStr">
        <is>
          <t>Relay</t>
        </is>
      </c>
      <c r="D940" s="2" t="inlineStr">
        <is>
          <t>Plant A</t>
        </is>
      </c>
      <c r="E940" s="2" t="inlineStr">
        <is>
          <t>South</t>
        </is>
      </c>
      <c r="F940" s="12" t="n">
        <v>46098</v>
      </c>
      <c r="G940" s="12" t="n">
        <v>46106</v>
      </c>
      <c r="H940" s="12" t="n">
        <v>46102</v>
      </c>
      <c r="I940" s="12" t="n">
        <v>46107</v>
      </c>
      <c r="J940" s="12" t="n">
        <v>46112</v>
      </c>
      <c r="K940" s="2" t="n">
        <v>1081</v>
      </c>
      <c r="L940" s="2" t="inlineStr">
        <is>
          <t>Sea</t>
        </is>
      </c>
      <c r="M940" s="2" t="inlineStr">
        <is>
          <t>Capacity Constraint</t>
        </is>
      </c>
      <c r="N940" s="4">
        <f>IF(I940&lt;=H940,1,0)</f>
        <v/>
      </c>
      <c r="O940" s="4">
        <f>IF(J940&lt;=G940,1,0)</f>
        <v/>
      </c>
      <c r="P940" s="4">
        <f>MAX(0,I940-H940)</f>
        <v/>
      </c>
      <c r="Q940" s="4">
        <f>MAX(0,J940-G940)</f>
        <v/>
      </c>
      <c r="R940" s="4">
        <f>IF(AND(N940=1,O940=1),"On Track",IF(O940=0,"Customer Delivery Late","Ship Late"))</f>
        <v/>
      </c>
    </row>
    <row r="941">
      <c r="A941" s="2" t="inlineStr">
        <is>
          <t>ORD-00940</t>
        </is>
      </c>
      <c r="B941" s="2" t="inlineStr">
        <is>
          <t>Customer 11</t>
        </is>
      </c>
      <c r="C941" s="2" t="inlineStr">
        <is>
          <t>Relay</t>
        </is>
      </c>
      <c r="D941" s="2" t="inlineStr">
        <is>
          <t>Plant A</t>
        </is>
      </c>
      <c r="E941" s="2" t="inlineStr">
        <is>
          <t>Export</t>
        </is>
      </c>
      <c r="F941" s="12" t="n">
        <v>46075</v>
      </c>
      <c r="G941" s="12" t="n">
        <v>46099</v>
      </c>
      <c r="H941" s="12" t="n">
        <v>46096</v>
      </c>
      <c r="I941" s="12" t="n">
        <v>46095</v>
      </c>
      <c r="J941" s="12" t="n">
        <v>46098</v>
      </c>
      <c r="K941" s="2" t="n">
        <v>30</v>
      </c>
      <c r="L941" s="2" t="inlineStr">
        <is>
          <t>Air</t>
        </is>
      </c>
      <c r="M941" s="2" t="inlineStr">
        <is>
          <t>No Delay</t>
        </is>
      </c>
      <c r="N941" s="4">
        <f>IF(I941&lt;=H941,1,0)</f>
        <v/>
      </c>
      <c r="O941" s="4">
        <f>IF(J941&lt;=G941,1,0)</f>
        <v/>
      </c>
      <c r="P941" s="4">
        <f>MAX(0,I941-H941)</f>
        <v/>
      </c>
      <c r="Q941" s="4">
        <f>MAX(0,J941-G941)</f>
        <v/>
      </c>
      <c r="R941" s="4">
        <f>IF(AND(N941=1,O941=1),"On Track",IF(O941=0,"Customer Delivery Late","Ship Late"))</f>
        <v/>
      </c>
    </row>
    <row r="942">
      <c r="A942" s="2" t="inlineStr">
        <is>
          <t>ORD-00941</t>
        </is>
      </c>
      <c r="B942" s="2" t="inlineStr">
        <is>
          <t>Customer 04</t>
        </is>
      </c>
      <c r="C942" s="2" t="inlineStr">
        <is>
          <t>Switchgear</t>
        </is>
      </c>
      <c r="D942" s="2" t="inlineStr">
        <is>
          <t>Plant B</t>
        </is>
      </c>
      <c r="E942" s="2" t="inlineStr">
        <is>
          <t>North</t>
        </is>
      </c>
      <c r="F942" s="12" t="n">
        <v>46129</v>
      </c>
      <c r="G942" s="12" t="n">
        <v>46139</v>
      </c>
      <c r="H942" s="12" t="n">
        <v>46137</v>
      </c>
      <c r="I942" s="12" t="n">
        <v>46135</v>
      </c>
      <c r="J942" s="12" t="n">
        <v>46137</v>
      </c>
      <c r="K942" s="2" t="n">
        <v>135</v>
      </c>
      <c r="L942" s="2" t="inlineStr">
        <is>
          <t>Sea</t>
        </is>
      </c>
      <c r="M942" s="2" t="inlineStr">
        <is>
          <t>No Delay</t>
        </is>
      </c>
      <c r="N942" s="4">
        <f>IF(I942&lt;=H942,1,0)</f>
        <v/>
      </c>
      <c r="O942" s="4">
        <f>IF(J942&lt;=G942,1,0)</f>
        <v/>
      </c>
      <c r="P942" s="4">
        <f>MAX(0,I942-H942)</f>
        <v/>
      </c>
      <c r="Q942" s="4">
        <f>MAX(0,J942-G942)</f>
        <v/>
      </c>
      <c r="R942" s="4">
        <f>IF(AND(N942=1,O942=1),"On Track",IF(O942=0,"Customer Delivery Late","Ship Late"))</f>
        <v/>
      </c>
    </row>
    <row r="943">
      <c r="A943" s="2" t="inlineStr">
        <is>
          <t>ORD-00942</t>
        </is>
      </c>
      <c r="B943" s="2" t="inlineStr">
        <is>
          <t>Customer 30</t>
        </is>
      </c>
      <c r="C943" s="2" t="inlineStr">
        <is>
          <t>PLC</t>
        </is>
      </c>
      <c r="D943" s="2" t="inlineStr">
        <is>
          <t>Plant B</t>
        </is>
      </c>
      <c r="E943" s="2" t="inlineStr">
        <is>
          <t>South</t>
        </is>
      </c>
      <c r="F943" s="12" t="n">
        <v>46142</v>
      </c>
      <c r="G943" s="12" t="n">
        <v>46166</v>
      </c>
      <c r="H943" s="12" t="n">
        <v>46164</v>
      </c>
      <c r="I943" s="12" t="n">
        <v>46164</v>
      </c>
      <c r="J943" s="12" t="n">
        <v>46166</v>
      </c>
      <c r="K943" s="2" t="n">
        <v>882</v>
      </c>
      <c r="L943" s="2" t="inlineStr">
        <is>
          <t>Sea</t>
        </is>
      </c>
      <c r="M943" s="2" t="inlineStr">
        <is>
          <t>No Delay</t>
        </is>
      </c>
      <c r="N943" s="4">
        <f>IF(I943&lt;=H943,1,0)</f>
        <v/>
      </c>
      <c r="O943" s="4">
        <f>IF(J943&lt;=G943,1,0)</f>
        <v/>
      </c>
      <c r="P943" s="4">
        <f>MAX(0,I943-H943)</f>
        <v/>
      </c>
      <c r="Q943" s="4">
        <f>MAX(0,J943-G943)</f>
        <v/>
      </c>
      <c r="R943" s="4">
        <f>IF(AND(N943=1,O943=1),"On Track",IF(O943=0,"Customer Delivery Late","Ship Late"))</f>
        <v/>
      </c>
    </row>
    <row r="944">
      <c r="A944" s="2" t="inlineStr">
        <is>
          <t>ORD-00943</t>
        </is>
      </c>
      <c r="B944" s="2" t="inlineStr">
        <is>
          <t>Customer 04</t>
        </is>
      </c>
      <c r="C944" s="2" t="inlineStr">
        <is>
          <t>PLC</t>
        </is>
      </c>
      <c r="D944" s="2" t="inlineStr">
        <is>
          <t>Plant B</t>
        </is>
      </c>
      <c r="E944" s="2" t="inlineStr">
        <is>
          <t>Central</t>
        </is>
      </c>
      <c r="F944" s="12" t="n">
        <v>46101</v>
      </c>
      <c r="G944" s="12" t="n">
        <v>46117</v>
      </c>
      <c r="H944" s="12" t="n">
        <v>46112</v>
      </c>
      <c r="I944" s="12" t="n">
        <v>46111</v>
      </c>
      <c r="J944" s="12" t="n">
        <v>46115</v>
      </c>
      <c r="K944" s="2" t="n">
        <v>548</v>
      </c>
      <c r="L944" s="2" t="inlineStr">
        <is>
          <t>Sea</t>
        </is>
      </c>
      <c r="M944" s="2" t="inlineStr">
        <is>
          <t>No Delay</t>
        </is>
      </c>
      <c r="N944" s="4">
        <f>IF(I944&lt;=H944,1,0)</f>
        <v/>
      </c>
      <c r="O944" s="4">
        <f>IF(J944&lt;=G944,1,0)</f>
        <v/>
      </c>
      <c r="P944" s="4">
        <f>MAX(0,I944-H944)</f>
        <v/>
      </c>
      <c r="Q944" s="4">
        <f>MAX(0,J944-G944)</f>
        <v/>
      </c>
      <c r="R944" s="4">
        <f>IF(AND(N944=1,O944=1),"On Track",IF(O944=0,"Customer Delivery Late","Ship Late"))</f>
        <v/>
      </c>
    </row>
    <row r="945">
      <c r="A945" s="2" t="inlineStr">
        <is>
          <t>ORD-00944</t>
        </is>
      </c>
      <c r="B945" s="2" t="inlineStr">
        <is>
          <t>Customer 19</t>
        </is>
      </c>
      <c r="C945" s="2" t="inlineStr">
        <is>
          <t>Sensor</t>
        </is>
      </c>
      <c r="D945" s="2" t="inlineStr">
        <is>
          <t>Plant C</t>
        </is>
      </c>
      <c r="E945" s="2" t="inlineStr">
        <is>
          <t>Export</t>
        </is>
      </c>
      <c r="F945" s="12" t="n">
        <v>46049</v>
      </c>
      <c r="G945" s="12" t="n">
        <v>46058</v>
      </c>
      <c r="H945" s="12" t="n">
        <v>46053</v>
      </c>
      <c r="I945" s="12" t="n">
        <v>46052</v>
      </c>
      <c r="J945" s="12" t="n">
        <v>46058</v>
      </c>
      <c r="K945" s="2" t="n">
        <v>438</v>
      </c>
      <c r="L945" s="2" t="inlineStr">
        <is>
          <t>Road</t>
        </is>
      </c>
      <c r="M945" s="2" t="inlineStr">
        <is>
          <t>No Delay</t>
        </is>
      </c>
      <c r="N945" s="4">
        <f>IF(I945&lt;=H945,1,0)</f>
        <v/>
      </c>
      <c r="O945" s="4">
        <f>IF(J945&lt;=G945,1,0)</f>
        <v/>
      </c>
      <c r="P945" s="4">
        <f>MAX(0,I945-H945)</f>
        <v/>
      </c>
      <c r="Q945" s="4">
        <f>MAX(0,J945-G945)</f>
        <v/>
      </c>
      <c r="R945" s="4">
        <f>IF(AND(N945=1,O945=1),"On Track",IF(O945=0,"Customer Delivery Late","Ship Late"))</f>
        <v/>
      </c>
    </row>
    <row r="946">
      <c r="A946" s="2" t="inlineStr">
        <is>
          <t>ORD-00945</t>
        </is>
      </c>
      <c r="B946" s="2" t="inlineStr">
        <is>
          <t>Customer 28</t>
        </is>
      </c>
      <c r="C946" s="2" t="inlineStr">
        <is>
          <t>Breaker</t>
        </is>
      </c>
      <c r="D946" s="2" t="inlineStr">
        <is>
          <t>Plant B</t>
        </is>
      </c>
      <c r="E946" s="2" t="inlineStr">
        <is>
          <t>North</t>
        </is>
      </c>
      <c r="F946" s="12" t="n">
        <v>46023</v>
      </c>
      <c r="G946" s="12" t="n">
        <v>46035</v>
      </c>
      <c r="H946" s="12" t="n">
        <v>46033</v>
      </c>
      <c r="I946" s="12" t="n">
        <v>46033</v>
      </c>
      <c r="J946" s="12" t="n">
        <v>46035</v>
      </c>
      <c r="K946" s="2" t="n">
        <v>116</v>
      </c>
      <c r="L946" s="2" t="inlineStr">
        <is>
          <t>Road</t>
        </is>
      </c>
      <c r="M946" s="2" t="inlineStr">
        <is>
          <t>No Delay</t>
        </is>
      </c>
      <c r="N946" s="4">
        <f>IF(I946&lt;=H946,1,0)</f>
        <v/>
      </c>
      <c r="O946" s="4">
        <f>IF(J946&lt;=G946,1,0)</f>
        <v/>
      </c>
      <c r="P946" s="4">
        <f>MAX(0,I946-H946)</f>
        <v/>
      </c>
      <c r="Q946" s="4">
        <f>MAX(0,J946-G946)</f>
        <v/>
      </c>
      <c r="R946" s="4">
        <f>IF(AND(N946=1,O946=1),"On Track",IF(O946=0,"Customer Delivery Late","Ship Late"))</f>
        <v/>
      </c>
    </row>
    <row r="947">
      <c r="A947" s="2" t="inlineStr">
        <is>
          <t>ORD-00946</t>
        </is>
      </c>
      <c r="B947" s="2" t="inlineStr">
        <is>
          <t>Customer 08</t>
        </is>
      </c>
      <c r="C947" s="2" t="inlineStr">
        <is>
          <t>Power Supply</t>
        </is>
      </c>
      <c r="D947" s="2" t="inlineStr">
        <is>
          <t>Plant B</t>
        </is>
      </c>
      <c r="E947" s="2" t="inlineStr">
        <is>
          <t>Export</t>
        </is>
      </c>
      <c r="F947" s="12" t="n">
        <v>46153</v>
      </c>
      <c r="G947" s="12" t="n">
        <v>46172</v>
      </c>
      <c r="H947" s="12" t="n">
        <v>46168</v>
      </c>
      <c r="I947" s="12" t="n">
        <v>46167</v>
      </c>
      <c r="J947" s="12" t="n">
        <v>46172</v>
      </c>
      <c r="K947" s="2" t="n">
        <v>1456</v>
      </c>
      <c r="L947" s="2" t="inlineStr">
        <is>
          <t>Air</t>
        </is>
      </c>
      <c r="M947" s="2" t="inlineStr">
        <is>
          <t>No Delay</t>
        </is>
      </c>
      <c r="N947" s="4">
        <f>IF(I947&lt;=H947,1,0)</f>
        <v/>
      </c>
      <c r="O947" s="4">
        <f>IF(J947&lt;=G947,1,0)</f>
        <v/>
      </c>
      <c r="P947" s="4">
        <f>MAX(0,I947-H947)</f>
        <v/>
      </c>
      <c r="Q947" s="4">
        <f>MAX(0,J947-G947)</f>
        <v/>
      </c>
      <c r="R947" s="4">
        <f>IF(AND(N947=1,O947=1),"On Track",IF(O947=0,"Customer Delivery Late","Ship Late"))</f>
        <v/>
      </c>
    </row>
    <row r="948">
      <c r="A948" s="2" t="inlineStr">
        <is>
          <t>ORD-00947</t>
        </is>
      </c>
      <c r="B948" s="2" t="inlineStr">
        <is>
          <t>Customer 27</t>
        </is>
      </c>
      <c r="C948" s="2" t="inlineStr">
        <is>
          <t>Sensor</t>
        </is>
      </c>
      <c r="D948" s="2" t="inlineStr">
        <is>
          <t>Plant C</t>
        </is>
      </c>
      <c r="E948" s="2" t="inlineStr">
        <is>
          <t>Central</t>
        </is>
      </c>
      <c r="F948" s="12" t="n">
        <v>46113</v>
      </c>
      <c r="G948" s="12" t="n">
        <v>46127</v>
      </c>
      <c r="H948" s="12" t="n">
        <v>46122</v>
      </c>
      <c r="I948" s="12" t="n">
        <v>46120</v>
      </c>
      <c r="J948" s="12" t="n">
        <v>46125</v>
      </c>
      <c r="K948" s="2" t="n">
        <v>905</v>
      </c>
      <c r="L948" s="2" t="inlineStr">
        <is>
          <t>Sea</t>
        </is>
      </c>
      <c r="M948" s="2" t="inlineStr">
        <is>
          <t>No Delay</t>
        </is>
      </c>
      <c r="N948" s="4">
        <f>IF(I948&lt;=H948,1,0)</f>
        <v/>
      </c>
      <c r="O948" s="4">
        <f>IF(J948&lt;=G948,1,0)</f>
        <v/>
      </c>
      <c r="P948" s="4">
        <f>MAX(0,I948-H948)</f>
        <v/>
      </c>
      <c r="Q948" s="4">
        <f>MAX(0,J948-G948)</f>
        <v/>
      </c>
      <c r="R948" s="4">
        <f>IF(AND(N948=1,O948=1),"On Track",IF(O948=0,"Customer Delivery Late","Ship Late"))</f>
        <v/>
      </c>
    </row>
    <row r="949">
      <c r="A949" s="2" t="inlineStr">
        <is>
          <t>ORD-00948</t>
        </is>
      </c>
      <c r="B949" s="2" t="inlineStr">
        <is>
          <t>Customer 28</t>
        </is>
      </c>
      <c r="C949" s="2" t="inlineStr">
        <is>
          <t>Drive</t>
        </is>
      </c>
      <c r="D949" s="2" t="inlineStr">
        <is>
          <t>Plant B</t>
        </is>
      </c>
      <c r="E949" s="2" t="inlineStr">
        <is>
          <t>South</t>
        </is>
      </c>
      <c r="F949" s="12" t="n">
        <v>46136</v>
      </c>
      <c r="G949" s="12" t="n">
        <v>46156</v>
      </c>
      <c r="H949" s="12" t="n">
        <v>46153</v>
      </c>
      <c r="I949" s="12" t="n">
        <v>46153</v>
      </c>
      <c r="J949" s="12" t="n">
        <v>46156</v>
      </c>
      <c r="K949" s="2" t="n">
        <v>878</v>
      </c>
      <c r="L949" s="2" t="inlineStr">
        <is>
          <t>Road</t>
        </is>
      </c>
      <c r="M949" s="2" t="inlineStr">
        <is>
          <t>No Delay</t>
        </is>
      </c>
      <c r="N949" s="4">
        <f>IF(I949&lt;=H949,1,0)</f>
        <v/>
      </c>
      <c r="O949" s="4">
        <f>IF(J949&lt;=G949,1,0)</f>
        <v/>
      </c>
      <c r="P949" s="4">
        <f>MAX(0,I949-H949)</f>
        <v/>
      </c>
      <c r="Q949" s="4">
        <f>MAX(0,J949-G949)</f>
        <v/>
      </c>
      <c r="R949" s="4">
        <f>IF(AND(N949=1,O949=1),"On Track",IF(O949=0,"Customer Delivery Late","Ship Late"))</f>
        <v/>
      </c>
    </row>
    <row r="950">
      <c r="A950" s="2" t="inlineStr">
        <is>
          <t>ORD-00949</t>
        </is>
      </c>
      <c r="B950" s="2" t="inlineStr">
        <is>
          <t>Customer 17</t>
        </is>
      </c>
      <c r="C950" s="2" t="inlineStr">
        <is>
          <t>PLC</t>
        </is>
      </c>
      <c r="D950" s="2" t="inlineStr">
        <is>
          <t>Plant A</t>
        </is>
      </c>
      <c r="E950" s="2" t="inlineStr">
        <is>
          <t>South</t>
        </is>
      </c>
      <c r="F950" s="12" t="n">
        <v>46180</v>
      </c>
      <c r="G950" s="12" t="n">
        <v>46202</v>
      </c>
      <c r="H950" s="12" t="n">
        <v>46200</v>
      </c>
      <c r="I950" s="12" t="n">
        <v>46198</v>
      </c>
      <c r="J950" s="12" t="n">
        <v>46200</v>
      </c>
      <c r="K950" s="2" t="n">
        <v>682</v>
      </c>
      <c r="L950" s="2" t="inlineStr">
        <is>
          <t>Road</t>
        </is>
      </c>
      <c r="M950" s="2" t="inlineStr">
        <is>
          <t>No Delay</t>
        </is>
      </c>
      <c r="N950" s="4">
        <f>IF(I950&lt;=H950,1,0)</f>
        <v/>
      </c>
      <c r="O950" s="4">
        <f>IF(J950&lt;=G950,1,0)</f>
        <v/>
      </c>
      <c r="P950" s="4">
        <f>MAX(0,I950-H950)</f>
        <v/>
      </c>
      <c r="Q950" s="4">
        <f>MAX(0,J950-G950)</f>
        <v/>
      </c>
      <c r="R950" s="4">
        <f>IF(AND(N950=1,O950=1),"On Track",IF(O950=0,"Customer Delivery Late","Ship Late"))</f>
        <v/>
      </c>
    </row>
    <row r="951">
      <c r="A951" s="2" t="inlineStr">
        <is>
          <t>ORD-00950</t>
        </is>
      </c>
      <c r="B951" s="2" t="inlineStr">
        <is>
          <t>Customer 21</t>
        </is>
      </c>
      <c r="C951" s="2" t="inlineStr">
        <is>
          <t>Switchgear</t>
        </is>
      </c>
      <c r="D951" s="2" t="inlineStr">
        <is>
          <t>Plant B</t>
        </is>
      </c>
      <c r="E951" s="2" t="inlineStr">
        <is>
          <t>North</t>
        </is>
      </c>
      <c r="F951" s="12" t="n">
        <v>46117</v>
      </c>
      <c r="G951" s="12" t="n">
        <v>46130</v>
      </c>
      <c r="H951" s="12" t="n">
        <v>46125</v>
      </c>
      <c r="I951" s="12" t="n">
        <v>46125</v>
      </c>
      <c r="J951" s="12" t="n">
        <v>46129</v>
      </c>
      <c r="K951" s="2" t="n">
        <v>1434</v>
      </c>
      <c r="L951" s="2" t="inlineStr">
        <is>
          <t>Sea</t>
        </is>
      </c>
      <c r="M951" s="2" t="inlineStr">
        <is>
          <t>No Delay</t>
        </is>
      </c>
      <c r="N951" s="4">
        <f>IF(I951&lt;=H951,1,0)</f>
        <v/>
      </c>
      <c r="O951" s="4">
        <f>IF(J951&lt;=G951,1,0)</f>
        <v/>
      </c>
      <c r="P951" s="4">
        <f>MAX(0,I951-H951)</f>
        <v/>
      </c>
      <c r="Q951" s="4">
        <f>MAX(0,J951-G951)</f>
        <v/>
      </c>
      <c r="R951" s="4">
        <f>IF(AND(N951=1,O951=1),"On Track",IF(O951=0,"Customer Delivery Late","Ship Late"))</f>
        <v/>
      </c>
    </row>
    <row r="952">
      <c r="A952" s="2" t="inlineStr">
        <is>
          <t>ORD-00951</t>
        </is>
      </c>
      <c r="B952" s="2" t="inlineStr">
        <is>
          <t>Customer 06</t>
        </is>
      </c>
      <c r="C952" s="2" t="inlineStr">
        <is>
          <t>Switchgear</t>
        </is>
      </c>
      <c r="D952" s="2" t="inlineStr">
        <is>
          <t>Plant C</t>
        </is>
      </c>
      <c r="E952" s="2" t="inlineStr">
        <is>
          <t>North</t>
        </is>
      </c>
      <c r="F952" s="12" t="n">
        <v>46087</v>
      </c>
      <c r="G952" s="12" t="n">
        <v>46100</v>
      </c>
      <c r="H952" s="12" t="n">
        <v>46099</v>
      </c>
      <c r="I952" s="12" t="n">
        <v>46100</v>
      </c>
      <c r="J952" s="12" t="n">
        <v>46102</v>
      </c>
      <c r="K952" s="2" t="n">
        <v>88</v>
      </c>
      <c r="L952" s="2" t="inlineStr">
        <is>
          <t>Air</t>
        </is>
      </c>
      <c r="M952" s="2" t="inlineStr">
        <is>
          <t>Documentation Issue</t>
        </is>
      </c>
      <c r="N952" s="4">
        <f>IF(I952&lt;=H952,1,0)</f>
        <v/>
      </c>
      <c r="O952" s="4">
        <f>IF(J952&lt;=G952,1,0)</f>
        <v/>
      </c>
      <c r="P952" s="4">
        <f>MAX(0,I952-H952)</f>
        <v/>
      </c>
      <c r="Q952" s="4">
        <f>MAX(0,J952-G952)</f>
        <v/>
      </c>
      <c r="R952" s="4">
        <f>IF(AND(N952=1,O952=1),"On Track",IF(O952=0,"Customer Delivery Late","Ship Late"))</f>
        <v/>
      </c>
    </row>
    <row r="953">
      <c r="A953" s="2" t="inlineStr">
        <is>
          <t>ORD-00952</t>
        </is>
      </c>
      <c r="B953" s="2" t="inlineStr">
        <is>
          <t>Customer 28</t>
        </is>
      </c>
      <c r="C953" s="2" t="inlineStr">
        <is>
          <t>Contactor</t>
        </is>
      </c>
      <c r="D953" s="2" t="inlineStr">
        <is>
          <t>Plant A</t>
        </is>
      </c>
      <c r="E953" s="2" t="inlineStr">
        <is>
          <t>Export</t>
        </is>
      </c>
      <c r="F953" s="12" t="n">
        <v>46030</v>
      </c>
      <c r="G953" s="12" t="n">
        <v>46054</v>
      </c>
      <c r="H953" s="12" t="n">
        <v>46052</v>
      </c>
      <c r="I953" s="12" t="n">
        <v>46050</v>
      </c>
      <c r="J953" s="12" t="n">
        <v>46051</v>
      </c>
      <c r="K953" s="2" t="n">
        <v>1315</v>
      </c>
      <c r="L953" s="2" t="inlineStr">
        <is>
          <t>Sea</t>
        </is>
      </c>
      <c r="M953" s="2" t="inlineStr">
        <is>
          <t>No Delay</t>
        </is>
      </c>
      <c r="N953" s="4">
        <f>IF(I953&lt;=H953,1,0)</f>
        <v/>
      </c>
      <c r="O953" s="4">
        <f>IF(J953&lt;=G953,1,0)</f>
        <v/>
      </c>
      <c r="P953" s="4">
        <f>MAX(0,I953-H953)</f>
        <v/>
      </c>
      <c r="Q953" s="4">
        <f>MAX(0,J953-G953)</f>
        <v/>
      </c>
      <c r="R953" s="4">
        <f>IF(AND(N953=1,O953=1),"On Track",IF(O953=0,"Customer Delivery Late","Ship Late"))</f>
        <v/>
      </c>
    </row>
    <row r="954">
      <c r="A954" s="2" t="inlineStr">
        <is>
          <t>ORD-00953</t>
        </is>
      </c>
      <c r="B954" s="2" t="inlineStr">
        <is>
          <t>Customer 11</t>
        </is>
      </c>
      <c r="C954" s="2" t="inlineStr">
        <is>
          <t>Drive</t>
        </is>
      </c>
      <c r="D954" s="2" t="inlineStr">
        <is>
          <t>Plant C</t>
        </is>
      </c>
      <c r="E954" s="2" t="inlineStr">
        <is>
          <t>Central</t>
        </is>
      </c>
      <c r="F954" s="12" t="n">
        <v>46038</v>
      </c>
      <c r="G954" s="12" t="n">
        <v>46053</v>
      </c>
      <c r="H954" s="12" t="n">
        <v>46052</v>
      </c>
      <c r="I954" s="12" t="n">
        <v>46051</v>
      </c>
      <c r="J954" s="12" t="n">
        <v>46053</v>
      </c>
      <c r="K954" s="2" t="n">
        <v>1211</v>
      </c>
      <c r="L954" s="2" t="inlineStr">
        <is>
          <t>Sea</t>
        </is>
      </c>
      <c r="M954" s="2" t="inlineStr">
        <is>
          <t>No Delay</t>
        </is>
      </c>
      <c r="N954" s="4">
        <f>IF(I954&lt;=H954,1,0)</f>
        <v/>
      </c>
      <c r="O954" s="4">
        <f>IF(J954&lt;=G954,1,0)</f>
        <v/>
      </c>
      <c r="P954" s="4">
        <f>MAX(0,I954-H954)</f>
        <v/>
      </c>
      <c r="Q954" s="4">
        <f>MAX(0,J954-G954)</f>
        <v/>
      </c>
      <c r="R954" s="4">
        <f>IF(AND(N954=1,O954=1),"On Track",IF(O954=0,"Customer Delivery Late","Ship Late"))</f>
        <v/>
      </c>
    </row>
    <row r="955">
      <c r="A955" s="2" t="inlineStr">
        <is>
          <t>ORD-00954</t>
        </is>
      </c>
      <c r="B955" s="2" t="inlineStr">
        <is>
          <t>Customer 27</t>
        </is>
      </c>
      <c r="C955" s="2" t="inlineStr">
        <is>
          <t>Relay</t>
        </is>
      </c>
      <c r="D955" s="2" t="inlineStr">
        <is>
          <t>Plant C</t>
        </is>
      </c>
      <c r="E955" s="2" t="inlineStr">
        <is>
          <t>South</t>
        </is>
      </c>
      <c r="F955" s="12" t="n">
        <v>46116</v>
      </c>
      <c r="G955" s="12" t="n">
        <v>46137</v>
      </c>
      <c r="H955" s="12" t="n">
        <v>46136</v>
      </c>
      <c r="I955" s="12" t="n">
        <v>46135</v>
      </c>
      <c r="J955" s="12" t="n">
        <v>46136</v>
      </c>
      <c r="K955" s="2" t="n">
        <v>181</v>
      </c>
      <c r="L955" s="2" t="inlineStr">
        <is>
          <t>Road</t>
        </is>
      </c>
      <c r="M955" s="2" t="inlineStr">
        <is>
          <t>No Delay</t>
        </is>
      </c>
      <c r="N955" s="4">
        <f>IF(I955&lt;=H955,1,0)</f>
        <v/>
      </c>
      <c r="O955" s="4">
        <f>IF(J955&lt;=G955,1,0)</f>
        <v/>
      </c>
      <c r="P955" s="4">
        <f>MAX(0,I955-H955)</f>
        <v/>
      </c>
      <c r="Q955" s="4">
        <f>MAX(0,J955-G955)</f>
        <v/>
      </c>
      <c r="R955" s="4">
        <f>IF(AND(N955=1,O955=1),"On Track",IF(O955=0,"Customer Delivery Late","Ship Late"))</f>
        <v/>
      </c>
    </row>
    <row r="956">
      <c r="A956" s="2" t="inlineStr">
        <is>
          <t>ORD-00955</t>
        </is>
      </c>
      <c r="B956" s="2" t="inlineStr">
        <is>
          <t>Customer 27</t>
        </is>
      </c>
      <c r="C956" s="2" t="inlineStr">
        <is>
          <t>Breaker</t>
        </is>
      </c>
      <c r="D956" s="2" t="inlineStr">
        <is>
          <t>Plant B</t>
        </is>
      </c>
      <c r="E956" s="2" t="inlineStr">
        <is>
          <t>South</t>
        </is>
      </c>
      <c r="F956" s="12" t="n">
        <v>46136</v>
      </c>
      <c r="G956" s="12" t="n">
        <v>46142</v>
      </c>
      <c r="H956" s="12" t="n">
        <v>46139</v>
      </c>
      <c r="I956" s="12" t="n">
        <v>46139</v>
      </c>
      <c r="J956" s="12" t="n">
        <v>46142</v>
      </c>
      <c r="K956" s="2" t="n">
        <v>1158</v>
      </c>
      <c r="L956" s="2" t="inlineStr">
        <is>
          <t>Air</t>
        </is>
      </c>
      <c r="M956" s="2" t="inlineStr">
        <is>
          <t>No Delay</t>
        </is>
      </c>
      <c r="N956" s="4">
        <f>IF(I956&lt;=H956,1,0)</f>
        <v/>
      </c>
      <c r="O956" s="4">
        <f>IF(J956&lt;=G956,1,0)</f>
        <v/>
      </c>
      <c r="P956" s="4">
        <f>MAX(0,I956-H956)</f>
        <v/>
      </c>
      <c r="Q956" s="4">
        <f>MAX(0,J956-G956)</f>
        <v/>
      </c>
      <c r="R956" s="4">
        <f>IF(AND(N956=1,O956=1),"On Track",IF(O956=0,"Customer Delivery Late","Ship Late"))</f>
        <v/>
      </c>
    </row>
    <row r="957">
      <c r="A957" s="2" t="inlineStr">
        <is>
          <t>ORD-00956</t>
        </is>
      </c>
      <c r="B957" s="2" t="inlineStr">
        <is>
          <t>Customer 04</t>
        </is>
      </c>
      <c r="C957" s="2" t="inlineStr">
        <is>
          <t>Contactor</t>
        </is>
      </c>
      <c r="D957" s="2" t="inlineStr">
        <is>
          <t>Plant A</t>
        </is>
      </c>
      <c r="E957" s="2" t="inlineStr">
        <is>
          <t>North</t>
        </is>
      </c>
      <c r="F957" s="12" t="n">
        <v>46053</v>
      </c>
      <c r="G957" s="12" t="n">
        <v>46068</v>
      </c>
      <c r="H957" s="12" t="n">
        <v>46064</v>
      </c>
      <c r="I957" s="12" t="n">
        <v>46064</v>
      </c>
      <c r="J957" s="12" t="n">
        <v>46069</v>
      </c>
      <c r="K957" s="2" t="n">
        <v>390</v>
      </c>
      <c r="L957" s="2" t="inlineStr">
        <is>
          <t>Air</t>
        </is>
      </c>
      <c r="M957" s="2" t="inlineStr">
        <is>
          <t>Material Shortage</t>
        </is>
      </c>
      <c r="N957" s="4">
        <f>IF(I957&lt;=H957,1,0)</f>
        <v/>
      </c>
      <c r="O957" s="4">
        <f>IF(J957&lt;=G957,1,0)</f>
        <v/>
      </c>
      <c r="P957" s="4">
        <f>MAX(0,I957-H957)</f>
        <v/>
      </c>
      <c r="Q957" s="4">
        <f>MAX(0,J957-G957)</f>
        <v/>
      </c>
      <c r="R957" s="4">
        <f>IF(AND(N957=1,O957=1),"On Track",IF(O957=0,"Customer Delivery Late","Ship Late"))</f>
        <v/>
      </c>
    </row>
    <row r="958">
      <c r="A958" s="2" t="inlineStr">
        <is>
          <t>ORD-00957</t>
        </is>
      </c>
      <c r="B958" s="2" t="inlineStr">
        <is>
          <t>Customer 29</t>
        </is>
      </c>
      <c r="C958" s="2" t="inlineStr">
        <is>
          <t>PLC</t>
        </is>
      </c>
      <c r="D958" s="2" t="inlineStr">
        <is>
          <t>Plant B</t>
        </is>
      </c>
      <c r="E958" s="2" t="inlineStr">
        <is>
          <t>Central</t>
        </is>
      </c>
      <c r="F958" s="12" t="n">
        <v>46174</v>
      </c>
      <c r="G958" s="12" t="n">
        <v>46199</v>
      </c>
      <c r="H958" s="12" t="n">
        <v>46198</v>
      </c>
      <c r="I958" s="12" t="n">
        <v>46196</v>
      </c>
      <c r="J958" s="12" t="n">
        <v>46197</v>
      </c>
      <c r="K958" s="2" t="n">
        <v>281</v>
      </c>
      <c r="L958" s="2" t="inlineStr">
        <is>
          <t>Air</t>
        </is>
      </c>
      <c r="M958" s="2" t="inlineStr">
        <is>
          <t>No Delay</t>
        </is>
      </c>
      <c r="N958" s="4">
        <f>IF(I958&lt;=H958,1,0)</f>
        <v/>
      </c>
      <c r="O958" s="4">
        <f>IF(J958&lt;=G958,1,0)</f>
        <v/>
      </c>
      <c r="P958" s="4">
        <f>MAX(0,I958-H958)</f>
        <v/>
      </c>
      <c r="Q958" s="4">
        <f>MAX(0,J958-G958)</f>
        <v/>
      </c>
      <c r="R958" s="4">
        <f>IF(AND(N958=1,O958=1),"On Track",IF(O958=0,"Customer Delivery Late","Ship Late"))</f>
        <v/>
      </c>
    </row>
    <row r="959">
      <c r="A959" s="2" t="inlineStr">
        <is>
          <t>ORD-00958</t>
        </is>
      </c>
      <c r="B959" s="2" t="inlineStr">
        <is>
          <t>Customer 07</t>
        </is>
      </c>
      <c r="C959" s="2" t="inlineStr">
        <is>
          <t>Sensor</t>
        </is>
      </c>
      <c r="D959" s="2" t="inlineStr">
        <is>
          <t>Plant A</t>
        </is>
      </c>
      <c r="E959" s="2" t="inlineStr">
        <is>
          <t>Central</t>
        </is>
      </c>
      <c r="F959" s="12" t="n">
        <v>46036</v>
      </c>
      <c r="G959" s="12" t="n">
        <v>46053</v>
      </c>
      <c r="H959" s="12" t="n">
        <v>46050</v>
      </c>
      <c r="I959" s="12" t="n">
        <v>46048</v>
      </c>
      <c r="J959" s="12" t="n">
        <v>46051</v>
      </c>
      <c r="K959" s="2" t="n">
        <v>614</v>
      </c>
      <c r="L959" s="2" t="inlineStr">
        <is>
          <t>Air</t>
        </is>
      </c>
      <c r="M959" s="2" t="inlineStr">
        <is>
          <t>No Delay</t>
        </is>
      </c>
      <c r="N959" s="4">
        <f>IF(I959&lt;=H959,1,0)</f>
        <v/>
      </c>
      <c r="O959" s="4">
        <f>IF(J959&lt;=G959,1,0)</f>
        <v/>
      </c>
      <c r="P959" s="4">
        <f>MAX(0,I959-H959)</f>
        <v/>
      </c>
      <c r="Q959" s="4">
        <f>MAX(0,J959-G959)</f>
        <v/>
      </c>
      <c r="R959" s="4">
        <f>IF(AND(N959=1,O959=1),"On Track",IF(O959=0,"Customer Delivery Late","Ship Late"))</f>
        <v/>
      </c>
    </row>
    <row r="960">
      <c r="A960" s="2" t="inlineStr">
        <is>
          <t>ORD-00959</t>
        </is>
      </c>
      <c r="B960" s="2" t="inlineStr">
        <is>
          <t>Customer 17</t>
        </is>
      </c>
      <c r="C960" s="2" t="inlineStr">
        <is>
          <t>Switchgear</t>
        </is>
      </c>
      <c r="D960" s="2" t="inlineStr">
        <is>
          <t>Plant C</t>
        </is>
      </c>
      <c r="E960" s="2" t="inlineStr">
        <is>
          <t>Central</t>
        </is>
      </c>
      <c r="F960" s="12" t="n">
        <v>46201</v>
      </c>
      <c r="G960" s="12" t="n">
        <v>46220</v>
      </c>
      <c r="H960" s="12" t="n">
        <v>46217</v>
      </c>
      <c r="I960" s="12" t="n">
        <v>46216</v>
      </c>
      <c r="J960" s="12" t="n">
        <v>46219</v>
      </c>
      <c r="K960" s="2" t="n">
        <v>85</v>
      </c>
      <c r="L960" s="2" t="inlineStr">
        <is>
          <t>Sea</t>
        </is>
      </c>
      <c r="M960" s="2" t="inlineStr">
        <is>
          <t>No Delay</t>
        </is>
      </c>
      <c r="N960" s="4">
        <f>IF(I960&lt;=H960,1,0)</f>
        <v/>
      </c>
      <c r="O960" s="4">
        <f>IF(J960&lt;=G960,1,0)</f>
        <v/>
      </c>
      <c r="P960" s="4">
        <f>MAX(0,I960-H960)</f>
        <v/>
      </c>
      <c r="Q960" s="4">
        <f>MAX(0,J960-G960)</f>
        <v/>
      </c>
      <c r="R960" s="4">
        <f>IF(AND(N960=1,O960=1),"On Track",IF(O960=0,"Customer Delivery Late","Ship Late"))</f>
        <v/>
      </c>
    </row>
    <row r="961">
      <c r="A961" s="2" t="inlineStr">
        <is>
          <t>ORD-00960</t>
        </is>
      </c>
      <c r="B961" s="2" t="inlineStr">
        <is>
          <t>Customer 22</t>
        </is>
      </c>
      <c r="C961" s="2" t="inlineStr">
        <is>
          <t>Sensor</t>
        </is>
      </c>
      <c r="D961" s="2" t="inlineStr">
        <is>
          <t>Plant A</t>
        </is>
      </c>
      <c r="E961" s="2" t="inlineStr">
        <is>
          <t>South</t>
        </is>
      </c>
      <c r="F961" s="12" t="n">
        <v>46121</v>
      </c>
      <c r="G961" s="12" t="n">
        <v>46130</v>
      </c>
      <c r="H961" s="12" t="n">
        <v>46125</v>
      </c>
      <c r="I961" s="12" t="n">
        <v>46125</v>
      </c>
      <c r="J961" s="12" t="n">
        <v>46130</v>
      </c>
      <c r="K961" s="2" t="n">
        <v>1442</v>
      </c>
      <c r="L961" s="2" t="inlineStr">
        <is>
          <t>Sea</t>
        </is>
      </c>
      <c r="M961" s="2" t="inlineStr">
        <is>
          <t>No Delay</t>
        </is>
      </c>
      <c r="N961" s="4">
        <f>IF(I961&lt;=H961,1,0)</f>
        <v/>
      </c>
      <c r="O961" s="4">
        <f>IF(J961&lt;=G961,1,0)</f>
        <v/>
      </c>
      <c r="P961" s="4">
        <f>MAX(0,I961-H961)</f>
        <v/>
      </c>
      <c r="Q961" s="4">
        <f>MAX(0,J961-G961)</f>
        <v/>
      </c>
      <c r="R961" s="4">
        <f>IF(AND(N961=1,O961=1),"On Track",IF(O961=0,"Customer Delivery Late","Ship Late"))</f>
        <v/>
      </c>
    </row>
    <row r="962">
      <c r="A962" s="2" t="inlineStr">
        <is>
          <t>ORD-00961</t>
        </is>
      </c>
      <c r="B962" s="2" t="inlineStr">
        <is>
          <t>Customer 02</t>
        </is>
      </c>
      <c r="C962" s="2" t="inlineStr">
        <is>
          <t>Contactor</t>
        </is>
      </c>
      <c r="D962" s="2" t="inlineStr">
        <is>
          <t>Plant C</t>
        </is>
      </c>
      <c r="E962" s="2" t="inlineStr">
        <is>
          <t>Central</t>
        </is>
      </c>
      <c r="F962" s="12" t="n">
        <v>46164</v>
      </c>
      <c r="G962" s="12" t="n">
        <v>46177</v>
      </c>
      <c r="H962" s="12" t="n">
        <v>46176</v>
      </c>
      <c r="I962" s="12" t="n">
        <v>46174</v>
      </c>
      <c r="J962" s="12" t="n">
        <v>46175</v>
      </c>
      <c r="K962" s="2" t="n">
        <v>983</v>
      </c>
      <c r="L962" s="2" t="inlineStr">
        <is>
          <t>Road</t>
        </is>
      </c>
      <c r="M962" s="2" t="inlineStr">
        <is>
          <t>No Delay</t>
        </is>
      </c>
      <c r="N962" s="4">
        <f>IF(I962&lt;=H962,1,0)</f>
        <v/>
      </c>
      <c r="O962" s="4">
        <f>IF(J962&lt;=G962,1,0)</f>
        <v/>
      </c>
      <c r="P962" s="4">
        <f>MAX(0,I962-H962)</f>
        <v/>
      </c>
      <c r="Q962" s="4">
        <f>MAX(0,J962-G962)</f>
        <v/>
      </c>
      <c r="R962" s="4">
        <f>IF(AND(N962=1,O962=1),"On Track",IF(O962=0,"Customer Delivery Late","Ship Late"))</f>
        <v/>
      </c>
    </row>
    <row r="963">
      <c r="A963" s="2" t="inlineStr">
        <is>
          <t>ORD-00962</t>
        </is>
      </c>
      <c r="B963" s="2" t="inlineStr">
        <is>
          <t>Customer 21</t>
        </is>
      </c>
      <c r="C963" s="2" t="inlineStr">
        <is>
          <t>Drive</t>
        </is>
      </c>
      <c r="D963" s="2" t="inlineStr">
        <is>
          <t>Plant A</t>
        </is>
      </c>
      <c r="E963" s="2" t="inlineStr">
        <is>
          <t>Central</t>
        </is>
      </c>
      <c r="F963" s="12" t="n">
        <v>46142</v>
      </c>
      <c r="G963" s="12" t="n">
        <v>46165</v>
      </c>
      <c r="H963" s="12" t="n">
        <v>46162</v>
      </c>
      <c r="I963" s="12" t="n">
        <v>46161</v>
      </c>
      <c r="J963" s="12" t="n">
        <v>46164</v>
      </c>
      <c r="K963" s="2" t="n">
        <v>873</v>
      </c>
      <c r="L963" s="2" t="inlineStr">
        <is>
          <t>Air</t>
        </is>
      </c>
      <c r="M963" s="2" t="inlineStr">
        <is>
          <t>No Delay</t>
        </is>
      </c>
      <c r="N963" s="4">
        <f>IF(I963&lt;=H963,1,0)</f>
        <v/>
      </c>
      <c r="O963" s="4">
        <f>IF(J963&lt;=G963,1,0)</f>
        <v/>
      </c>
      <c r="P963" s="4">
        <f>MAX(0,I963-H963)</f>
        <v/>
      </c>
      <c r="Q963" s="4">
        <f>MAX(0,J963-G963)</f>
        <v/>
      </c>
      <c r="R963" s="4">
        <f>IF(AND(N963=1,O963=1),"On Track",IF(O963=0,"Customer Delivery Late","Ship Late"))</f>
        <v/>
      </c>
    </row>
    <row r="964">
      <c r="A964" s="2" t="inlineStr">
        <is>
          <t>ORD-00963</t>
        </is>
      </c>
      <c r="B964" s="2" t="inlineStr">
        <is>
          <t>Customer 06</t>
        </is>
      </c>
      <c r="C964" s="2" t="inlineStr">
        <is>
          <t>Breaker</t>
        </is>
      </c>
      <c r="D964" s="2" t="inlineStr">
        <is>
          <t>Plant B</t>
        </is>
      </c>
      <c r="E964" s="2" t="inlineStr">
        <is>
          <t>Export</t>
        </is>
      </c>
      <c r="F964" s="12" t="n">
        <v>46108</v>
      </c>
      <c r="G964" s="12" t="n">
        <v>46123</v>
      </c>
      <c r="H964" s="12" t="n">
        <v>46122</v>
      </c>
      <c r="I964" s="12" t="n">
        <v>46121</v>
      </c>
      <c r="J964" s="12" t="n">
        <v>46122</v>
      </c>
      <c r="K964" s="2" t="n">
        <v>1225</v>
      </c>
      <c r="L964" s="2" t="inlineStr">
        <is>
          <t>Sea</t>
        </is>
      </c>
      <c r="M964" s="2" t="inlineStr">
        <is>
          <t>No Delay</t>
        </is>
      </c>
      <c r="N964" s="4">
        <f>IF(I964&lt;=H964,1,0)</f>
        <v/>
      </c>
      <c r="O964" s="4">
        <f>IF(J964&lt;=G964,1,0)</f>
        <v/>
      </c>
      <c r="P964" s="4">
        <f>MAX(0,I964-H964)</f>
        <v/>
      </c>
      <c r="Q964" s="4">
        <f>MAX(0,J964-G964)</f>
        <v/>
      </c>
      <c r="R964" s="4">
        <f>IF(AND(N964=1,O964=1),"On Track",IF(O964=0,"Customer Delivery Late","Ship Late"))</f>
        <v/>
      </c>
    </row>
    <row r="965">
      <c r="A965" s="2" t="inlineStr">
        <is>
          <t>ORD-00964</t>
        </is>
      </c>
      <c r="B965" s="2" t="inlineStr">
        <is>
          <t>Customer 16</t>
        </is>
      </c>
      <c r="C965" s="2" t="inlineStr">
        <is>
          <t>Power Supply</t>
        </is>
      </c>
      <c r="D965" s="2" t="inlineStr">
        <is>
          <t>Plant B</t>
        </is>
      </c>
      <c r="E965" s="2" t="inlineStr">
        <is>
          <t>North</t>
        </is>
      </c>
      <c r="F965" s="12" t="n">
        <v>46200</v>
      </c>
      <c r="G965" s="12" t="n">
        <v>46218</v>
      </c>
      <c r="H965" s="12" t="n">
        <v>46214</v>
      </c>
      <c r="I965" s="12" t="n">
        <v>46212</v>
      </c>
      <c r="J965" s="12" t="n">
        <v>46216</v>
      </c>
      <c r="K965" s="2" t="n">
        <v>489</v>
      </c>
      <c r="L965" s="2" t="inlineStr">
        <is>
          <t>Sea</t>
        </is>
      </c>
      <c r="M965" s="2" t="inlineStr">
        <is>
          <t>No Delay</t>
        </is>
      </c>
      <c r="N965" s="4">
        <f>IF(I965&lt;=H965,1,0)</f>
        <v/>
      </c>
      <c r="O965" s="4">
        <f>IF(J965&lt;=G965,1,0)</f>
        <v/>
      </c>
      <c r="P965" s="4">
        <f>MAX(0,I965-H965)</f>
        <v/>
      </c>
      <c r="Q965" s="4">
        <f>MAX(0,J965-G965)</f>
        <v/>
      </c>
      <c r="R965" s="4">
        <f>IF(AND(N965=1,O965=1),"On Track",IF(O965=0,"Customer Delivery Late","Ship Late"))</f>
        <v/>
      </c>
    </row>
    <row r="966">
      <c r="A966" s="2" t="inlineStr">
        <is>
          <t>ORD-00965</t>
        </is>
      </c>
      <c r="B966" s="2" t="inlineStr">
        <is>
          <t>Customer 06</t>
        </is>
      </c>
      <c r="C966" s="2" t="inlineStr">
        <is>
          <t>Sensor</t>
        </is>
      </c>
      <c r="D966" s="2" t="inlineStr">
        <is>
          <t>Plant C</t>
        </is>
      </c>
      <c r="E966" s="2" t="inlineStr">
        <is>
          <t>Central</t>
        </is>
      </c>
      <c r="F966" s="12" t="n">
        <v>46050</v>
      </c>
      <c r="G966" s="12" t="n">
        <v>46068</v>
      </c>
      <c r="H966" s="12" t="n">
        <v>46064</v>
      </c>
      <c r="I966" s="12" t="n">
        <v>46064</v>
      </c>
      <c r="J966" s="12" t="n">
        <v>46069</v>
      </c>
      <c r="K966" s="2" t="n">
        <v>1173</v>
      </c>
      <c r="L966" s="2" t="inlineStr">
        <is>
          <t>Road</t>
        </is>
      </c>
      <c r="M966" s="2" t="inlineStr">
        <is>
          <t>Capacity Constraint</t>
        </is>
      </c>
      <c r="N966" s="4">
        <f>IF(I966&lt;=H966,1,0)</f>
        <v/>
      </c>
      <c r="O966" s="4">
        <f>IF(J966&lt;=G966,1,0)</f>
        <v/>
      </c>
      <c r="P966" s="4">
        <f>MAX(0,I966-H966)</f>
        <v/>
      </c>
      <c r="Q966" s="4">
        <f>MAX(0,J966-G966)</f>
        <v/>
      </c>
      <c r="R966" s="4">
        <f>IF(AND(N966=1,O966=1),"On Track",IF(O966=0,"Customer Delivery Late","Ship Late"))</f>
        <v/>
      </c>
    </row>
    <row r="967">
      <c r="A967" s="2" t="inlineStr">
        <is>
          <t>ORD-00966</t>
        </is>
      </c>
      <c r="B967" s="2" t="inlineStr">
        <is>
          <t>Customer 15</t>
        </is>
      </c>
      <c r="C967" s="2" t="inlineStr">
        <is>
          <t>Breaker</t>
        </is>
      </c>
      <c r="D967" s="2" t="inlineStr">
        <is>
          <t>Plant C</t>
        </is>
      </c>
      <c r="E967" s="2" t="inlineStr">
        <is>
          <t>Central</t>
        </is>
      </c>
      <c r="F967" s="12" t="n">
        <v>46056</v>
      </c>
      <c r="G967" s="12" t="n">
        <v>46071</v>
      </c>
      <c r="H967" s="12" t="n">
        <v>46070</v>
      </c>
      <c r="I967" s="12" t="n">
        <v>46075</v>
      </c>
      <c r="J967" s="12" t="n">
        <v>46076</v>
      </c>
      <c r="K967" s="2" t="n">
        <v>420</v>
      </c>
      <c r="L967" s="2" t="inlineStr">
        <is>
          <t>Road</t>
        </is>
      </c>
      <c r="M967" s="2" t="inlineStr">
        <is>
          <t>Production Delay</t>
        </is>
      </c>
      <c r="N967" s="4">
        <f>IF(I967&lt;=H967,1,0)</f>
        <v/>
      </c>
      <c r="O967" s="4">
        <f>IF(J967&lt;=G967,1,0)</f>
        <v/>
      </c>
      <c r="P967" s="4">
        <f>MAX(0,I967-H967)</f>
        <v/>
      </c>
      <c r="Q967" s="4">
        <f>MAX(0,J967-G967)</f>
        <v/>
      </c>
      <c r="R967" s="4">
        <f>IF(AND(N967=1,O967=1),"On Track",IF(O967=0,"Customer Delivery Late","Ship Late"))</f>
        <v/>
      </c>
    </row>
    <row r="968">
      <c r="A968" s="2" t="inlineStr">
        <is>
          <t>ORD-00967</t>
        </is>
      </c>
      <c r="B968" s="2" t="inlineStr">
        <is>
          <t>Customer 05</t>
        </is>
      </c>
      <c r="C968" s="2" t="inlineStr">
        <is>
          <t>Drive</t>
        </is>
      </c>
      <c r="D968" s="2" t="inlineStr">
        <is>
          <t>Plant A</t>
        </is>
      </c>
      <c r="E968" s="2" t="inlineStr">
        <is>
          <t>Export</t>
        </is>
      </c>
      <c r="F968" s="12" t="n">
        <v>46100</v>
      </c>
      <c r="G968" s="12" t="n">
        <v>46114</v>
      </c>
      <c r="H968" s="12" t="n">
        <v>46113</v>
      </c>
      <c r="I968" s="12" t="n">
        <v>46111</v>
      </c>
      <c r="J968" s="12" t="n">
        <v>46112</v>
      </c>
      <c r="K968" s="2" t="n">
        <v>336</v>
      </c>
      <c r="L968" s="2" t="inlineStr">
        <is>
          <t>Air</t>
        </is>
      </c>
      <c r="M968" s="2" t="inlineStr">
        <is>
          <t>No Delay</t>
        </is>
      </c>
      <c r="N968" s="4">
        <f>IF(I968&lt;=H968,1,0)</f>
        <v/>
      </c>
      <c r="O968" s="4">
        <f>IF(J968&lt;=G968,1,0)</f>
        <v/>
      </c>
      <c r="P968" s="4">
        <f>MAX(0,I968-H968)</f>
        <v/>
      </c>
      <c r="Q968" s="4">
        <f>MAX(0,J968-G968)</f>
        <v/>
      </c>
      <c r="R968" s="4">
        <f>IF(AND(N968=1,O968=1),"On Track",IF(O968=0,"Customer Delivery Late","Ship Late"))</f>
        <v/>
      </c>
    </row>
    <row r="969">
      <c r="A969" s="2" t="inlineStr">
        <is>
          <t>ORD-00968</t>
        </is>
      </c>
      <c r="B969" s="2" t="inlineStr">
        <is>
          <t>Customer 27</t>
        </is>
      </c>
      <c r="C969" s="2" t="inlineStr">
        <is>
          <t>Switchgear</t>
        </is>
      </c>
      <c r="D969" s="2" t="inlineStr">
        <is>
          <t>Plant C</t>
        </is>
      </c>
      <c r="E969" s="2" t="inlineStr">
        <is>
          <t>Central</t>
        </is>
      </c>
      <c r="F969" s="12" t="n">
        <v>46048</v>
      </c>
      <c r="G969" s="12" t="n">
        <v>46068</v>
      </c>
      <c r="H969" s="12" t="n">
        <v>46063</v>
      </c>
      <c r="I969" s="12" t="n">
        <v>46063</v>
      </c>
      <c r="J969" s="12" t="n">
        <v>46068</v>
      </c>
      <c r="K969" s="2" t="n">
        <v>206</v>
      </c>
      <c r="L969" s="2" t="inlineStr">
        <is>
          <t>Air</t>
        </is>
      </c>
      <c r="M969" s="2" t="inlineStr">
        <is>
          <t>No Delay</t>
        </is>
      </c>
      <c r="N969" s="4">
        <f>IF(I969&lt;=H969,1,0)</f>
        <v/>
      </c>
      <c r="O969" s="4">
        <f>IF(J969&lt;=G969,1,0)</f>
        <v/>
      </c>
      <c r="P969" s="4">
        <f>MAX(0,I969-H969)</f>
        <v/>
      </c>
      <c r="Q969" s="4">
        <f>MAX(0,J969-G969)</f>
        <v/>
      </c>
      <c r="R969" s="4">
        <f>IF(AND(N969=1,O969=1),"On Track",IF(O969=0,"Customer Delivery Late","Ship Late"))</f>
        <v/>
      </c>
    </row>
    <row r="970">
      <c r="A970" s="2" t="inlineStr">
        <is>
          <t>ORD-00969</t>
        </is>
      </c>
      <c r="B970" s="2" t="inlineStr">
        <is>
          <t>Customer 18</t>
        </is>
      </c>
      <c r="C970" s="2" t="inlineStr">
        <is>
          <t>Contactor</t>
        </is>
      </c>
      <c r="D970" s="2" t="inlineStr">
        <is>
          <t>Plant B</t>
        </is>
      </c>
      <c r="E970" s="2" t="inlineStr">
        <is>
          <t>Export</t>
        </is>
      </c>
      <c r="F970" s="12" t="n">
        <v>46055</v>
      </c>
      <c r="G970" s="12" t="n">
        <v>46070</v>
      </c>
      <c r="H970" s="12" t="n">
        <v>46068</v>
      </c>
      <c r="I970" s="12" t="n">
        <v>46067</v>
      </c>
      <c r="J970" s="12" t="n">
        <v>46069</v>
      </c>
      <c r="K970" s="2" t="n">
        <v>1381</v>
      </c>
      <c r="L970" s="2" t="inlineStr">
        <is>
          <t>Sea</t>
        </is>
      </c>
      <c r="M970" s="2" t="inlineStr">
        <is>
          <t>No Delay</t>
        </is>
      </c>
      <c r="N970" s="4">
        <f>IF(I970&lt;=H970,1,0)</f>
        <v/>
      </c>
      <c r="O970" s="4">
        <f>IF(J970&lt;=G970,1,0)</f>
        <v/>
      </c>
      <c r="P970" s="4">
        <f>MAX(0,I970-H970)</f>
        <v/>
      </c>
      <c r="Q970" s="4">
        <f>MAX(0,J970-G970)</f>
        <v/>
      </c>
      <c r="R970" s="4">
        <f>IF(AND(N970=1,O970=1),"On Track",IF(O970=0,"Customer Delivery Late","Ship Late"))</f>
        <v/>
      </c>
    </row>
    <row r="971">
      <c r="A971" s="2" t="inlineStr">
        <is>
          <t>ORD-00970</t>
        </is>
      </c>
      <c r="B971" s="2" t="inlineStr">
        <is>
          <t>Customer 17</t>
        </is>
      </c>
      <c r="C971" s="2" t="inlineStr">
        <is>
          <t>Breaker</t>
        </is>
      </c>
      <c r="D971" s="2" t="inlineStr">
        <is>
          <t>Plant C</t>
        </is>
      </c>
      <c r="E971" s="2" t="inlineStr">
        <is>
          <t>Export</t>
        </is>
      </c>
      <c r="F971" s="12" t="n">
        <v>46173</v>
      </c>
      <c r="G971" s="12" t="n">
        <v>46178</v>
      </c>
      <c r="H971" s="12" t="n">
        <v>46176</v>
      </c>
      <c r="I971" s="12" t="n">
        <v>46174</v>
      </c>
      <c r="J971" s="12" t="n">
        <v>46176</v>
      </c>
      <c r="K971" s="2" t="n">
        <v>168</v>
      </c>
      <c r="L971" s="2" t="inlineStr">
        <is>
          <t>Sea</t>
        </is>
      </c>
      <c r="M971" s="2" t="inlineStr">
        <is>
          <t>No Delay</t>
        </is>
      </c>
      <c r="N971" s="4">
        <f>IF(I971&lt;=H971,1,0)</f>
        <v/>
      </c>
      <c r="O971" s="4">
        <f>IF(J971&lt;=G971,1,0)</f>
        <v/>
      </c>
      <c r="P971" s="4">
        <f>MAX(0,I971-H971)</f>
        <v/>
      </c>
      <c r="Q971" s="4">
        <f>MAX(0,J971-G971)</f>
        <v/>
      </c>
      <c r="R971" s="4">
        <f>IF(AND(N971=1,O971=1),"On Track",IF(O971=0,"Customer Delivery Late","Ship Late"))</f>
        <v/>
      </c>
    </row>
    <row r="972">
      <c r="A972" s="2" t="inlineStr">
        <is>
          <t>ORD-00971</t>
        </is>
      </c>
      <c r="B972" s="2" t="inlineStr">
        <is>
          <t>Customer 13</t>
        </is>
      </c>
      <c r="C972" s="2" t="inlineStr">
        <is>
          <t>Relay</t>
        </is>
      </c>
      <c r="D972" s="2" t="inlineStr">
        <is>
          <t>Plant B</t>
        </is>
      </c>
      <c r="E972" s="2" t="inlineStr">
        <is>
          <t>Central</t>
        </is>
      </c>
      <c r="F972" s="12" t="n">
        <v>46081</v>
      </c>
      <c r="G972" s="12" t="n">
        <v>46090</v>
      </c>
      <c r="H972" s="12" t="n">
        <v>46086</v>
      </c>
      <c r="I972" s="12" t="n">
        <v>46084</v>
      </c>
      <c r="J972" s="12" t="n">
        <v>46088</v>
      </c>
      <c r="K972" s="2" t="n">
        <v>593</v>
      </c>
      <c r="L972" s="2" t="inlineStr">
        <is>
          <t>Air</t>
        </is>
      </c>
      <c r="M972" s="2" t="inlineStr">
        <is>
          <t>No Delay</t>
        </is>
      </c>
      <c r="N972" s="4">
        <f>IF(I972&lt;=H972,1,0)</f>
        <v/>
      </c>
      <c r="O972" s="4">
        <f>IF(J972&lt;=G972,1,0)</f>
        <v/>
      </c>
      <c r="P972" s="4">
        <f>MAX(0,I972-H972)</f>
        <v/>
      </c>
      <c r="Q972" s="4">
        <f>MAX(0,J972-G972)</f>
        <v/>
      </c>
      <c r="R972" s="4">
        <f>IF(AND(N972=1,O972=1),"On Track",IF(O972=0,"Customer Delivery Late","Ship Late"))</f>
        <v/>
      </c>
    </row>
    <row r="973">
      <c r="A973" s="2" t="inlineStr">
        <is>
          <t>ORD-00972</t>
        </is>
      </c>
      <c r="B973" s="2" t="inlineStr">
        <is>
          <t>Customer 17</t>
        </is>
      </c>
      <c r="C973" s="2" t="inlineStr">
        <is>
          <t>Contactor</t>
        </is>
      </c>
      <c r="D973" s="2" t="inlineStr">
        <is>
          <t>Plant B</t>
        </is>
      </c>
      <c r="E973" s="2" t="inlineStr">
        <is>
          <t>North</t>
        </is>
      </c>
      <c r="F973" s="12" t="n">
        <v>46122</v>
      </c>
      <c r="G973" s="12" t="n">
        <v>46142</v>
      </c>
      <c r="H973" s="12" t="n">
        <v>46141</v>
      </c>
      <c r="I973" s="12" t="n">
        <v>46140</v>
      </c>
      <c r="J973" s="12" t="n">
        <v>46141</v>
      </c>
      <c r="K973" s="2" t="n">
        <v>719</v>
      </c>
      <c r="L973" s="2" t="inlineStr">
        <is>
          <t>Sea</t>
        </is>
      </c>
      <c r="M973" s="2" t="inlineStr">
        <is>
          <t>No Delay</t>
        </is>
      </c>
      <c r="N973" s="4">
        <f>IF(I973&lt;=H973,1,0)</f>
        <v/>
      </c>
      <c r="O973" s="4">
        <f>IF(J973&lt;=G973,1,0)</f>
        <v/>
      </c>
      <c r="P973" s="4">
        <f>MAX(0,I973-H973)</f>
        <v/>
      </c>
      <c r="Q973" s="4">
        <f>MAX(0,J973-G973)</f>
        <v/>
      </c>
      <c r="R973" s="4">
        <f>IF(AND(N973=1,O973=1),"On Track",IF(O973=0,"Customer Delivery Late","Ship Late"))</f>
        <v/>
      </c>
    </row>
    <row r="974">
      <c r="A974" s="2" t="inlineStr">
        <is>
          <t>ORD-00973</t>
        </is>
      </c>
      <c r="B974" s="2" t="inlineStr">
        <is>
          <t>Customer 17</t>
        </is>
      </c>
      <c r="C974" s="2" t="inlineStr">
        <is>
          <t>Power Supply</t>
        </is>
      </c>
      <c r="D974" s="2" t="inlineStr">
        <is>
          <t>Plant C</t>
        </is>
      </c>
      <c r="E974" s="2" t="inlineStr">
        <is>
          <t>Export</t>
        </is>
      </c>
      <c r="F974" s="12" t="n">
        <v>46048</v>
      </c>
      <c r="G974" s="12" t="n">
        <v>46073</v>
      </c>
      <c r="H974" s="12" t="n">
        <v>46069</v>
      </c>
      <c r="I974" s="12" t="n">
        <v>46067</v>
      </c>
      <c r="J974" s="12" t="n">
        <v>46071</v>
      </c>
      <c r="K974" s="2" t="n">
        <v>33</v>
      </c>
      <c r="L974" s="2" t="inlineStr">
        <is>
          <t>Air</t>
        </is>
      </c>
      <c r="M974" s="2" t="inlineStr">
        <is>
          <t>No Delay</t>
        </is>
      </c>
      <c r="N974" s="4">
        <f>IF(I974&lt;=H974,1,0)</f>
        <v/>
      </c>
      <c r="O974" s="4">
        <f>IF(J974&lt;=G974,1,0)</f>
        <v/>
      </c>
      <c r="P974" s="4">
        <f>MAX(0,I974-H974)</f>
        <v/>
      </c>
      <c r="Q974" s="4">
        <f>MAX(0,J974-G974)</f>
        <v/>
      </c>
      <c r="R974" s="4">
        <f>IF(AND(N974=1,O974=1),"On Track",IF(O974=0,"Customer Delivery Late","Ship Late"))</f>
        <v/>
      </c>
    </row>
    <row r="975">
      <c r="A975" s="2" t="inlineStr">
        <is>
          <t>ORD-00974</t>
        </is>
      </c>
      <c r="B975" s="2" t="inlineStr">
        <is>
          <t>Customer 04</t>
        </is>
      </c>
      <c r="C975" s="2" t="inlineStr">
        <is>
          <t>Switchgear</t>
        </is>
      </c>
      <c r="D975" s="2" t="inlineStr">
        <is>
          <t>Plant C</t>
        </is>
      </c>
      <c r="E975" s="2" t="inlineStr">
        <is>
          <t>South</t>
        </is>
      </c>
      <c r="F975" s="12" t="n">
        <v>46190</v>
      </c>
      <c r="G975" s="12" t="n">
        <v>46207</v>
      </c>
      <c r="H975" s="12" t="n">
        <v>46203</v>
      </c>
      <c r="I975" s="12" t="n">
        <v>46202</v>
      </c>
      <c r="J975" s="12" t="n">
        <v>46206</v>
      </c>
      <c r="K975" s="2" t="n">
        <v>979</v>
      </c>
      <c r="L975" s="2" t="inlineStr">
        <is>
          <t>Sea</t>
        </is>
      </c>
      <c r="M975" s="2" t="inlineStr">
        <is>
          <t>No Delay</t>
        </is>
      </c>
      <c r="N975" s="4">
        <f>IF(I975&lt;=H975,1,0)</f>
        <v/>
      </c>
      <c r="O975" s="4">
        <f>IF(J975&lt;=G975,1,0)</f>
        <v/>
      </c>
      <c r="P975" s="4">
        <f>MAX(0,I975-H975)</f>
        <v/>
      </c>
      <c r="Q975" s="4">
        <f>MAX(0,J975-G975)</f>
        <v/>
      </c>
      <c r="R975" s="4">
        <f>IF(AND(N975=1,O975=1),"On Track",IF(O975=0,"Customer Delivery Late","Ship Late"))</f>
        <v/>
      </c>
    </row>
    <row r="976">
      <c r="A976" s="2" t="inlineStr">
        <is>
          <t>ORD-00975</t>
        </is>
      </c>
      <c r="B976" s="2" t="inlineStr">
        <is>
          <t>Customer 28</t>
        </is>
      </c>
      <c r="C976" s="2" t="inlineStr">
        <is>
          <t>Contactor</t>
        </is>
      </c>
      <c r="D976" s="2" t="inlineStr">
        <is>
          <t>Plant A</t>
        </is>
      </c>
      <c r="E976" s="2" t="inlineStr">
        <is>
          <t>North</t>
        </is>
      </c>
      <c r="F976" s="12" t="n">
        <v>46108</v>
      </c>
      <c r="G976" s="12" t="n">
        <v>46130</v>
      </c>
      <c r="H976" s="12" t="n">
        <v>46127</v>
      </c>
      <c r="I976" s="12" t="n">
        <v>46125</v>
      </c>
      <c r="J976" s="12" t="n">
        <v>46129</v>
      </c>
      <c r="K976" s="2" t="n">
        <v>700</v>
      </c>
      <c r="L976" s="2" t="inlineStr">
        <is>
          <t>Sea</t>
        </is>
      </c>
      <c r="M976" s="2" t="inlineStr">
        <is>
          <t>No Delay</t>
        </is>
      </c>
      <c r="N976" s="4">
        <f>IF(I976&lt;=H976,1,0)</f>
        <v/>
      </c>
      <c r="O976" s="4">
        <f>IF(J976&lt;=G976,1,0)</f>
        <v/>
      </c>
      <c r="P976" s="4">
        <f>MAX(0,I976-H976)</f>
        <v/>
      </c>
      <c r="Q976" s="4">
        <f>MAX(0,J976-G976)</f>
        <v/>
      </c>
      <c r="R976" s="4">
        <f>IF(AND(N976=1,O976=1),"On Track",IF(O976=0,"Customer Delivery Late","Ship Late"))</f>
        <v/>
      </c>
    </row>
    <row r="977">
      <c r="A977" s="2" t="inlineStr">
        <is>
          <t>ORD-00976</t>
        </is>
      </c>
      <c r="B977" s="2" t="inlineStr">
        <is>
          <t>Customer 10</t>
        </is>
      </c>
      <c r="C977" s="2" t="inlineStr">
        <is>
          <t>Breaker</t>
        </is>
      </c>
      <c r="D977" s="2" t="inlineStr">
        <is>
          <t>Plant A</t>
        </is>
      </c>
      <c r="E977" s="2" t="inlineStr">
        <is>
          <t>Export</t>
        </is>
      </c>
      <c r="F977" s="12" t="n">
        <v>46174</v>
      </c>
      <c r="G977" s="12" t="n">
        <v>46187</v>
      </c>
      <c r="H977" s="12" t="n">
        <v>46185</v>
      </c>
      <c r="I977" s="12" t="n">
        <v>46185</v>
      </c>
      <c r="J977" s="12" t="n">
        <v>46187</v>
      </c>
      <c r="K977" s="2" t="n">
        <v>952</v>
      </c>
      <c r="L977" s="2" t="inlineStr">
        <is>
          <t>Air</t>
        </is>
      </c>
      <c r="M977" s="2" t="inlineStr">
        <is>
          <t>No Delay</t>
        </is>
      </c>
      <c r="N977" s="4">
        <f>IF(I977&lt;=H977,1,0)</f>
        <v/>
      </c>
      <c r="O977" s="4">
        <f>IF(J977&lt;=G977,1,0)</f>
        <v/>
      </c>
      <c r="P977" s="4">
        <f>MAX(0,I977-H977)</f>
        <v/>
      </c>
      <c r="Q977" s="4">
        <f>MAX(0,J977-G977)</f>
        <v/>
      </c>
      <c r="R977" s="4">
        <f>IF(AND(N977=1,O977=1),"On Track",IF(O977=0,"Customer Delivery Late","Ship Late"))</f>
        <v/>
      </c>
    </row>
    <row r="978">
      <c r="A978" s="2" t="inlineStr">
        <is>
          <t>ORD-00977</t>
        </is>
      </c>
      <c r="B978" s="2" t="inlineStr">
        <is>
          <t>Customer 06</t>
        </is>
      </c>
      <c r="C978" s="2" t="inlineStr">
        <is>
          <t>Sensor</t>
        </is>
      </c>
      <c r="D978" s="2" t="inlineStr">
        <is>
          <t>Plant B</t>
        </is>
      </c>
      <c r="E978" s="2" t="inlineStr">
        <is>
          <t>Export</t>
        </is>
      </c>
      <c r="F978" s="12" t="n">
        <v>46035</v>
      </c>
      <c r="G978" s="12" t="n">
        <v>46059</v>
      </c>
      <c r="H978" s="12" t="n">
        <v>46056</v>
      </c>
      <c r="I978" s="12" t="n">
        <v>46055</v>
      </c>
      <c r="J978" s="12" t="n">
        <v>46057</v>
      </c>
      <c r="K978" s="2" t="n">
        <v>45</v>
      </c>
      <c r="L978" s="2" t="inlineStr">
        <is>
          <t>Air</t>
        </is>
      </c>
      <c r="M978" s="2" t="inlineStr">
        <is>
          <t>No Delay</t>
        </is>
      </c>
      <c r="N978" s="4">
        <f>IF(I978&lt;=H978,1,0)</f>
        <v/>
      </c>
      <c r="O978" s="4">
        <f>IF(J978&lt;=G978,1,0)</f>
        <v/>
      </c>
      <c r="P978" s="4">
        <f>MAX(0,I978-H978)</f>
        <v/>
      </c>
      <c r="Q978" s="4">
        <f>MAX(0,J978-G978)</f>
        <v/>
      </c>
      <c r="R978" s="4">
        <f>IF(AND(N978=1,O978=1),"On Track",IF(O978=0,"Customer Delivery Late","Ship Late"))</f>
        <v/>
      </c>
    </row>
    <row r="979">
      <c r="A979" s="2" t="inlineStr">
        <is>
          <t>ORD-00978</t>
        </is>
      </c>
      <c r="B979" s="2" t="inlineStr">
        <is>
          <t>Customer 08</t>
        </is>
      </c>
      <c r="C979" s="2" t="inlineStr">
        <is>
          <t>Relay</t>
        </is>
      </c>
      <c r="D979" s="2" t="inlineStr">
        <is>
          <t>Plant A</t>
        </is>
      </c>
      <c r="E979" s="2" t="inlineStr">
        <is>
          <t>North</t>
        </is>
      </c>
      <c r="F979" s="12" t="n">
        <v>46106</v>
      </c>
      <c r="G979" s="12" t="n">
        <v>46120</v>
      </c>
      <c r="H979" s="12" t="n">
        <v>46119</v>
      </c>
      <c r="I979" s="12" t="n">
        <v>46118</v>
      </c>
      <c r="J979" s="12" t="n">
        <v>46120</v>
      </c>
      <c r="K979" s="2" t="n">
        <v>268</v>
      </c>
      <c r="L979" s="2" t="inlineStr">
        <is>
          <t>Sea</t>
        </is>
      </c>
      <c r="M979" s="2" t="inlineStr">
        <is>
          <t>No Delay</t>
        </is>
      </c>
      <c r="N979" s="4">
        <f>IF(I979&lt;=H979,1,0)</f>
        <v/>
      </c>
      <c r="O979" s="4">
        <f>IF(J979&lt;=G979,1,0)</f>
        <v/>
      </c>
      <c r="P979" s="4">
        <f>MAX(0,I979-H979)</f>
        <v/>
      </c>
      <c r="Q979" s="4">
        <f>MAX(0,J979-G979)</f>
        <v/>
      </c>
      <c r="R979" s="4">
        <f>IF(AND(N979=1,O979=1),"On Track",IF(O979=0,"Customer Delivery Late","Ship Late"))</f>
        <v/>
      </c>
    </row>
    <row r="980">
      <c r="A980" s="2" t="inlineStr">
        <is>
          <t>ORD-00979</t>
        </is>
      </c>
      <c r="B980" s="2" t="inlineStr">
        <is>
          <t>Customer 08</t>
        </is>
      </c>
      <c r="C980" s="2" t="inlineStr">
        <is>
          <t>Switchgear</t>
        </is>
      </c>
      <c r="D980" s="2" t="inlineStr">
        <is>
          <t>Plant A</t>
        </is>
      </c>
      <c r="E980" s="2" t="inlineStr">
        <is>
          <t>North</t>
        </is>
      </c>
      <c r="F980" s="12" t="n">
        <v>46060</v>
      </c>
      <c r="G980" s="12" t="n">
        <v>46085</v>
      </c>
      <c r="H980" s="12" t="n">
        <v>46081</v>
      </c>
      <c r="I980" s="12" t="n">
        <v>46080</v>
      </c>
      <c r="J980" s="12" t="n">
        <v>46084</v>
      </c>
      <c r="K980" s="2" t="n">
        <v>678</v>
      </c>
      <c r="L980" s="2" t="inlineStr">
        <is>
          <t>Air</t>
        </is>
      </c>
      <c r="M980" s="2" t="inlineStr">
        <is>
          <t>No Delay</t>
        </is>
      </c>
      <c r="N980" s="4">
        <f>IF(I980&lt;=H980,1,0)</f>
        <v/>
      </c>
      <c r="O980" s="4">
        <f>IF(J980&lt;=G980,1,0)</f>
        <v/>
      </c>
      <c r="P980" s="4">
        <f>MAX(0,I980-H980)</f>
        <v/>
      </c>
      <c r="Q980" s="4">
        <f>MAX(0,J980-G980)</f>
        <v/>
      </c>
      <c r="R980" s="4">
        <f>IF(AND(N980=1,O980=1),"On Track",IF(O980=0,"Customer Delivery Late","Ship Late"))</f>
        <v/>
      </c>
    </row>
    <row r="981">
      <c r="A981" s="2" t="inlineStr">
        <is>
          <t>ORD-00980</t>
        </is>
      </c>
      <c r="B981" s="2" t="inlineStr">
        <is>
          <t>Customer 11</t>
        </is>
      </c>
      <c r="C981" s="2" t="inlineStr">
        <is>
          <t>Sensor</t>
        </is>
      </c>
      <c r="D981" s="2" t="inlineStr">
        <is>
          <t>Plant B</t>
        </is>
      </c>
      <c r="E981" s="2" t="inlineStr">
        <is>
          <t>Export</t>
        </is>
      </c>
      <c r="F981" s="12" t="n">
        <v>46032</v>
      </c>
      <c r="G981" s="12" t="n">
        <v>46041</v>
      </c>
      <c r="H981" s="12" t="n">
        <v>46036</v>
      </c>
      <c r="I981" s="12" t="n">
        <v>46038</v>
      </c>
      <c r="J981" s="12" t="n">
        <v>46044</v>
      </c>
      <c r="K981" s="2" t="n">
        <v>55</v>
      </c>
      <c r="L981" s="2" t="inlineStr">
        <is>
          <t>Road</t>
        </is>
      </c>
      <c r="M981" s="2" t="inlineStr">
        <is>
          <t>Material Shortage</t>
        </is>
      </c>
      <c r="N981" s="4">
        <f>IF(I981&lt;=H981,1,0)</f>
        <v/>
      </c>
      <c r="O981" s="4">
        <f>IF(J981&lt;=G981,1,0)</f>
        <v/>
      </c>
      <c r="P981" s="4">
        <f>MAX(0,I981-H981)</f>
        <v/>
      </c>
      <c r="Q981" s="4">
        <f>MAX(0,J981-G981)</f>
        <v/>
      </c>
      <c r="R981" s="4">
        <f>IF(AND(N981=1,O981=1),"On Track",IF(O981=0,"Customer Delivery Late","Ship Late"))</f>
        <v/>
      </c>
    </row>
    <row r="982">
      <c r="A982" s="2" t="inlineStr">
        <is>
          <t>ORD-00981</t>
        </is>
      </c>
      <c r="B982" s="2" t="inlineStr">
        <is>
          <t>Customer 10</t>
        </is>
      </c>
      <c r="C982" s="2" t="inlineStr">
        <is>
          <t>PLC</t>
        </is>
      </c>
      <c r="D982" s="2" t="inlineStr">
        <is>
          <t>Plant C</t>
        </is>
      </c>
      <c r="E982" s="2" t="inlineStr">
        <is>
          <t>North</t>
        </is>
      </c>
      <c r="F982" s="12" t="n">
        <v>46088</v>
      </c>
      <c r="G982" s="12" t="n">
        <v>46113</v>
      </c>
      <c r="H982" s="12" t="n">
        <v>46112</v>
      </c>
      <c r="I982" s="12" t="n">
        <v>46111</v>
      </c>
      <c r="J982" s="12" t="n">
        <v>46112</v>
      </c>
      <c r="K982" s="2" t="n">
        <v>776</v>
      </c>
      <c r="L982" s="2" t="inlineStr">
        <is>
          <t>Sea</t>
        </is>
      </c>
      <c r="M982" s="2" t="inlineStr">
        <is>
          <t>No Delay</t>
        </is>
      </c>
      <c r="N982" s="4">
        <f>IF(I982&lt;=H982,1,0)</f>
        <v/>
      </c>
      <c r="O982" s="4">
        <f>IF(J982&lt;=G982,1,0)</f>
        <v/>
      </c>
      <c r="P982" s="4">
        <f>MAX(0,I982-H982)</f>
        <v/>
      </c>
      <c r="Q982" s="4">
        <f>MAX(0,J982-G982)</f>
        <v/>
      </c>
      <c r="R982" s="4">
        <f>IF(AND(N982=1,O982=1),"On Track",IF(O982=0,"Customer Delivery Late","Ship Late"))</f>
        <v/>
      </c>
    </row>
    <row r="983">
      <c r="A983" s="2" t="inlineStr">
        <is>
          <t>ORD-00982</t>
        </is>
      </c>
      <c r="B983" s="2" t="inlineStr">
        <is>
          <t>Customer 02</t>
        </is>
      </c>
      <c r="C983" s="2" t="inlineStr">
        <is>
          <t>Power Supply</t>
        </is>
      </c>
      <c r="D983" s="2" t="inlineStr">
        <is>
          <t>Plant A</t>
        </is>
      </c>
      <c r="E983" s="2" t="inlineStr">
        <is>
          <t>South</t>
        </is>
      </c>
      <c r="F983" s="12" t="n">
        <v>46144</v>
      </c>
      <c r="G983" s="12" t="n">
        <v>46155</v>
      </c>
      <c r="H983" s="12" t="n">
        <v>46151</v>
      </c>
      <c r="I983" s="12" t="n">
        <v>46151</v>
      </c>
      <c r="J983" s="12" t="n">
        <v>46155</v>
      </c>
      <c r="K983" s="2" t="n">
        <v>568</v>
      </c>
      <c r="L983" s="2" t="inlineStr">
        <is>
          <t>Road</t>
        </is>
      </c>
      <c r="M983" s="2" t="inlineStr">
        <is>
          <t>No Delay</t>
        </is>
      </c>
      <c r="N983" s="4">
        <f>IF(I983&lt;=H983,1,0)</f>
        <v/>
      </c>
      <c r="O983" s="4">
        <f>IF(J983&lt;=G983,1,0)</f>
        <v/>
      </c>
      <c r="P983" s="4">
        <f>MAX(0,I983-H983)</f>
        <v/>
      </c>
      <c r="Q983" s="4">
        <f>MAX(0,J983-G983)</f>
        <v/>
      </c>
      <c r="R983" s="4">
        <f>IF(AND(N983=1,O983=1),"On Track",IF(O983=0,"Customer Delivery Late","Ship Late"))</f>
        <v/>
      </c>
    </row>
    <row r="984">
      <c r="A984" s="2" t="inlineStr">
        <is>
          <t>ORD-00983</t>
        </is>
      </c>
      <c r="B984" s="2" t="inlineStr">
        <is>
          <t>Customer 20</t>
        </is>
      </c>
      <c r="C984" s="2" t="inlineStr">
        <is>
          <t>Drive</t>
        </is>
      </c>
      <c r="D984" s="2" t="inlineStr">
        <is>
          <t>Plant A</t>
        </is>
      </c>
      <c r="E984" s="2" t="inlineStr">
        <is>
          <t>Central</t>
        </is>
      </c>
      <c r="F984" s="12" t="n">
        <v>46127</v>
      </c>
      <c r="G984" s="12" t="n">
        <v>46138</v>
      </c>
      <c r="H984" s="12" t="n">
        <v>46137</v>
      </c>
      <c r="I984" s="12" t="n">
        <v>46137</v>
      </c>
      <c r="J984" s="12" t="n">
        <v>46138</v>
      </c>
      <c r="K984" s="2" t="n">
        <v>470</v>
      </c>
      <c r="L984" s="2" t="inlineStr">
        <is>
          <t>Road</t>
        </is>
      </c>
      <c r="M984" s="2" t="inlineStr">
        <is>
          <t>No Delay</t>
        </is>
      </c>
      <c r="N984" s="4">
        <f>IF(I984&lt;=H984,1,0)</f>
        <v/>
      </c>
      <c r="O984" s="4">
        <f>IF(J984&lt;=G984,1,0)</f>
        <v/>
      </c>
      <c r="P984" s="4">
        <f>MAX(0,I984-H984)</f>
        <v/>
      </c>
      <c r="Q984" s="4">
        <f>MAX(0,J984-G984)</f>
        <v/>
      </c>
      <c r="R984" s="4">
        <f>IF(AND(N984=1,O984=1),"On Track",IF(O984=0,"Customer Delivery Late","Ship Late"))</f>
        <v/>
      </c>
    </row>
    <row r="985">
      <c r="A985" s="2" t="inlineStr">
        <is>
          <t>ORD-00984</t>
        </is>
      </c>
      <c r="B985" s="2" t="inlineStr">
        <is>
          <t>Customer 11</t>
        </is>
      </c>
      <c r="C985" s="2" t="inlineStr">
        <is>
          <t>Power Supply</t>
        </is>
      </c>
      <c r="D985" s="2" t="inlineStr">
        <is>
          <t>Plant B</t>
        </is>
      </c>
      <c r="E985" s="2" t="inlineStr">
        <is>
          <t>North</t>
        </is>
      </c>
      <c r="F985" s="12" t="n">
        <v>46106</v>
      </c>
      <c r="G985" s="12" t="n">
        <v>46118</v>
      </c>
      <c r="H985" s="12" t="n">
        <v>46117</v>
      </c>
      <c r="I985" s="12" t="n">
        <v>46117</v>
      </c>
      <c r="J985" s="12" t="n">
        <v>46119</v>
      </c>
      <c r="K985" s="2" t="n">
        <v>712</v>
      </c>
      <c r="L985" s="2" t="inlineStr">
        <is>
          <t>Air</t>
        </is>
      </c>
      <c r="M985" s="2" t="inlineStr">
        <is>
          <t>Capacity Constraint</t>
        </is>
      </c>
      <c r="N985" s="4">
        <f>IF(I985&lt;=H985,1,0)</f>
        <v/>
      </c>
      <c r="O985" s="4">
        <f>IF(J985&lt;=G985,1,0)</f>
        <v/>
      </c>
      <c r="P985" s="4">
        <f>MAX(0,I985-H985)</f>
        <v/>
      </c>
      <c r="Q985" s="4">
        <f>MAX(0,J985-G985)</f>
        <v/>
      </c>
      <c r="R985" s="4">
        <f>IF(AND(N985=1,O985=1),"On Track",IF(O985=0,"Customer Delivery Late","Ship Late"))</f>
        <v/>
      </c>
    </row>
    <row r="986">
      <c r="A986" s="2" t="inlineStr">
        <is>
          <t>ORD-00985</t>
        </is>
      </c>
      <c r="B986" s="2" t="inlineStr">
        <is>
          <t>Customer 06</t>
        </is>
      </c>
      <c r="C986" s="2" t="inlineStr">
        <is>
          <t>Power Supply</t>
        </is>
      </c>
      <c r="D986" s="2" t="inlineStr">
        <is>
          <t>Plant B</t>
        </is>
      </c>
      <c r="E986" s="2" t="inlineStr">
        <is>
          <t>Export</t>
        </is>
      </c>
      <c r="F986" s="12" t="n">
        <v>46104</v>
      </c>
      <c r="G986" s="12" t="n">
        <v>46120</v>
      </c>
      <c r="H986" s="12" t="n">
        <v>46116</v>
      </c>
      <c r="I986" s="12" t="n">
        <v>46116</v>
      </c>
      <c r="J986" s="12" t="n">
        <v>46120</v>
      </c>
      <c r="K986" s="2" t="n">
        <v>76</v>
      </c>
      <c r="L986" s="2" t="inlineStr">
        <is>
          <t>Sea</t>
        </is>
      </c>
      <c r="M986" s="2" t="inlineStr">
        <is>
          <t>No Delay</t>
        </is>
      </c>
      <c r="N986" s="4">
        <f>IF(I986&lt;=H986,1,0)</f>
        <v/>
      </c>
      <c r="O986" s="4">
        <f>IF(J986&lt;=G986,1,0)</f>
        <v/>
      </c>
      <c r="P986" s="4">
        <f>MAX(0,I986-H986)</f>
        <v/>
      </c>
      <c r="Q986" s="4">
        <f>MAX(0,J986-G986)</f>
        <v/>
      </c>
      <c r="R986" s="4">
        <f>IF(AND(N986=1,O986=1),"On Track",IF(O986=0,"Customer Delivery Late","Ship Late"))</f>
        <v/>
      </c>
    </row>
    <row r="987">
      <c r="A987" s="2" t="inlineStr">
        <is>
          <t>ORD-00986</t>
        </is>
      </c>
      <c r="B987" s="2" t="inlineStr">
        <is>
          <t>Customer 17</t>
        </is>
      </c>
      <c r="C987" s="2" t="inlineStr">
        <is>
          <t>Drive</t>
        </is>
      </c>
      <c r="D987" s="2" t="inlineStr">
        <is>
          <t>Plant B</t>
        </is>
      </c>
      <c r="E987" s="2" t="inlineStr">
        <is>
          <t>South</t>
        </is>
      </c>
      <c r="F987" s="12" t="n">
        <v>46169</v>
      </c>
      <c r="G987" s="12" t="n">
        <v>46176</v>
      </c>
      <c r="H987" s="12" t="n">
        <v>46172</v>
      </c>
      <c r="I987" s="12" t="n">
        <v>46171</v>
      </c>
      <c r="J987" s="12" t="n">
        <v>46175</v>
      </c>
      <c r="K987" s="2" t="n">
        <v>655</v>
      </c>
      <c r="L987" s="2" t="inlineStr">
        <is>
          <t>Air</t>
        </is>
      </c>
      <c r="M987" s="2" t="inlineStr">
        <is>
          <t>No Delay</t>
        </is>
      </c>
      <c r="N987" s="4">
        <f>IF(I987&lt;=H987,1,0)</f>
        <v/>
      </c>
      <c r="O987" s="4">
        <f>IF(J987&lt;=G987,1,0)</f>
        <v/>
      </c>
      <c r="P987" s="4">
        <f>MAX(0,I987-H987)</f>
        <v/>
      </c>
      <c r="Q987" s="4">
        <f>MAX(0,J987-G987)</f>
        <v/>
      </c>
      <c r="R987" s="4">
        <f>IF(AND(N987=1,O987=1),"On Track",IF(O987=0,"Customer Delivery Late","Ship Late"))</f>
        <v/>
      </c>
    </row>
    <row r="988">
      <c r="A988" s="2" t="inlineStr">
        <is>
          <t>ORD-00987</t>
        </is>
      </c>
      <c r="B988" s="2" t="inlineStr">
        <is>
          <t>Customer 14</t>
        </is>
      </c>
      <c r="C988" s="2" t="inlineStr">
        <is>
          <t>Breaker</t>
        </is>
      </c>
      <c r="D988" s="2" t="inlineStr">
        <is>
          <t>Plant B</t>
        </is>
      </c>
      <c r="E988" s="2" t="inlineStr">
        <is>
          <t>Export</t>
        </is>
      </c>
      <c r="F988" s="12" t="n">
        <v>46195</v>
      </c>
      <c r="G988" s="12" t="n">
        <v>46214</v>
      </c>
      <c r="H988" s="12" t="n">
        <v>46213</v>
      </c>
      <c r="I988" s="12" t="n">
        <v>46213</v>
      </c>
      <c r="J988" s="12" t="n">
        <v>46215</v>
      </c>
      <c r="K988" s="2" t="n">
        <v>490</v>
      </c>
      <c r="L988" s="2" t="inlineStr">
        <is>
          <t>Air</t>
        </is>
      </c>
      <c r="M988" s="2" t="inlineStr">
        <is>
          <t>Documentation Issue</t>
        </is>
      </c>
      <c r="N988" s="4">
        <f>IF(I988&lt;=H988,1,0)</f>
        <v/>
      </c>
      <c r="O988" s="4">
        <f>IF(J988&lt;=G988,1,0)</f>
        <v/>
      </c>
      <c r="P988" s="4">
        <f>MAX(0,I988-H988)</f>
        <v/>
      </c>
      <c r="Q988" s="4">
        <f>MAX(0,J988-G988)</f>
        <v/>
      </c>
      <c r="R988" s="4">
        <f>IF(AND(N988=1,O988=1),"On Track",IF(O988=0,"Customer Delivery Late","Ship Late"))</f>
        <v/>
      </c>
    </row>
    <row r="989">
      <c r="A989" s="2" t="inlineStr">
        <is>
          <t>ORD-00988</t>
        </is>
      </c>
      <c r="B989" s="2" t="inlineStr">
        <is>
          <t>Customer 04</t>
        </is>
      </c>
      <c r="C989" s="2" t="inlineStr">
        <is>
          <t>Sensor</t>
        </is>
      </c>
      <c r="D989" s="2" t="inlineStr">
        <is>
          <t>Plant A</t>
        </is>
      </c>
      <c r="E989" s="2" t="inlineStr">
        <is>
          <t>Central</t>
        </is>
      </c>
      <c r="F989" s="12" t="n">
        <v>46160</v>
      </c>
      <c r="G989" s="12" t="n">
        <v>46169</v>
      </c>
      <c r="H989" s="12" t="n">
        <v>46165</v>
      </c>
      <c r="I989" s="12" t="n">
        <v>46163</v>
      </c>
      <c r="J989" s="12" t="n">
        <v>46167</v>
      </c>
      <c r="K989" s="2" t="n">
        <v>831</v>
      </c>
      <c r="L989" s="2" t="inlineStr">
        <is>
          <t>Sea</t>
        </is>
      </c>
      <c r="M989" s="2" t="inlineStr">
        <is>
          <t>No Delay</t>
        </is>
      </c>
      <c r="N989" s="4">
        <f>IF(I989&lt;=H989,1,0)</f>
        <v/>
      </c>
      <c r="O989" s="4">
        <f>IF(J989&lt;=G989,1,0)</f>
        <v/>
      </c>
      <c r="P989" s="4">
        <f>MAX(0,I989-H989)</f>
        <v/>
      </c>
      <c r="Q989" s="4">
        <f>MAX(0,J989-G989)</f>
        <v/>
      </c>
      <c r="R989" s="4">
        <f>IF(AND(N989=1,O989=1),"On Track",IF(O989=0,"Customer Delivery Late","Ship Late"))</f>
        <v/>
      </c>
    </row>
    <row r="990">
      <c r="A990" s="2" t="inlineStr">
        <is>
          <t>ORD-00989</t>
        </is>
      </c>
      <c r="B990" s="2" t="inlineStr">
        <is>
          <t>Customer 21</t>
        </is>
      </c>
      <c r="C990" s="2" t="inlineStr">
        <is>
          <t>Contactor</t>
        </is>
      </c>
      <c r="D990" s="2" t="inlineStr">
        <is>
          <t>Plant C</t>
        </is>
      </c>
      <c r="E990" s="2" t="inlineStr">
        <is>
          <t>South</t>
        </is>
      </c>
      <c r="F990" s="12" t="n">
        <v>46127</v>
      </c>
      <c r="G990" s="12" t="n">
        <v>46143</v>
      </c>
      <c r="H990" s="12" t="n">
        <v>46141</v>
      </c>
      <c r="I990" s="12" t="n">
        <v>46141</v>
      </c>
      <c r="J990" s="12" t="n">
        <v>46143</v>
      </c>
      <c r="K990" s="2" t="n">
        <v>1038</v>
      </c>
      <c r="L990" s="2" t="inlineStr">
        <is>
          <t>Sea</t>
        </is>
      </c>
      <c r="M990" s="2" t="inlineStr">
        <is>
          <t>No Delay</t>
        </is>
      </c>
      <c r="N990" s="4">
        <f>IF(I990&lt;=H990,1,0)</f>
        <v/>
      </c>
      <c r="O990" s="4">
        <f>IF(J990&lt;=G990,1,0)</f>
        <v/>
      </c>
      <c r="P990" s="4">
        <f>MAX(0,I990-H990)</f>
        <v/>
      </c>
      <c r="Q990" s="4">
        <f>MAX(0,J990-G990)</f>
        <v/>
      </c>
      <c r="R990" s="4">
        <f>IF(AND(N990=1,O990=1),"On Track",IF(O990=0,"Customer Delivery Late","Ship Late"))</f>
        <v/>
      </c>
    </row>
    <row r="991">
      <c r="A991" s="2" t="inlineStr">
        <is>
          <t>ORD-00990</t>
        </is>
      </c>
      <c r="B991" s="2" t="inlineStr">
        <is>
          <t>Customer 15</t>
        </is>
      </c>
      <c r="C991" s="2" t="inlineStr">
        <is>
          <t>Relay</t>
        </is>
      </c>
      <c r="D991" s="2" t="inlineStr">
        <is>
          <t>Plant A</t>
        </is>
      </c>
      <c r="E991" s="2" t="inlineStr">
        <is>
          <t>Export</t>
        </is>
      </c>
      <c r="F991" s="12" t="n">
        <v>46159</v>
      </c>
      <c r="G991" s="12" t="n">
        <v>46176</v>
      </c>
      <c r="H991" s="12" t="n">
        <v>46174</v>
      </c>
      <c r="I991" s="12" t="n">
        <v>46173</v>
      </c>
      <c r="J991" s="12" t="n">
        <v>46175</v>
      </c>
      <c r="K991" s="2" t="n">
        <v>600</v>
      </c>
      <c r="L991" s="2" t="inlineStr">
        <is>
          <t>Road</t>
        </is>
      </c>
      <c r="M991" s="2" t="inlineStr">
        <is>
          <t>No Delay</t>
        </is>
      </c>
      <c r="N991" s="4">
        <f>IF(I991&lt;=H991,1,0)</f>
        <v/>
      </c>
      <c r="O991" s="4">
        <f>IF(J991&lt;=G991,1,0)</f>
        <v/>
      </c>
      <c r="P991" s="4">
        <f>MAX(0,I991-H991)</f>
        <v/>
      </c>
      <c r="Q991" s="4">
        <f>MAX(0,J991-G991)</f>
        <v/>
      </c>
      <c r="R991" s="4">
        <f>IF(AND(N991=1,O991=1),"On Track",IF(O991=0,"Customer Delivery Late","Ship Late"))</f>
        <v/>
      </c>
    </row>
    <row r="992">
      <c r="A992" s="2" t="inlineStr">
        <is>
          <t>ORD-00991</t>
        </is>
      </c>
      <c r="B992" s="2" t="inlineStr">
        <is>
          <t>Customer 14</t>
        </is>
      </c>
      <c r="C992" s="2" t="inlineStr">
        <is>
          <t>Power Supply</t>
        </is>
      </c>
      <c r="D992" s="2" t="inlineStr">
        <is>
          <t>Plant B</t>
        </is>
      </c>
      <c r="E992" s="2" t="inlineStr">
        <is>
          <t>Central</t>
        </is>
      </c>
      <c r="F992" s="12" t="n">
        <v>46159</v>
      </c>
      <c r="G992" s="12" t="n">
        <v>46174</v>
      </c>
      <c r="H992" s="12" t="n">
        <v>46170</v>
      </c>
      <c r="I992" s="12" t="n">
        <v>46170</v>
      </c>
      <c r="J992" s="12" t="n">
        <v>46174</v>
      </c>
      <c r="K992" s="2" t="n">
        <v>1313</v>
      </c>
      <c r="L992" s="2" t="inlineStr">
        <is>
          <t>Road</t>
        </is>
      </c>
      <c r="M992" s="2" t="inlineStr">
        <is>
          <t>No Delay</t>
        </is>
      </c>
      <c r="N992" s="4">
        <f>IF(I992&lt;=H992,1,0)</f>
        <v/>
      </c>
      <c r="O992" s="4">
        <f>IF(J992&lt;=G992,1,0)</f>
        <v/>
      </c>
      <c r="P992" s="4">
        <f>MAX(0,I992-H992)</f>
        <v/>
      </c>
      <c r="Q992" s="4">
        <f>MAX(0,J992-G992)</f>
        <v/>
      </c>
      <c r="R992" s="4">
        <f>IF(AND(N992=1,O992=1),"On Track",IF(O992=0,"Customer Delivery Late","Ship Late"))</f>
        <v/>
      </c>
    </row>
    <row r="993">
      <c r="A993" s="2" t="inlineStr">
        <is>
          <t>ORD-00992</t>
        </is>
      </c>
      <c r="B993" s="2" t="inlineStr">
        <is>
          <t>Customer 01</t>
        </is>
      </c>
      <c r="C993" s="2" t="inlineStr">
        <is>
          <t>Drive</t>
        </is>
      </c>
      <c r="D993" s="2" t="inlineStr">
        <is>
          <t>Plant C</t>
        </is>
      </c>
      <c r="E993" s="2" t="inlineStr">
        <is>
          <t>Central</t>
        </is>
      </c>
      <c r="F993" s="12" t="n">
        <v>46181</v>
      </c>
      <c r="G993" s="12" t="n">
        <v>46193</v>
      </c>
      <c r="H993" s="12" t="n">
        <v>46191</v>
      </c>
      <c r="I993" s="12" t="n">
        <v>46191</v>
      </c>
      <c r="J993" s="12" t="n">
        <v>46194</v>
      </c>
      <c r="K993" s="2" t="n">
        <v>350</v>
      </c>
      <c r="L993" s="2" t="inlineStr">
        <is>
          <t>Sea</t>
        </is>
      </c>
      <c r="M993" s="2" t="inlineStr">
        <is>
          <t>Documentation Issue</t>
        </is>
      </c>
      <c r="N993" s="4">
        <f>IF(I993&lt;=H993,1,0)</f>
        <v/>
      </c>
      <c r="O993" s="4">
        <f>IF(J993&lt;=G993,1,0)</f>
        <v/>
      </c>
      <c r="P993" s="4">
        <f>MAX(0,I993-H993)</f>
        <v/>
      </c>
      <c r="Q993" s="4">
        <f>MAX(0,J993-G993)</f>
        <v/>
      </c>
      <c r="R993" s="4">
        <f>IF(AND(N993=1,O993=1),"On Track",IF(O993=0,"Customer Delivery Late","Ship Late"))</f>
        <v/>
      </c>
    </row>
    <row r="994">
      <c r="A994" s="2" t="inlineStr">
        <is>
          <t>ORD-00993</t>
        </is>
      </c>
      <c r="B994" s="2" t="inlineStr">
        <is>
          <t>Customer 07</t>
        </is>
      </c>
      <c r="C994" s="2" t="inlineStr">
        <is>
          <t>Relay</t>
        </is>
      </c>
      <c r="D994" s="2" t="inlineStr">
        <is>
          <t>Plant B</t>
        </is>
      </c>
      <c r="E994" s="2" t="inlineStr">
        <is>
          <t>South</t>
        </is>
      </c>
      <c r="F994" s="12" t="n">
        <v>46183</v>
      </c>
      <c r="G994" s="12" t="n">
        <v>46203</v>
      </c>
      <c r="H994" s="12" t="n">
        <v>46202</v>
      </c>
      <c r="I994" s="12" t="n">
        <v>46200</v>
      </c>
      <c r="J994" s="12" t="n">
        <v>46202</v>
      </c>
      <c r="K994" s="2" t="n">
        <v>1490</v>
      </c>
      <c r="L994" s="2" t="inlineStr">
        <is>
          <t>Road</t>
        </is>
      </c>
      <c r="M994" s="2" t="inlineStr">
        <is>
          <t>No Delay</t>
        </is>
      </c>
      <c r="N994" s="4">
        <f>IF(I994&lt;=H994,1,0)</f>
        <v/>
      </c>
      <c r="O994" s="4">
        <f>IF(J994&lt;=G994,1,0)</f>
        <v/>
      </c>
      <c r="P994" s="4">
        <f>MAX(0,I994-H994)</f>
        <v/>
      </c>
      <c r="Q994" s="4">
        <f>MAX(0,J994-G994)</f>
        <v/>
      </c>
      <c r="R994" s="4">
        <f>IF(AND(N994=1,O994=1),"On Track",IF(O994=0,"Customer Delivery Late","Ship Late"))</f>
        <v/>
      </c>
    </row>
    <row r="995">
      <c r="A995" s="2" t="inlineStr">
        <is>
          <t>ORD-00994</t>
        </is>
      </c>
      <c r="B995" s="2" t="inlineStr">
        <is>
          <t>Customer 15</t>
        </is>
      </c>
      <c r="C995" s="2" t="inlineStr">
        <is>
          <t>Switchgear</t>
        </is>
      </c>
      <c r="D995" s="2" t="inlineStr">
        <is>
          <t>Plant A</t>
        </is>
      </c>
      <c r="E995" s="2" t="inlineStr">
        <is>
          <t>Export</t>
        </is>
      </c>
      <c r="F995" s="12" t="n">
        <v>46067</v>
      </c>
      <c r="G995" s="12" t="n">
        <v>46087</v>
      </c>
      <c r="H995" s="12" t="n">
        <v>46085</v>
      </c>
      <c r="I995" s="12" t="n">
        <v>46084</v>
      </c>
      <c r="J995" s="12" t="n">
        <v>46085</v>
      </c>
      <c r="K995" s="2" t="n">
        <v>505</v>
      </c>
      <c r="L995" s="2" t="inlineStr">
        <is>
          <t>Road</t>
        </is>
      </c>
      <c r="M995" s="2" t="inlineStr">
        <is>
          <t>No Delay</t>
        </is>
      </c>
      <c r="N995" s="4">
        <f>IF(I995&lt;=H995,1,0)</f>
        <v/>
      </c>
      <c r="O995" s="4">
        <f>IF(J995&lt;=G995,1,0)</f>
        <v/>
      </c>
      <c r="P995" s="4">
        <f>MAX(0,I995-H995)</f>
        <v/>
      </c>
      <c r="Q995" s="4">
        <f>MAX(0,J995-G995)</f>
        <v/>
      </c>
      <c r="R995" s="4">
        <f>IF(AND(N995=1,O995=1),"On Track",IF(O995=0,"Customer Delivery Late","Ship Late"))</f>
        <v/>
      </c>
    </row>
    <row r="996">
      <c r="A996" s="2" t="inlineStr">
        <is>
          <t>ORD-00995</t>
        </is>
      </c>
      <c r="B996" s="2" t="inlineStr">
        <is>
          <t>Customer 03</t>
        </is>
      </c>
      <c r="C996" s="2" t="inlineStr">
        <is>
          <t>Breaker</t>
        </is>
      </c>
      <c r="D996" s="2" t="inlineStr">
        <is>
          <t>Plant C</t>
        </is>
      </c>
      <c r="E996" s="2" t="inlineStr">
        <is>
          <t>North</t>
        </is>
      </c>
      <c r="F996" s="12" t="n">
        <v>46141</v>
      </c>
      <c r="G996" s="12" t="n">
        <v>46162</v>
      </c>
      <c r="H996" s="12" t="n">
        <v>46161</v>
      </c>
      <c r="I996" s="12" t="n">
        <v>46160</v>
      </c>
      <c r="J996" s="12" t="n">
        <v>46161</v>
      </c>
      <c r="K996" s="2" t="n">
        <v>1406</v>
      </c>
      <c r="L996" s="2" t="inlineStr">
        <is>
          <t>Sea</t>
        </is>
      </c>
      <c r="M996" s="2" t="inlineStr">
        <is>
          <t>No Delay</t>
        </is>
      </c>
      <c r="N996" s="4">
        <f>IF(I996&lt;=H996,1,0)</f>
        <v/>
      </c>
      <c r="O996" s="4">
        <f>IF(J996&lt;=G996,1,0)</f>
        <v/>
      </c>
      <c r="P996" s="4">
        <f>MAX(0,I996-H996)</f>
        <v/>
      </c>
      <c r="Q996" s="4">
        <f>MAX(0,J996-G996)</f>
        <v/>
      </c>
      <c r="R996" s="4">
        <f>IF(AND(N996=1,O996=1),"On Track",IF(O996=0,"Customer Delivery Late","Ship Late"))</f>
        <v/>
      </c>
    </row>
    <row r="997">
      <c r="A997" s="2" t="inlineStr">
        <is>
          <t>ORD-00996</t>
        </is>
      </c>
      <c r="B997" s="2" t="inlineStr">
        <is>
          <t>Customer 18</t>
        </is>
      </c>
      <c r="C997" s="2" t="inlineStr">
        <is>
          <t>Contactor</t>
        </is>
      </c>
      <c r="D997" s="2" t="inlineStr">
        <is>
          <t>Plant C</t>
        </is>
      </c>
      <c r="E997" s="2" t="inlineStr">
        <is>
          <t>North</t>
        </is>
      </c>
      <c r="F997" s="12" t="n">
        <v>46127</v>
      </c>
      <c r="G997" s="12" t="n">
        <v>46148</v>
      </c>
      <c r="H997" s="12" t="n">
        <v>46144</v>
      </c>
      <c r="I997" s="12" t="n">
        <v>46142</v>
      </c>
      <c r="J997" s="12" t="n">
        <v>46146</v>
      </c>
      <c r="K997" s="2" t="n">
        <v>908</v>
      </c>
      <c r="L997" s="2" t="inlineStr">
        <is>
          <t>Air</t>
        </is>
      </c>
      <c r="M997" s="2" t="inlineStr">
        <is>
          <t>No Delay</t>
        </is>
      </c>
      <c r="N997" s="4">
        <f>IF(I997&lt;=H997,1,0)</f>
        <v/>
      </c>
      <c r="O997" s="4">
        <f>IF(J997&lt;=G997,1,0)</f>
        <v/>
      </c>
      <c r="P997" s="4">
        <f>MAX(0,I997-H997)</f>
        <v/>
      </c>
      <c r="Q997" s="4">
        <f>MAX(0,J997-G997)</f>
        <v/>
      </c>
      <c r="R997" s="4">
        <f>IF(AND(N997=1,O997=1),"On Track",IF(O997=0,"Customer Delivery Late","Ship Late"))</f>
        <v/>
      </c>
    </row>
    <row r="998">
      <c r="A998" s="2" t="inlineStr">
        <is>
          <t>ORD-00997</t>
        </is>
      </c>
      <c r="B998" s="2" t="inlineStr">
        <is>
          <t>Customer 30</t>
        </is>
      </c>
      <c r="C998" s="2" t="inlineStr">
        <is>
          <t>Switchgear</t>
        </is>
      </c>
      <c r="D998" s="2" t="inlineStr">
        <is>
          <t>Plant B</t>
        </is>
      </c>
      <c r="E998" s="2" t="inlineStr">
        <is>
          <t>North</t>
        </is>
      </c>
      <c r="F998" s="12" t="n">
        <v>46038</v>
      </c>
      <c r="G998" s="12" t="n">
        <v>46052</v>
      </c>
      <c r="H998" s="12" t="n">
        <v>46048</v>
      </c>
      <c r="I998" s="12" t="n">
        <v>46048</v>
      </c>
      <c r="J998" s="12" t="n">
        <v>46052</v>
      </c>
      <c r="K998" s="2" t="n">
        <v>222</v>
      </c>
      <c r="L998" s="2" t="inlineStr">
        <is>
          <t>Road</t>
        </is>
      </c>
      <c r="M998" s="2" t="inlineStr">
        <is>
          <t>No Delay</t>
        </is>
      </c>
      <c r="N998" s="4">
        <f>IF(I998&lt;=H998,1,0)</f>
        <v/>
      </c>
      <c r="O998" s="4">
        <f>IF(J998&lt;=G998,1,0)</f>
        <v/>
      </c>
      <c r="P998" s="4">
        <f>MAX(0,I998-H998)</f>
        <v/>
      </c>
      <c r="Q998" s="4">
        <f>MAX(0,J998-G998)</f>
        <v/>
      </c>
      <c r="R998" s="4">
        <f>IF(AND(N998=1,O998=1),"On Track",IF(O998=0,"Customer Delivery Late","Ship Late"))</f>
        <v/>
      </c>
    </row>
    <row r="999">
      <c r="A999" s="2" t="inlineStr">
        <is>
          <t>ORD-00998</t>
        </is>
      </c>
      <c r="B999" s="2" t="inlineStr">
        <is>
          <t>Customer 08</t>
        </is>
      </c>
      <c r="C999" s="2" t="inlineStr">
        <is>
          <t>Switchgear</t>
        </is>
      </c>
      <c r="D999" s="2" t="inlineStr">
        <is>
          <t>Plant A</t>
        </is>
      </c>
      <c r="E999" s="2" t="inlineStr">
        <is>
          <t>South</t>
        </is>
      </c>
      <c r="F999" s="12" t="n">
        <v>46090</v>
      </c>
      <c r="G999" s="12" t="n">
        <v>46113</v>
      </c>
      <c r="H999" s="12" t="n">
        <v>46112</v>
      </c>
      <c r="I999" s="12" t="n">
        <v>46111</v>
      </c>
      <c r="J999" s="12" t="n">
        <v>46112</v>
      </c>
      <c r="K999" s="2" t="n">
        <v>208</v>
      </c>
      <c r="L999" s="2" t="inlineStr">
        <is>
          <t>Air</t>
        </is>
      </c>
      <c r="M999" s="2" t="inlineStr">
        <is>
          <t>No Delay</t>
        </is>
      </c>
      <c r="N999" s="4">
        <f>IF(I999&lt;=H999,1,0)</f>
        <v/>
      </c>
      <c r="O999" s="4">
        <f>IF(J999&lt;=G999,1,0)</f>
        <v/>
      </c>
      <c r="P999" s="4">
        <f>MAX(0,I999-H999)</f>
        <v/>
      </c>
      <c r="Q999" s="4">
        <f>MAX(0,J999-G999)</f>
        <v/>
      </c>
      <c r="R999" s="4">
        <f>IF(AND(N999=1,O999=1),"On Track",IF(O999=0,"Customer Delivery Late","Ship Late"))</f>
        <v/>
      </c>
    </row>
    <row r="1000">
      <c r="A1000" s="2" t="inlineStr">
        <is>
          <t>ORD-00999</t>
        </is>
      </c>
      <c r="B1000" s="2" t="inlineStr">
        <is>
          <t>Customer 23</t>
        </is>
      </c>
      <c r="C1000" s="2" t="inlineStr">
        <is>
          <t>Switchgear</t>
        </is>
      </c>
      <c r="D1000" s="2" t="inlineStr">
        <is>
          <t>Plant B</t>
        </is>
      </c>
      <c r="E1000" s="2" t="inlineStr">
        <is>
          <t>Export</t>
        </is>
      </c>
      <c r="F1000" s="12" t="n">
        <v>46187</v>
      </c>
      <c r="G1000" s="12" t="n">
        <v>46194</v>
      </c>
      <c r="H1000" s="12" t="n">
        <v>46190</v>
      </c>
      <c r="I1000" s="12" t="n">
        <v>46189</v>
      </c>
      <c r="J1000" s="12" t="n">
        <v>46193</v>
      </c>
      <c r="K1000" s="2" t="n">
        <v>1442</v>
      </c>
      <c r="L1000" s="2" t="inlineStr">
        <is>
          <t>Air</t>
        </is>
      </c>
      <c r="M1000" s="2" t="inlineStr">
        <is>
          <t>No Delay</t>
        </is>
      </c>
      <c r="N1000" s="4">
        <f>IF(I1000&lt;=H1000,1,0)</f>
        <v/>
      </c>
      <c r="O1000" s="4">
        <f>IF(J1000&lt;=G1000,1,0)</f>
        <v/>
      </c>
      <c r="P1000" s="4">
        <f>MAX(0,I1000-H1000)</f>
        <v/>
      </c>
      <c r="Q1000" s="4">
        <f>MAX(0,J1000-G1000)</f>
        <v/>
      </c>
      <c r="R1000" s="4">
        <f>IF(AND(N1000=1,O1000=1),"On Track",IF(O1000=0,"Customer Delivery Late","Ship Late"))</f>
        <v/>
      </c>
    </row>
    <row r="1001">
      <c r="A1001" s="2" t="inlineStr">
        <is>
          <t>ORD-01000</t>
        </is>
      </c>
      <c r="B1001" s="2" t="inlineStr">
        <is>
          <t>Customer 08</t>
        </is>
      </c>
      <c r="C1001" s="2" t="inlineStr">
        <is>
          <t>Drive</t>
        </is>
      </c>
      <c r="D1001" s="2" t="inlineStr">
        <is>
          <t>Plant C</t>
        </is>
      </c>
      <c r="E1001" s="2" t="inlineStr">
        <is>
          <t>South</t>
        </is>
      </c>
      <c r="F1001" s="12" t="n">
        <v>46168</v>
      </c>
      <c r="G1001" s="12" t="n">
        <v>46181</v>
      </c>
      <c r="H1001" s="12" t="n">
        <v>46176</v>
      </c>
      <c r="I1001" s="12" t="n">
        <v>46174</v>
      </c>
      <c r="J1001" s="12" t="n">
        <v>46180</v>
      </c>
      <c r="K1001" s="2" t="n">
        <v>1471</v>
      </c>
      <c r="L1001" s="2" t="inlineStr">
        <is>
          <t>Air</t>
        </is>
      </c>
      <c r="M1001" s="2" t="inlineStr">
        <is>
          <t>No Delay</t>
        </is>
      </c>
      <c r="N1001" s="4">
        <f>IF(I1001&lt;=H1001,1,0)</f>
        <v/>
      </c>
      <c r="O1001" s="4">
        <f>IF(J1001&lt;=G1001,1,0)</f>
        <v/>
      </c>
      <c r="P1001" s="4">
        <f>MAX(0,I1001-H1001)</f>
        <v/>
      </c>
      <c r="Q1001" s="4">
        <f>MAX(0,J1001-G1001)</f>
        <v/>
      </c>
      <c r="R1001" s="4">
        <f>IF(AND(N1001=1,O1001=1),"On Track",IF(O1001=0,"Customer Delivery Late","Ship Late"))</f>
        <v/>
      </c>
    </row>
    <row r="1002">
      <c r="A1002" s="2" t="inlineStr">
        <is>
          <t>ORD-01001</t>
        </is>
      </c>
      <c r="B1002" s="2" t="inlineStr">
        <is>
          <t>Customer 26</t>
        </is>
      </c>
      <c r="C1002" s="2" t="inlineStr">
        <is>
          <t>Relay</t>
        </is>
      </c>
      <c r="D1002" s="2" t="inlineStr">
        <is>
          <t>Plant A</t>
        </is>
      </c>
      <c r="E1002" s="2" t="inlineStr">
        <is>
          <t>South</t>
        </is>
      </c>
      <c r="F1002" s="12" t="n">
        <v>46101</v>
      </c>
      <c r="G1002" s="12" t="n">
        <v>46111</v>
      </c>
      <c r="H1002" s="12" t="n">
        <v>46106</v>
      </c>
      <c r="I1002" s="12" t="n">
        <v>46105</v>
      </c>
      <c r="J1002" s="12" t="n">
        <v>46110</v>
      </c>
      <c r="K1002" s="2" t="n">
        <v>796</v>
      </c>
      <c r="L1002" s="2" t="inlineStr">
        <is>
          <t>Air</t>
        </is>
      </c>
      <c r="M1002" s="2" t="inlineStr">
        <is>
          <t>No Delay</t>
        </is>
      </c>
      <c r="N1002" s="4">
        <f>IF(I1002&lt;=H1002,1,0)</f>
        <v/>
      </c>
      <c r="O1002" s="4">
        <f>IF(J1002&lt;=G1002,1,0)</f>
        <v/>
      </c>
      <c r="P1002" s="4">
        <f>MAX(0,I1002-H1002)</f>
        <v/>
      </c>
      <c r="Q1002" s="4">
        <f>MAX(0,J1002-G1002)</f>
        <v/>
      </c>
      <c r="R1002" s="4">
        <f>IF(AND(N1002=1,O1002=1),"On Track",IF(O1002=0,"Customer Delivery Late","Ship Late"))</f>
        <v/>
      </c>
    </row>
    <row r="1003">
      <c r="A1003" s="2" t="inlineStr">
        <is>
          <t>ORD-01002</t>
        </is>
      </c>
      <c r="B1003" s="2" t="inlineStr">
        <is>
          <t>Customer 09</t>
        </is>
      </c>
      <c r="C1003" s="2" t="inlineStr">
        <is>
          <t>Drive</t>
        </is>
      </c>
      <c r="D1003" s="2" t="inlineStr">
        <is>
          <t>Plant C</t>
        </is>
      </c>
      <c r="E1003" s="2" t="inlineStr">
        <is>
          <t>Export</t>
        </is>
      </c>
      <c r="F1003" s="12" t="n">
        <v>46186</v>
      </c>
      <c r="G1003" s="12" t="n">
        <v>46198</v>
      </c>
      <c r="H1003" s="12" t="n">
        <v>46197</v>
      </c>
      <c r="I1003" s="12" t="n">
        <v>46197</v>
      </c>
      <c r="J1003" s="12" t="n">
        <v>46198</v>
      </c>
      <c r="K1003" s="2" t="n">
        <v>986</v>
      </c>
      <c r="L1003" s="2" t="inlineStr">
        <is>
          <t>Sea</t>
        </is>
      </c>
      <c r="M1003" s="2" t="inlineStr">
        <is>
          <t>No Delay</t>
        </is>
      </c>
      <c r="N1003" s="4">
        <f>IF(I1003&lt;=H1003,1,0)</f>
        <v/>
      </c>
      <c r="O1003" s="4">
        <f>IF(J1003&lt;=G1003,1,0)</f>
        <v/>
      </c>
      <c r="P1003" s="4">
        <f>MAX(0,I1003-H1003)</f>
        <v/>
      </c>
      <c r="Q1003" s="4">
        <f>MAX(0,J1003-G1003)</f>
        <v/>
      </c>
      <c r="R1003" s="4">
        <f>IF(AND(N1003=1,O1003=1),"On Track",IF(O1003=0,"Customer Delivery Late","Ship Late"))</f>
        <v/>
      </c>
    </row>
    <row r="1004">
      <c r="A1004" s="2" t="inlineStr">
        <is>
          <t>ORD-01003</t>
        </is>
      </c>
      <c r="B1004" s="2" t="inlineStr">
        <is>
          <t>Customer 21</t>
        </is>
      </c>
      <c r="C1004" s="2" t="inlineStr">
        <is>
          <t>Relay</t>
        </is>
      </c>
      <c r="D1004" s="2" t="inlineStr">
        <is>
          <t>Plant C</t>
        </is>
      </c>
      <c r="E1004" s="2" t="inlineStr">
        <is>
          <t>Export</t>
        </is>
      </c>
      <c r="F1004" s="12" t="n">
        <v>46066</v>
      </c>
      <c r="G1004" s="12" t="n">
        <v>46082</v>
      </c>
      <c r="H1004" s="12" t="n">
        <v>46080</v>
      </c>
      <c r="I1004" s="12" t="n">
        <v>46080</v>
      </c>
      <c r="J1004" s="12" t="n">
        <v>46083</v>
      </c>
      <c r="K1004" s="2" t="n">
        <v>369</v>
      </c>
      <c r="L1004" s="2" t="inlineStr">
        <is>
          <t>Air</t>
        </is>
      </c>
      <c r="M1004" s="2" t="inlineStr">
        <is>
          <t>Documentation Issue</t>
        </is>
      </c>
      <c r="N1004" s="4">
        <f>IF(I1004&lt;=H1004,1,0)</f>
        <v/>
      </c>
      <c r="O1004" s="4">
        <f>IF(J1004&lt;=G1004,1,0)</f>
        <v/>
      </c>
      <c r="P1004" s="4">
        <f>MAX(0,I1004-H1004)</f>
        <v/>
      </c>
      <c r="Q1004" s="4">
        <f>MAX(0,J1004-G1004)</f>
        <v/>
      </c>
      <c r="R1004" s="4">
        <f>IF(AND(N1004=1,O1004=1),"On Track",IF(O1004=0,"Customer Delivery Late","Ship Late"))</f>
        <v/>
      </c>
    </row>
    <row r="1005">
      <c r="A1005" s="2" t="inlineStr">
        <is>
          <t>ORD-01004</t>
        </is>
      </c>
      <c r="B1005" s="2" t="inlineStr">
        <is>
          <t>Customer 20</t>
        </is>
      </c>
      <c r="C1005" s="2" t="inlineStr">
        <is>
          <t>Contactor</t>
        </is>
      </c>
      <c r="D1005" s="2" t="inlineStr">
        <is>
          <t>Plant C</t>
        </is>
      </c>
      <c r="E1005" s="2" t="inlineStr">
        <is>
          <t>Central</t>
        </is>
      </c>
      <c r="F1005" s="12" t="n">
        <v>46120</v>
      </c>
      <c r="G1005" s="12" t="n">
        <v>46125</v>
      </c>
      <c r="H1005" s="12" t="n">
        <v>46124</v>
      </c>
      <c r="I1005" s="12" t="n">
        <v>46123</v>
      </c>
      <c r="J1005" s="12" t="n">
        <v>46124</v>
      </c>
      <c r="K1005" s="2" t="n">
        <v>740</v>
      </c>
      <c r="L1005" s="2" t="inlineStr">
        <is>
          <t>Air</t>
        </is>
      </c>
      <c r="M1005" s="2" t="inlineStr">
        <is>
          <t>No Delay</t>
        </is>
      </c>
      <c r="N1005" s="4">
        <f>IF(I1005&lt;=H1005,1,0)</f>
        <v/>
      </c>
      <c r="O1005" s="4">
        <f>IF(J1005&lt;=G1005,1,0)</f>
        <v/>
      </c>
      <c r="P1005" s="4">
        <f>MAX(0,I1005-H1005)</f>
        <v/>
      </c>
      <c r="Q1005" s="4">
        <f>MAX(0,J1005-G1005)</f>
        <v/>
      </c>
      <c r="R1005" s="4">
        <f>IF(AND(N1005=1,O1005=1),"On Track",IF(O1005=0,"Customer Delivery Late","Ship Late"))</f>
        <v/>
      </c>
    </row>
    <row r="1006">
      <c r="A1006" s="2" t="inlineStr">
        <is>
          <t>ORD-01005</t>
        </is>
      </c>
      <c r="B1006" s="2" t="inlineStr">
        <is>
          <t>Customer 02</t>
        </is>
      </c>
      <c r="C1006" s="2" t="inlineStr">
        <is>
          <t>Power Supply</t>
        </is>
      </c>
      <c r="D1006" s="2" t="inlineStr">
        <is>
          <t>Plant C</t>
        </is>
      </c>
      <c r="E1006" s="2" t="inlineStr">
        <is>
          <t>North</t>
        </is>
      </c>
      <c r="F1006" s="12" t="n">
        <v>46140</v>
      </c>
      <c r="G1006" s="12" t="n">
        <v>46163</v>
      </c>
      <c r="H1006" s="12" t="n">
        <v>46162</v>
      </c>
      <c r="I1006" s="12" t="n">
        <v>46162</v>
      </c>
      <c r="J1006" s="12" t="n">
        <v>46163</v>
      </c>
      <c r="K1006" s="2" t="n">
        <v>684</v>
      </c>
      <c r="L1006" s="2" t="inlineStr">
        <is>
          <t>Sea</t>
        </is>
      </c>
      <c r="M1006" s="2" t="inlineStr">
        <is>
          <t>No Delay</t>
        </is>
      </c>
      <c r="N1006" s="4">
        <f>IF(I1006&lt;=H1006,1,0)</f>
        <v/>
      </c>
      <c r="O1006" s="4">
        <f>IF(J1006&lt;=G1006,1,0)</f>
        <v/>
      </c>
      <c r="P1006" s="4">
        <f>MAX(0,I1006-H1006)</f>
        <v/>
      </c>
      <c r="Q1006" s="4">
        <f>MAX(0,J1006-G1006)</f>
        <v/>
      </c>
      <c r="R1006" s="4">
        <f>IF(AND(N1006=1,O1006=1),"On Track",IF(O1006=0,"Customer Delivery Late","Ship Late"))</f>
        <v/>
      </c>
    </row>
    <row r="1007">
      <c r="A1007" s="2" t="inlineStr">
        <is>
          <t>ORD-01006</t>
        </is>
      </c>
      <c r="B1007" s="2" t="inlineStr">
        <is>
          <t>Customer 17</t>
        </is>
      </c>
      <c r="C1007" s="2" t="inlineStr">
        <is>
          <t>PLC</t>
        </is>
      </c>
      <c r="D1007" s="2" t="inlineStr">
        <is>
          <t>Plant A</t>
        </is>
      </c>
      <c r="E1007" s="2" t="inlineStr">
        <is>
          <t>South</t>
        </is>
      </c>
      <c r="F1007" s="12" t="n">
        <v>46040</v>
      </c>
      <c r="G1007" s="12" t="n">
        <v>46053</v>
      </c>
      <c r="H1007" s="12" t="n">
        <v>46048</v>
      </c>
      <c r="I1007" s="12" t="n">
        <v>46048</v>
      </c>
      <c r="J1007" s="12" t="n">
        <v>46052</v>
      </c>
      <c r="K1007" s="2" t="n">
        <v>384</v>
      </c>
      <c r="L1007" s="2" t="inlineStr">
        <is>
          <t>Sea</t>
        </is>
      </c>
      <c r="M1007" s="2" t="inlineStr">
        <is>
          <t>No Delay</t>
        </is>
      </c>
      <c r="N1007" s="4">
        <f>IF(I1007&lt;=H1007,1,0)</f>
        <v/>
      </c>
      <c r="O1007" s="4">
        <f>IF(J1007&lt;=G1007,1,0)</f>
        <v/>
      </c>
      <c r="P1007" s="4">
        <f>MAX(0,I1007-H1007)</f>
        <v/>
      </c>
      <c r="Q1007" s="4">
        <f>MAX(0,J1007-G1007)</f>
        <v/>
      </c>
      <c r="R1007" s="4">
        <f>IF(AND(N1007=1,O1007=1),"On Track",IF(O1007=0,"Customer Delivery Late","Ship Late"))</f>
        <v/>
      </c>
    </row>
    <row r="1008">
      <c r="A1008" s="2" t="inlineStr">
        <is>
          <t>ORD-01007</t>
        </is>
      </c>
      <c r="B1008" s="2" t="inlineStr">
        <is>
          <t>Customer 09</t>
        </is>
      </c>
      <c r="C1008" s="2" t="inlineStr">
        <is>
          <t>Sensor</t>
        </is>
      </c>
      <c r="D1008" s="2" t="inlineStr">
        <is>
          <t>Plant A</t>
        </is>
      </c>
      <c r="E1008" s="2" t="inlineStr">
        <is>
          <t>Central</t>
        </is>
      </c>
      <c r="F1008" s="12" t="n">
        <v>46189</v>
      </c>
      <c r="G1008" s="12" t="n">
        <v>46201</v>
      </c>
      <c r="H1008" s="12" t="n">
        <v>46199</v>
      </c>
      <c r="I1008" s="12" t="n">
        <v>46198</v>
      </c>
      <c r="J1008" s="12" t="n">
        <v>46199</v>
      </c>
      <c r="K1008" s="2" t="n">
        <v>140</v>
      </c>
      <c r="L1008" s="2" t="inlineStr">
        <is>
          <t>Road</t>
        </is>
      </c>
      <c r="M1008" s="2" t="inlineStr">
        <is>
          <t>No Delay</t>
        </is>
      </c>
      <c r="N1008" s="4">
        <f>IF(I1008&lt;=H1008,1,0)</f>
        <v/>
      </c>
      <c r="O1008" s="4">
        <f>IF(J1008&lt;=G1008,1,0)</f>
        <v/>
      </c>
      <c r="P1008" s="4">
        <f>MAX(0,I1008-H1008)</f>
        <v/>
      </c>
      <c r="Q1008" s="4">
        <f>MAX(0,J1008-G1008)</f>
        <v/>
      </c>
      <c r="R1008" s="4">
        <f>IF(AND(N1008=1,O1008=1),"On Track",IF(O1008=0,"Customer Delivery Late","Ship Late"))</f>
        <v/>
      </c>
    </row>
    <row r="1009">
      <c r="A1009" s="2" t="inlineStr">
        <is>
          <t>ORD-01008</t>
        </is>
      </c>
      <c r="B1009" s="2" t="inlineStr">
        <is>
          <t>Customer 29</t>
        </is>
      </c>
      <c r="C1009" s="2" t="inlineStr">
        <is>
          <t>Breaker</t>
        </is>
      </c>
      <c r="D1009" s="2" t="inlineStr">
        <is>
          <t>Plant B</t>
        </is>
      </c>
      <c r="E1009" s="2" t="inlineStr">
        <is>
          <t>North</t>
        </is>
      </c>
      <c r="F1009" s="12" t="n">
        <v>46156</v>
      </c>
      <c r="G1009" s="12" t="n">
        <v>46170</v>
      </c>
      <c r="H1009" s="12" t="n">
        <v>46169</v>
      </c>
      <c r="I1009" s="12" t="n">
        <v>46167</v>
      </c>
      <c r="J1009" s="12" t="n">
        <v>46168</v>
      </c>
      <c r="K1009" s="2" t="n">
        <v>412</v>
      </c>
      <c r="L1009" s="2" t="inlineStr">
        <is>
          <t>Air</t>
        </is>
      </c>
      <c r="M1009" s="2" t="inlineStr">
        <is>
          <t>No Delay</t>
        </is>
      </c>
      <c r="N1009" s="4">
        <f>IF(I1009&lt;=H1009,1,0)</f>
        <v/>
      </c>
      <c r="O1009" s="4">
        <f>IF(J1009&lt;=G1009,1,0)</f>
        <v/>
      </c>
      <c r="P1009" s="4">
        <f>MAX(0,I1009-H1009)</f>
        <v/>
      </c>
      <c r="Q1009" s="4">
        <f>MAX(0,J1009-G1009)</f>
        <v/>
      </c>
      <c r="R1009" s="4">
        <f>IF(AND(N1009=1,O1009=1),"On Track",IF(O1009=0,"Customer Delivery Late","Ship Late"))</f>
        <v/>
      </c>
    </row>
    <row r="1010">
      <c r="A1010" s="2" t="inlineStr">
        <is>
          <t>ORD-01009</t>
        </is>
      </c>
      <c r="B1010" s="2" t="inlineStr">
        <is>
          <t>Customer 19</t>
        </is>
      </c>
      <c r="C1010" s="2" t="inlineStr">
        <is>
          <t>Breaker</t>
        </is>
      </c>
      <c r="D1010" s="2" t="inlineStr">
        <is>
          <t>Plant C</t>
        </is>
      </c>
      <c r="E1010" s="2" t="inlineStr">
        <is>
          <t>Export</t>
        </is>
      </c>
      <c r="F1010" s="12" t="n">
        <v>46052</v>
      </c>
      <c r="G1010" s="12" t="n">
        <v>46071</v>
      </c>
      <c r="H1010" s="12" t="n">
        <v>46070</v>
      </c>
      <c r="I1010" s="12" t="n">
        <v>46068</v>
      </c>
      <c r="J1010" s="12" t="n">
        <v>46070</v>
      </c>
      <c r="K1010" s="2" t="n">
        <v>238</v>
      </c>
      <c r="L1010" s="2" t="inlineStr">
        <is>
          <t>Sea</t>
        </is>
      </c>
      <c r="M1010" s="2" t="inlineStr">
        <is>
          <t>No Delay</t>
        </is>
      </c>
      <c r="N1010" s="4">
        <f>IF(I1010&lt;=H1010,1,0)</f>
        <v/>
      </c>
      <c r="O1010" s="4">
        <f>IF(J1010&lt;=G1010,1,0)</f>
        <v/>
      </c>
      <c r="P1010" s="4">
        <f>MAX(0,I1010-H1010)</f>
        <v/>
      </c>
      <c r="Q1010" s="4">
        <f>MAX(0,J1010-G1010)</f>
        <v/>
      </c>
      <c r="R1010" s="4">
        <f>IF(AND(N1010=1,O1010=1),"On Track",IF(O1010=0,"Customer Delivery Late","Ship Late"))</f>
        <v/>
      </c>
    </row>
    <row r="1011">
      <c r="A1011" s="2" t="inlineStr">
        <is>
          <t>ORD-01010</t>
        </is>
      </c>
      <c r="B1011" s="2" t="inlineStr">
        <is>
          <t>Customer 14</t>
        </is>
      </c>
      <c r="C1011" s="2" t="inlineStr">
        <is>
          <t>Sensor</t>
        </is>
      </c>
      <c r="D1011" s="2" t="inlineStr">
        <is>
          <t>Plant B</t>
        </is>
      </c>
      <c r="E1011" s="2" t="inlineStr">
        <is>
          <t>Central</t>
        </is>
      </c>
      <c r="F1011" s="12" t="n">
        <v>46136</v>
      </c>
      <c r="G1011" s="12" t="n">
        <v>46161</v>
      </c>
      <c r="H1011" s="12" t="n">
        <v>46159</v>
      </c>
      <c r="I1011" s="12" t="n">
        <v>46159</v>
      </c>
      <c r="J1011" s="12" t="n">
        <v>46160</v>
      </c>
      <c r="K1011" s="2" t="n">
        <v>683</v>
      </c>
      <c r="L1011" s="2" t="inlineStr">
        <is>
          <t>Sea</t>
        </is>
      </c>
      <c r="M1011" s="2" t="inlineStr">
        <is>
          <t>No Delay</t>
        </is>
      </c>
      <c r="N1011" s="4">
        <f>IF(I1011&lt;=H1011,1,0)</f>
        <v/>
      </c>
      <c r="O1011" s="4">
        <f>IF(J1011&lt;=G1011,1,0)</f>
        <v/>
      </c>
      <c r="P1011" s="4">
        <f>MAX(0,I1011-H1011)</f>
        <v/>
      </c>
      <c r="Q1011" s="4">
        <f>MAX(0,J1011-G1011)</f>
        <v/>
      </c>
      <c r="R1011" s="4">
        <f>IF(AND(N1011=1,O1011=1),"On Track",IF(O1011=0,"Customer Delivery Late","Ship Late"))</f>
        <v/>
      </c>
    </row>
    <row r="1012">
      <c r="A1012" s="2" t="inlineStr">
        <is>
          <t>ORD-01011</t>
        </is>
      </c>
      <c r="B1012" s="2" t="inlineStr">
        <is>
          <t>Customer 09</t>
        </is>
      </c>
      <c r="C1012" s="2" t="inlineStr">
        <is>
          <t>Sensor</t>
        </is>
      </c>
      <c r="D1012" s="2" t="inlineStr">
        <is>
          <t>Plant C</t>
        </is>
      </c>
      <c r="E1012" s="2" t="inlineStr">
        <is>
          <t>Export</t>
        </is>
      </c>
      <c r="F1012" s="12" t="n">
        <v>46146</v>
      </c>
      <c r="G1012" s="12" t="n">
        <v>46167</v>
      </c>
      <c r="H1012" s="12" t="n">
        <v>46164</v>
      </c>
      <c r="I1012" s="12" t="n">
        <v>46163</v>
      </c>
      <c r="J1012" s="12" t="n">
        <v>46167</v>
      </c>
      <c r="K1012" s="2" t="n">
        <v>238</v>
      </c>
      <c r="L1012" s="2" t="inlineStr">
        <is>
          <t>Road</t>
        </is>
      </c>
      <c r="M1012" s="2" t="inlineStr">
        <is>
          <t>No Delay</t>
        </is>
      </c>
      <c r="N1012" s="4">
        <f>IF(I1012&lt;=H1012,1,0)</f>
        <v/>
      </c>
      <c r="O1012" s="4">
        <f>IF(J1012&lt;=G1012,1,0)</f>
        <v/>
      </c>
      <c r="P1012" s="4">
        <f>MAX(0,I1012-H1012)</f>
        <v/>
      </c>
      <c r="Q1012" s="4">
        <f>MAX(0,J1012-G1012)</f>
        <v/>
      </c>
      <c r="R1012" s="4">
        <f>IF(AND(N1012=1,O1012=1),"On Track",IF(O1012=0,"Customer Delivery Late","Ship Late"))</f>
        <v/>
      </c>
    </row>
    <row r="1013">
      <c r="A1013" s="2" t="inlineStr">
        <is>
          <t>ORD-01012</t>
        </is>
      </c>
      <c r="B1013" s="2" t="inlineStr">
        <is>
          <t>Customer 03</t>
        </is>
      </c>
      <c r="C1013" s="2" t="inlineStr">
        <is>
          <t>Power Supply</t>
        </is>
      </c>
      <c r="D1013" s="2" t="inlineStr">
        <is>
          <t>Plant C</t>
        </is>
      </c>
      <c r="E1013" s="2" t="inlineStr">
        <is>
          <t>South</t>
        </is>
      </c>
      <c r="F1013" s="12" t="n">
        <v>46147</v>
      </c>
      <c r="G1013" s="12" t="n">
        <v>46152</v>
      </c>
      <c r="H1013" s="12" t="n">
        <v>46149</v>
      </c>
      <c r="I1013" s="12" t="n">
        <v>46149</v>
      </c>
      <c r="J1013" s="12" t="n">
        <v>46152</v>
      </c>
      <c r="K1013" s="2" t="n">
        <v>203</v>
      </c>
      <c r="L1013" s="2" t="inlineStr">
        <is>
          <t>Air</t>
        </is>
      </c>
      <c r="M1013" s="2" t="inlineStr">
        <is>
          <t>No Delay</t>
        </is>
      </c>
      <c r="N1013" s="4">
        <f>IF(I1013&lt;=H1013,1,0)</f>
        <v/>
      </c>
      <c r="O1013" s="4">
        <f>IF(J1013&lt;=G1013,1,0)</f>
        <v/>
      </c>
      <c r="P1013" s="4">
        <f>MAX(0,I1013-H1013)</f>
        <v/>
      </c>
      <c r="Q1013" s="4">
        <f>MAX(0,J1013-G1013)</f>
        <v/>
      </c>
      <c r="R1013" s="4">
        <f>IF(AND(N1013=1,O1013=1),"On Track",IF(O1013=0,"Customer Delivery Late","Ship Late"))</f>
        <v/>
      </c>
    </row>
    <row r="1014">
      <c r="A1014" s="2" t="inlineStr">
        <is>
          <t>ORD-01013</t>
        </is>
      </c>
      <c r="B1014" s="2" t="inlineStr">
        <is>
          <t>Customer 17</t>
        </is>
      </c>
      <c r="C1014" s="2" t="inlineStr">
        <is>
          <t>Sensor</t>
        </is>
      </c>
      <c r="D1014" s="2" t="inlineStr">
        <is>
          <t>Plant B</t>
        </is>
      </c>
      <c r="E1014" s="2" t="inlineStr">
        <is>
          <t>Export</t>
        </is>
      </c>
      <c r="F1014" s="12" t="n">
        <v>46110</v>
      </c>
      <c r="G1014" s="12" t="n">
        <v>46135</v>
      </c>
      <c r="H1014" s="12" t="n">
        <v>46130</v>
      </c>
      <c r="I1014" s="12" t="n">
        <v>46128</v>
      </c>
      <c r="J1014" s="12" t="n">
        <v>46133</v>
      </c>
      <c r="K1014" s="2" t="n">
        <v>220</v>
      </c>
      <c r="L1014" s="2" t="inlineStr">
        <is>
          <t>Sea</t>
        </is>
      </c>
      <c r="M1014" s="2" t="inlineStr">
        <is>
          <t>No Delay</t>
        </is>
      </c>
      <c r="N1014" s="4">
        <f>IF(I1014&lt;=H1014,1,0)</f>
        <v/>
      </c>
      <c r="O1014" s="4">
        <f>IF(J1014&lt;=G1014,1,0)</f>
        <v/>
      </c>
      <c r="P1014" s="4">
        <f>MAX(0,I1014-H1014)</f>
        <v/>
      </c>
      <c r="Q1014" s="4">
        <f>MAX(0,J1014-G1014)</f>
        <v/>
      </c>
      <c r="R1014" s="4">
        <f>IF(AND(N1014=1,O1014=1),"On Track",IF(O1014=0,"Customer Delivery Late","Ship Late"))</f>
        <v/>
      </c>
    </row>
    <row r="1015">
      <c r="A1015" s="2" t="inlineStr">
        <is>
          <t>ORD-01014</t>
        </is>
      </c>
      <c r="B1015" s="2" t="inlineStr">
        <is>
          <t>Customer 13</t>
        </is>
      </c>
      <c r="C1015" s="2" t="inlineStr">
        <is>
          <t>Relay</t>
        </is>
      </c>
      <c r="D1015" s="2" t="inlineStr">
        <is>
          <t>Plant A</t>
        </is>
      </c>
      <c r="E1015" s="2" t="inlineStr">
        <is>
          <t>Central</t>
        </is>
      </c>
      <c r="F1015" s="12" t="n">
        <v>46099</v>
      </c>
      <c r="G1015" s="12" t="n">
        <v>46123</v>
      </c>
      <c r="H1015" s="12" t="n">
        <v>46121</v>
      </c>
      <c r="I1015" s="12" t="n">
        <v>46119</v>
      </c>
      <c r="J1015" s="12" t="n">
        <v>46121</v>
      </c>
      <c r="K1015" s="2" t="n">
        <v>676</v>
      </c>
      <c r="L1015" s="2" t="inlineStr">
        <is>
          <t>Sea</t>
        </is>
      </c>
      <c r="M1015" s="2" t="inlineStr">
        <is>
          <t>No Delay</t>
        </is>
      </c>
      <c r="N1015" s="4">
        <f>IF(I1015&lt;=H1015,1,0)</f>
        <v/>
      </c>
      <c r="O1015" s="4">
        <f>IF(J1015&lt;=G1015,1,0)</f>
        <v/>
      </c>
      <c r="P1015" s="4">
        <f>MAX(0,I1015-H1015)</f>
        <v/>
      </c>
      <c r="Q1015" s="4">
        <f>MAX(0,J1015-G1015)</f>
        <v/>
      </c>
      <c r="R1015" s="4">
        <f>IF(AND(N1015=1,O1015=1),"On Track",IF(O1015=0,"Customer Delivery Late","Ship Late"))</f>
        <v/>
      </c>
    </row>
    <row r="1016">
      <c r="A1016" s="2" t="inlineStr">
        <is>
          <t>ORD-01015</t>
        </is>
      </c>
      <c r="B1016" s="2" t="inlineStr">
        <is>
          <t>Customer 16</t>
        </is>
      </c>
      <c r="C1016" s="2" t="inlineStr">
        <is>
          <t>Sensor</t>
        </is>
      </c>
      <c r="D1016" s="2" t="inlineStr">
        <is>
          <t>Plant B</t>
        </is>
      </c>
      <c r="E1016" s="2" t="inlineStr">
        <is>
          <t>Central</t>
        </is>
      </c>
      <c r="F1016" s="12" t="n">
        <v>46144</v>
      </c>
      <c r="G1016" s="12" t="n">
        <v>46169</v>
      </c>
      <c r="H1016" s="12" t="n">
        <v>46164</v>
      </c>
      <c r="I1016" s="12" t="n">
        <v>46164</v>
      </c>
      <c r="J1016" s="12" t="n">
        <v>46169</v>
      </c>
      <c r="K1016" s="2" t="n">
        <v>637</v>
      </c>
      <c r="L1016" s="2" t="inlineStr">
        <is>
          <t>Air</t>
        </is>
      </c>
      <c r="M1016" s="2" t="inlineStr">
        <is>
          <t>No Delay</t>
        </is>
      </c>
      <c r="N1016" s="4">
        <f>IF(I1016&lt;=H1016,1,0)</f>
        <v/>
      </c>
      <c r="O1016" s="4">
        <f>IF(J1016&lt;=G1016,1,0)</f>
        <v/>
      </c>
      <c r="P1016" s="4">
        <f>MAX(0,I1016-H1016)</f>
        <v/>
      </c>
      <c r="Q1016" s="4">
        <f>MAX(0,J1016-G1016)</f>
        <v/>
      </c>
      <c r="R1016" s="4">
        <f>IF(AND(N1016=1,O1016=1),"On Track",IF(O1016=0,"Customer Delivery Late","Ship Late"))</f>
        <v/>
      </c>
    </row>
    <row r="1017">
      <c r="A1017" s="2" t="inlineStr">
        <is>
          <t>ORD-01016</t>
        </is>
      </c>
      <c r="B1017" s="2" t="inlineStr">
        <is>
          <t>Customer 14</t>
        </is>
      </c>
      <c r="C1017" s="2" t="inlineStr">
        <is>
          <t>Drive</t>
        </is>
      </c>
      <c r="D1017" s="2" t="inlineStr">
        <is>
          <t>Plant C</t>
        </is>
      </c>
      <c r="E1017" s="2" t="inlineStr">
        <is>
          <t>Central</t>
        </is>
      </c>
      <c r="F1017" s="12" t="n">
        <v>46113</v>
      </c>
      <c r="G1017" s="12" t="n">
        <v>46128</v>
      </c>
      <c r="H1017" s="12" t="n">
        <v>46124</v>
      </c>
      <c r="I1017" s="12" t="n">
        <v>46124</v>
      </c>
      <c r="J1017" s="12" t="n">
        <v>46132</v>
      </c>
      <c r="K1017" s="2" t="n">
        <v>945</v>
      </c>
      <c r="L1017" s="2" t="inlineStr">
        <is>
          <t>Air</t>
        </is>
      </c>
      <c r="M1017" s="2" t="inlineStr">
        <is>
          <t>Material Shortage</t>
        </is>
      </c>
      <c r="N1017" s="4">
        <f>IF(I1017&lt;=H1017,1,0)</f>
        <v/>
      </c>
      <c r="O1017" s="4">
        <f>IF(J1017&lt;=G1017,1,0)</f>
        <v/>
      </c>
      <c r="P1017" s="4">
        <f>MAX(0,I1017-H1017)</f>
        <v/>
      </c>
      <c r="Q1017" s="4">
        <f>MAX(0,J1017-G1017)</f>
        <v/>
      </c>
      <c r="R1017" s="4">
        <f>IF(AND(N1017=1,O1017=1),"On Track",IF(O1017=0,"Customer Delivery Late","Ship Late"))</f>
        <v/>
      </c>
    </row>
    <row r="1018">
      <c r="A1018" s="2" t="inlineStr">
        <is>
          <t>ORD-01017</t>
        </is>
      </c>
      <c r="B1018" s="2" t="inlineStr">
        <is>
          <t>Customer 14</t>
        </is>
      </c>
      <c r="C1018" s="2" t="inlineStr">
        <is>
          <t>Power Supply</t>
        </is>
      </c>
      <c r="D1018" s="2" t="inlineStr">
        <is>
          <t>Plant B</t>
        </is>
      </c>
      <c r="E1018" s="2" t="inlineStr">
        <is>
          <t>Central</t>
        </is>
      </c>
      <c r="F1018" s="12" t="n">
        <v>46027</v>
      </c>
      <c r="G1018" s="12" t="n">
        <v>46038</v>
      </c>
      <c r="H1018" s="12" t="n">
        <v>46036</v>
      </c>
      <c r="I1018" s="12" t="n">
        <v>46035</v>
      </c>
      <c r="J1018" s="12" t="n">
        <v>46037</v>
      </c>
      <c r="K1018" s="2" t="n">
        <v>450</v>
      </c>
      <c r="L1018" s="2" t="inlineStr">
        <is>
          <t>Sea</t>
        </is>
      </c>
      <c r="M1018" s="2" t="inlineStr">
        <is>
          <t>No Delay</t>
        </is>
      </c>
      <c r="N1018" s="4">
        <f>IF(I1018&lt;=H1018,1,0)</f>
        <v/>
      </c>
      <c r="O1018" s="4">
        <f>IF(J1018&lt;=G1018,1,0)</f>
        <v/>
      </c>
      <c r="P1018" s="4">
        <f>MAX(0,I1018-H1018)</f>
        <v/>
      </c>
      <c r="Q1018" s="4">
        <f>MAX(0,J1018-G1018)</f>
        <v/>
      </c>
      <c r="R1018" s="4">
        <f>IF(AND(N1018=1,O1018=1),"On Track",IF(O1018=0,"Customer Delivery Late","Ship Late"))</f>
        <v/>
      </c>
    </row>
    <row r="1019">
      <c r="A1019" s="2" t="inlineStr">
        <is>
          <t>ORD-01018</t>
        </is>
      </c>
      <c r="B1019" s="2" t="inlineStr">
        <is>
          <t>Customer 24</t>
        </is>
      </c>
      <c r="C1019" s="2" t="inlineStr">
        <is>
          <t>Switchgear</t>
        </is>
      </c>
      <c r="D1019" s="2" t="inlineStr">
        <is>
          <t>Plant A</t>
        </is>
      </c>
      <c r="E1019" s="2" t="inlineStr">
        <is>
          <t>Export</t>
        </is>
      </c>
      <c r="F1019" s="12" t="n">
        <v>46151</v>
      </c>
      <c r="G1019" s="12" t="n">
        <v>46170</v>
      </c>
      <c r="H1019" s="12" t="n">
        <v>46167</v>
      </c>
      <c r="I1019" s="12" t="n">
        <v>46165</v>
      </c>
      <c r="J1019" s="12" t="n">
        <v>46168</v>
      </c>
      <c r="K1019" s="2" t="n">
        <v>1418</v>
      </c>
      <c r="L1019" s="2" t="inlineStr">
        <is>
          <t>Sea</t>
        </is>
      </c>
      <c r="M1019" s="2" t="inlineStr">
        <is>
          <t>No Delay</t>
        </is>
      </c>
      <c r="N1019" s="4">
        <f>IF(I1019&lt;=H1019,1,0)</f>
        <v/>
      </c>
      <c r="O1019" s="4">
        <f>IF(J1019&lt;=G1019,1,0)</f>
        <v/>
      </c>
      <c r="P1019" s="4">
        <f>MAX(0,I1019-H1019)</f>
        <v/>
      </c>
      <c r="Q1019" s="4">
        <f>MAX(0,J1019-G1019)</f>
        <v/>
      </c>
      <c r="R1019" s="4">
        <f>IF(AND(N1019=1,O1019=1),"On Track",IF(O1019=0,"Customer Delivery Late","Ship Late"))</f>
        <v/>
      </c>
    </row>
    <row r="1020">
      <c r="A1020" s="2" t="inlineStr">
        <is>
          <t>ORD-01019</t>
        </is>
      </c>
      <c r="B1020" s="2" t="inlineStr">
        <is>
          <t>Customer 09</t>
        </is>
      </c>
      <c r="C1020" s="2" t="inlineStr">
        <is>
          <t>Drive</t>
        </is>
      </c>
      <c r="D1020" s="2" t="inlineStr">
        <is>
          <t>Plant B</t>
        </is>
      </c>
      <c r="E1020" s="2" t="inlineStr">
        <is>
          <t>South</t>
        </is>
      </c>
      <c r="F1020" s="12" t="n">
        <v>46147</v>
      </c>
      <c r="G1020" s="12" t="n">
        <v>46159</v>
      </c>
      <c r="H1020" s="12" t="n">
        <v>46156</v>
      </c>
      <c r="I1020" s="12" t="n">
        <v>46163</v>
      </c>
      <c r="J1020" s="12" t="n">
        <v>46165</v>
      </c>
      <c r="K1020" s="2" t="n">
        <v>237</v>
      </c>
      <c r="L1020" s="2" t="inlineStr">
        <is>
          <t>Air</t>
        </is>
      </c>
      <c r="M1020" s="2" t="inlineStr">
        <is>
          <t>Carrier Delay</t>
        </is>
      </c>
      <c r="N1020" s="4">
        <f>IF(I1020&lt;=H1020,1,0)</f>
        <v/>
      </c>
      <c r="O1020" s="4">
        <f>IF(J1020&lt;=G1020,1,0)</f>
        <v/>
      </c>
      <c r="P1020" s="4">
        <f>MAX(0,I1020-H1020)</f>
        <v/>
      </c>
      <c r="Q1020" s="4">
        <f>MAX(0,J1020-G1020)</f>
        <v/>
      </c>
      <c r="R1020" s="4">
        <f>IF(AND(N1020=1,O1020=1),"On Track",IF(O1020=0,"Customer Delivery Late","Ship Late"))</f>
        <v/>
      </c>
    </row>
    <row r="1021">
      <c r="A1021" s="2" t="inlineStr">
        <is>
          <t>ORD-01020</t>
        </is>
      </c>
      <c r="B1021" s="2" t="inlineStr">
        <is>
          <t>Customer 07</t>
        </is>
      </c>
      <c r="C1021" s="2" t="inlineStr">
        <is>
          <t>Contactor</t>
        </is>
      </c>
      <c r="D1021" s="2" t="inlineStr">
        <is>
          <t>Plant B</t>
        </is>
      </c>
      <c r="E1021" s="2" t="inlineStr">
        <is>
          <t>Central</t>
        </is>
      </c>
      <c r="F1021" s="12" t="n">
        <v>46057</v>
      </c>
      <c r="G1021" s="12" t="n">
        <v>46064</v>
      </c>
      <c r="H1021" s="12" t="n">
        <v>46061</v>
      </c>
      <c r="I1021" s="12" t="n">
        <v>46068</v>
      </c>
      <c r="J1021" s="12" t="n">
        <v>46071</v>
      </c>
      <c r="K1021" s="2" t="n">
        <v>681</v>
      </c>
      <c r="L1021" s="2" t="inlineStr">
        <is>
          <t>Sea</t>
        </is>
      </c>
      <c r="M1021" s="2" t="inlineStr">
        <is>
          <t>Capacity Constraint</t>
        </is>
      </c>
      <c r="N1021" s="4">
        <f>IF(I1021&lt;=H1021,1,0)</f>
        <v/>
      </c>
      <c r="O1021" s="4">
        <f>IF(J1021&lt;=G1021,1,0)</f>
        <v/>
      </c>
      <c r="P1021" s="4">
        <f>MAX(0,I1021-H1021)</f>
        <v/>
      </c>
      <c r="Q1021" s="4">
        <f>MAX(0,J1021-G1021)</f>
        <v/>
      </c>
      <c r="R1021" s="4">
        <f>IF(AND(N1021=1,O1021=1),"On Track",IF(O1021=0,"Customer Delivery Late","Ship Late"))</f>
        <v/>
      </c>
    </row>
    <row r="1022">
      <c r="A1022" s="2" t="inlineStr">
        <is>
          <t>ORD-01021</t>
        </is>
      </c>
      <c r="B1022" s="2" t="inlineStr">
        <is>
          <t>Customer 03</t>
        </is>
      </c>
      <c r="C1022" s="2" t="inlineStr">
        <is>
          <t>Drive</t>
        </is>
      </c>
      <c r="D1022" s="2" t="inlineStr">
        <is>
          <t>Plant B</t>
        </is>
      </c>
      <c r="E1022" s="2" t="inlineStr">
        <is>
          <t>Export</t>
        </is>
      </c>
      <c r="F1022" s="12" t="n">
        <v>46162</v>
      </c>
      <c r="G1022" s="12" t="n">
        <v>46175</v>
      </c>
      <c r="H1022" s="12" t="n">
        <v>46170</v>
      </c>
      <c r="I1022" s="12" t="n">
        <v>46169</v>
      </c>
      <c r="J1022" s="12" t="n">
        <v>46174</v>
      </c>
      <c r="K1022" s="2" t="n">
        <v>449</v>
      </c>
      <c r="L1022" s="2" t="inlineStr">
        <is>
          <t>Road</t>
        </is>
      </c>
      <c r="M1022" s="2" t="inlineStr">
        <is>
          <t>No Delay</t>
        </is>
      </c>
      <c r="N1022" s="4">
        <f>IF(I1022&lt;=H1022,1,0)</f>
        <v/>
      </c>
      <c r="O1022" s="4">
        <f>IF(J1022&lt;=G1022,1,0)</f>
        <v/>
      </c>
      <c r="P1022" s="4">
        <f>MAX(0,I1022-H1022)</f>
        <v/>
      </c>
      <c r="Q1022" s="4">
        <f>MAX(0,J1022-G1022)</f>
        <v/>
      </c>
      <c r="R1022" s="4">
        <f>IF(AND(N1022=1,O1022=1),"On Track",IF(O1022=0,"Customer Delivery Late","Ship Late"))</f>
        <v/>
      </c>
    </row>
    <row r="1023">
      <c r="A1023" s="2" t="inlineStr">
        <is>
          <t>ORD-01022</t>
        </is>
      </c>
      <c r="B1023" s="2" t="inlineStr">
        <is>
          <t>Customer 24</t>
        </is>
      </c>
      <c r="C1023" s="2" t="inlineStr">
        <is>
          <t>Breaker</t>
        </is>
      </c>
      <c r="D1023" s="2" t="inlineStr">
        <is>
          <t>Plant A</t>
        </is>
      </c>
      <c r="E1023" s="2" t="inlineStr">
        <is>
          <t>North</t>
        </is>
      </c>
      <c r="F1023" s="12" t="n">
        <v>46105</v>
      </c>
      <c r="G1023" s="12" t="n">
        <v>46124</v>
      </c>
      <c r="H1023" s="12" t="n">
        <v>46122</v>
      </c>
      <c r="I1023" s="12" t="n">
        <v>46121</v>
      </c>
      <c r="J1023" s="12" t="n">
        <v>46123</v>
      </c>
      <c r="K1023" s="2" t="n">
        <v>1325</v>
      </c>
      <c r="L1023" s="2" t="inlineStr">
        <is>
          <t>Air</t>
        </is>
      </c>
      <c r="M1023" s="2" t="inlineStr">
        <is>
          <t>No Delay</t>
        </is>
      </c>
      <c r="N1023" s="4">
        <f>IF(I1023&lt;=H1023,1,0)</f>
        <v/>
      </c>
      <c r="O1023" s="4">
        <f>IF(J1023&lt;=G1023,1,0)</f>
        <v/>
      </c>
      <c r="P1023" s="4">
        <f>MAX(0,I1023-H1023)</f>
        <v/>
      </c>
      <c r="Q1023" s="4">
        <f>MAX(0,J1023-G1023)</f>
        <v/>
      </c>
      <c r="R1023" s="4">
        <f>IF(AND(N1023=1,O1023=1),"On Track",IF(O1023=0,"Customer Delivery Late","Ship Late"))</f>
        <v/>
      </c>
    </row>
    <row r="1024">
      <c r="A1024" s="2" t="inlineStr">
        <is>
          <t>ORD-01023</t>
        </is>
      </c>
      <c r="B1024" s="2" t="inlineStr">
        <is>
          <t>Customer 14</t>
        </is>
      </c>
      <c r="C1024" s="2" t="inlineStr">
        <is>
          <t>Breaker</t>
        </is>
      </c>
      <c r="D1024" s="2" t="inlineStr">
        <is>
          <t>Plant C</t>
        </is>
      </c>
      <c r="E1024" s="2" t="inlineStr">
        <is>
          <t>South</t>
        </is>
      </c>
      <c r="F1024" s="12" t="n">
        <v>46132</v>
      </c>
      <c r="G1024" s="12" t="n">
        <v>46149</v>
      </c>
      <c r="H1024" s="12" t="n">
        <v>46145</v>
      </c>
      <c r="I1024" s="12" t="n">
        <v>46145</v>
      </c>
      <c r="J1024" s="12" t="n">
        <v>46150</v>
      </c>
      <c r="K1024" s="2" t="n">
        <v>1113</v>
      </c>
      <c r="L1024" s="2" t="inlineStr">
        <is>
          <t>Air</t>
        </is>
      </c>
      <c r="M1024" s="2" t="inlineStr">
        <is>
          <t>Capacity Constraint</t>
        </is>
      </c>
      <c r="N1024" s="4">
        <f>IF(I1024&lt;=H1024,1,0)</f>
        <v/>
      </c>
      <c r="O1024" s="4">
        <f>IF(J1024&lt;=G1024,1,0)</f>
        <v/>
      </c>
      <c r="P1024" s="4">
        <f>MAX(0,I1024-H1024)</f>
        <v/>
      </c>
      <c r="Q1024" s="4">
        <f>MAX(0,J1024-G1024)</f>
        <v/>
      </c>
      <c r="R1024" s="4">
        <f>IF(AND(N1024=1,O1024=1),"On Track",IF(O1024=0,"Customer Delivery Late","Ship Late"))</f>
        <v/>
      </c>
    </row>
    <row r="1025">
      <c r="A1025" s="2" t="inlineStr">
        <is>
          <t>ORD-01024</t>
        </is>
      </c>
      <c r="B1025" s="2" t="inlineStr">
        <is>
          <t>Customer 25</t>
        </is>
      </c>
      <c r="C1025" s="2" t="inlineStr">
        <is>
          <t>Contactor</t>
        </is>
      </c>
      <c r="D1025" s="2" t="inlineStr">
        <is>
          <t>Plant C</t>
        </is>
      </c>
      <c r="E1025" s="2" t="inlineStr">
        <is>
          <t>Central</t>
        </is>
      </c>
      <c r="F1025" s="12" t="n">
        <v>46095</v>
      </c>
      <c r="G1025" s="12" t="n">
        <v>46118</v>
      </c>
      <c r="H1025" s="12" t="n">
        <v>46115</v>
      </c>
      <c r="I1025" s="12" t="n">
        <v>46115</v>
      </c>
      <c r="J1025" s="12" t="n">
        <v>46119</v>
      </c>
      <c r="K1025" s="2" t="n">
        <v>1061</v>
      </c>
      <c r="L1025" s="2" t="inlineStr">
        <is>
          <t>Road</t>
        </is>
      </c>
      <c r="M1025" s="2" t="inlineStr">
        <is>
          <t>Capacity Constraint</t>
        </is>
      </c>
      <c r="N1025" s="4">
        <f>IF(I1025&lt;=H1025,1,0)</f>
        <v/>
      </c>
      <c r="O1025" s="4">
        <f>IF(J1025&lt;=G1025,1,0)</f>
        <v/>
      </c>
      <c r="P1025" s="4">
        <f>MAX(0,I1025-H1025)</f>
        <v/>
      </c>
      <c r="Q1025" s="4">
        <f>MAX(0,J1025-G1025)</f>
        <v/>
      </c>
      <c r="R1025" s="4">
        <f>IF(AND(N1025=1,O1025=1),"On Track",IF(O1025=0,"Customer Delivery Late","Ship Late"))</f>
        <v/>
      </c>
    </row>
    <row r="1026">
      <c r="A1026" s="2" t="inlineStr">
        <is>
          <t>ORD-01025</t>
        </is>
      </c>
      <c r="B1026" s="2" t="inlineStr">
        <is>
          <t>Customer 15</t>
        </is>
      </c>
      <c r="C1026" s="2" t="inlineStr">
        <is>
          <t>Switchgear</t>
        </is>
      </c>
      <c r="D1026" s="2" t="inlineStr">
        <is>
          <t>Plant C</t>
        </is>
      </c>
      <c r="E1026" s="2" t="inlineStr">
        <is>
          <t>Central</t>
        </is>
      </c>
      <c r="F1026" s="12" t="n">
        <v>46169</v>
      </c>
      <c r="G1026" s="12" t="n">
        <v>46188</v>
      </c>
      <c r="H1026" s="12" t="n">
        <v>46183</v>
      </c>
      <c r="I1026" s="12" t="n">
        <v>46181</v>
      </c>
      <c r="J1026" s="12" t="n">
        <v>46186</v>
      </c>
      <c r="K1026" s="2" t="n">
        <v>1342</v>
      </c>
      <c r="L1026" s="2" t="inlineStr">
        <is>
          <t>Air</t>
        </is>
      </c>
      <c r="M1026" s="2" t="inlineStr">
        <is>
          <t>No Delay</t>
        </is>
      </c>
      <c r="N1026" s="4">
        <f>IF(I1026&lt;=H1026,1,0)</f>
        <v/>
      </c>
      <c r="O1026" s="4">
        <f>IF(J1026&lt;=G1026,1,0)</f>
        <v/>
      </c>
      <c r="P1026" s="4">
        <f>MAX(0,I1026-H1026)</f>
        <v/>
      </c>
      <c r="Q1026" s="4">
        <f>MAX(0,J1026-G1026)</f>
        <v/>
      </c>
      <c r="R1026" s="4">
        <f>IF(AND(N1026=1,O1026=1),"On Track",IF(O1026=0,"Customer Delivery Late","Ship Late"))</f>
        <v/>
      </c>
    </row>
    <row r="1027">
      <c r="A1027" s="2" t="inlineStr">
        <is>
          <t>ORD-01026</t>
        </is>
      </c>
      <c r="B1027" s="2" t="inlineStr">
        <is>
          <t>Customer 10</t>
        </is>
      </c>
      <c r="C1027" s="2" t="inlineStr">
        <is>
          <t>Breaker</t>
        </is>
      </c>
      <c r="D1027" s="2" t="inlineStr">
        <is>
          <t>Plant C</t>
        </is>
      </c>
      <c r="E1027" s="2" t="inlineStr">
        <is>
          <t>Export</t>
        </is>
      </c>
      <c r="F1027" s="12" t="n">
        <v>46041</v>
      </c>
      <c r="G1027" s="12" t="n">
        <v>46051</v>
      </c>
      <c r="H1027" s="12" t="n">
        <v>46046</v>
      </c>
      <c r="I1027" s="12" t="n">
        <v>46046</v>
      </c>
      <c r="J1027" s="12" t="n">
        <v>46050</v>
      </c>
      <c r="K1027" s="2" t="n">
        <v>48</v>
      </c>
      <c r="L1027" s="2" t="inlineStr">
        <is>
          <t>Road</t>
        </is>
      </c>
      <c r="M1027" s="2" t="inlineStr">
        <is>
          <t>No Delay</t>
        </is>
      </c>
      <c r="N1027" s="4">
        <f>IF(I1027&lt;=H1027,1,0)</f>
        <v/>
      </c>
      <c r="O1027" s="4">
        <f>IF(J1027&lt;=G1027,1,0)</f>
        <v/>
      </c>
      <c r="P1027" s="4">
        <f>MAX(0,I1027-H1027)</f>
        <v/>
      </c>
      <c r="Q1027" s="4">
        <f>MAX(0,J1027-G1027)</f>
        <v/>
      </c>
      <c r="R1027" s="4">
        <f>IF(AND(N1027=1,O1027=1),"On Track",IF(O1027=0,"Customer Delivery Late","Ship Late"))</f>
        <v/>
      </c>
    </row>
    <row r="1028">
      <c r="A1028" s="2" t="inlineStr">
        <is>
          <t>ORD-01027</t>
        </is>
      </c>
      <c r="B1028" s="2" t="inlineStr">
        <is>
          <t>Customer 22</t>
        </is>
      </c>
      <c r="C1028" s="2" t="inlineStr">
        <is>
          <t>PLC</t>
        </is>
      </c>
      <c r="D1028" s="2" t="inlineStr">
        <is>
          <t>Plant C</t>
        </is>
      </c>
      <c r="E1028" s="2" t="inlineStr">
        <is>
          <t>South</t>
        </is>
      </c>
      <c r="F1028" s="12" t="n">
        <v>46080</v>
      </c>
      <c r="G1028" s="12" t="n">
        <v>46095</v>
      </c>
      <c r="H1028" s="12" t="n">
        <v>46091</v>
      </c>
      <c r="I1028" s="12" t="n">
        <v>46089</v>
      </c>
      <c r="J1028" s="12" t="n">
        <v>46094</v>
      </c>
      <c r="K1028" s="2" t="n">
        <v>1474</v>
      </c>
      <c r="L1028" s="2" t="inlineStr">
        <is>
          <t>Sea</t>
        </is>
      </c>
      <c r="M1028" s="2" t="inlineStr">
        <is>
          <t>No Delay</t>
        </is>
      </c>
      <c r="N1028" s="4">
        <f>IF(I1028&lt;=H1028,1,0)</f>
        <v/>
      </c>
      <c r="O1028" s="4">
        <f>IF(J1028&lt;=G1028,1,0)</f>
        <v/>
      </c>
      <c r="P1028" s="4">
        <f>MAX(0,I1028-H1028)</f>
        <v/>
      </c>
      <c r="Q1028" s="4">
        <f>MAX(0,J1028-G1028)</f>
        <v/>
      </c>
      <c r="R1028" s="4">
        <f>IF(AND(N1028=1,O1028=1),"On Track",IF(O1028=0,"Customer Delivery Late","Ship Late"))</f>
        <v/>
      </c>
    </row>
    <row r="1029">
      <c r="A1029" s="2" t="inlineStr">
        <is>
          <t>ORD-01028</t>
        </is>
      </c>
      <c r="B1029" s="2" t="inlineStr">
        <is>
          <t>Customer 28</t>
        </is>
      </c>
      <c r="C1029" s="2" t="inlineStr">
        <is>
          <t>Breaker</t>
        </is>
      </c>
      <c r="D1029" s="2" t="inlineStr">
        <is>
          <t>Plant A</t>
        </is>
      </c>
      <c r="E1029" s="2" t="inlineStr">
        <is>
          <t>South</t>
        </is>
      </c>
      <c r="F1029" s="12" t="n">
        <v>46062</v>
      </c>
      <c r="G1029" s="12" t="n">
        <v>46073</v>
      </c>
      <c r="H1029" s="12" t="n">
        <v>46071</v>
      </c>
      <c r="I1029" s="12" t="n">
        <v>46069</v>
      </c>
      <c r="J1029" s="12" t="n">
        <v>46070</v>
      </c>
      <c r="K1029" s="2" t="n">
        <v>151</v>
      </c>
      <c r="L1029" s="2" t="inlineStr">
        <is>
          <t>Air</t>
        </is>
      </c>
      <c r="M1029" s="2" t="inlineStr">
        <is>
          <t>No Delay</t>
        </is>
      </c>
      <c r="N1029" s="4">
        <f>IF(I1029&lt;=H1029,1,0)</f>
        <v/>
      </c>
      <c r="O1029" s="4">
        <f>IF(J1029&lt;=G1029,1,0)</f>
        <v/>
      </c>
      <c r="P1029" s="4">
        <f>MAX(0,I1029-H1029)</f>
        <v/>
      </c>
      <c r="Q1029" s="4">
        <f>MAX(0,J1029-G1029)</f>
        <v/>
      </c>
      <c r="R1029" s="4">
        <f>IF(AND(N1029=1,O1029=1),"On Track",IF(O1029=0,"Customer Delivery Late","Ship Late"))</f>
        <v/>
      </c>
    </row>
    <row r="1030">
      <c r="A1030" s="2" t="inlineStr">
        <is>
          <t>ORD-01029</t>
        </is>
      </c>
      <c r="B1030" s="2" t="inlineStr">
        <is>
          <t>Customer 30</t>
        </is>
      </c>
      <c r="C1030" s="2" t="inlineStr">
        <is>
          <t>PLC</t>
        </is>
      </c>
      <c r="D1030" s="2" t="inlineStr">
        <is>
          <t>Plant B</t>
        </is>
      </c>
      <c r="E1030" s="2" t="inlineStr">
        <is>
          <t>North</t>
        </is>
      </c>
      <c r="F1030" s="12" t="n">
        <v>46103</v>
      </c>
      <c r="G1030" s="12" t="n">
        <v>46115</v>
      </c>
      <c r="H1030" s="12" t="n">
        <v>46113</v>
      </c>
      <c r="I1030" s="12" t="n">
        <v>46111</v>
      </c>
      <c r="J1030" s="12" t="n">
        <v>46113</v>
      </c>
      <c r="K1030" s="2" t="n">
        <v>291</v>
      </c>
      <c r="L1030" s="2" t="inlineStr">
        <is>
          <t>Air</t>
        </is>
      </c>
      <c r="M1030" s="2" t="inlineStr">
        <is>
          <t>No Delay</t>
        </is>
      </c>
      <c r="N1030" s="4">
        <f>IF(I1030&lt;=H1030,1,0)</f>
        <v/>
      </c>
      <c r="O1030" s="4">
        <f>IF(J1030&lt;=G1030,1,0)</f>
        <v/>
      </c>
      <c r="P1030" s="4">
        <f>MAX(0,I1030-H1030)</f>
        <v/>
      </c>
      <c r="Q1030" s="4">
        <f>MAX(0,J1030-G1030)</f>
        <v/>
      </c>
      <c r="R1030" s="4">
        <f>IF(AND(N1030=1,O1030=1),"On Track",IF(O1030=0,"Customer Delivery Late","Ship Late"))</f>
        <v/>
      </c>
    </row>
    <row r="1031">
      <c r="A1031" s="2" t="inlineStr">
        <is>
          <t>ORD-01030</t>
        </is>
      </c>
      <c r="B1031" s="2" t="inlineStr">
        <is>
          <t>Customer 15</t>
        </is>
      </c>
      <c r="C1031" s="2" t="inlineStr">
        <is>
          <t>Power Supply</t>
        </is>
      </c>
      <c r="D1031" s="2" t="inlineStr">
        <is>
          <t>Plant A</t>
        </is>
      </c>
      <c r="E1031" s="2" t="inlineStr">
        <is>
          <t>Central</t>
        </is>
      </c>
      <c r="F1031" s="12" t="n">
        <v>46054</v>
      </c>
      <c r="G1031" s="12" t="n">
        <v>46071</v>
      </c>
      <c r="H1031" s="12" t="n">
        <v>46070</v>
      </c>
      <c r="I1031" s="12" t="n">
        <v>46070</v>
      </c>
      <c r="J1031" s="12" t="n">
        <v>46071</v>
      </c>
      <c r="K1031" s="2" t="n">
        <v>789</v>
      </c>
      <c r="L1031" s="2" t="inlineStr">
        <is>
          <t>Sea</t>
        </is>
      </c>
      <c r="M1031" s="2" t="inlineStr">
        <is>
          <t>No Delay</t>
        </is>
      </c>
      <c r="N1031" s="4">
        <f>IF(I1031&lt;=H1031,1,0)</f>
        <v/>
      </c>
      <c r="O1031" s="4">
        <f>IF(J1031&lt;=G1031,1,0)</f>
        <v/>
      </c>
      <c r="P1031" s="4">
        <f>MAX(0,I1031-H1031)</f>
        <v/>
      </c>
      <c r="Q1031" s="4">
        <f>MAX(0,J1031-G1031)</f>
        <v/>
      </c>
      <c r="R1031" s="4">
        <f>IF(AND(N1031=1,O1031=1),"On Track",IF(O1031=0,"Customer Delivery Late","Ship Late"))</f>
        <v/>
      </c>
    </row>
    <row r="1032">
      <c r="A1032" s="2" t="inlineStr">
        <is>
          <t>ORD-01031</t>
        </is>
      </c>
      <c r="B1032" s="2" t="inlineStr">
        <is>
          <t>Customer 04</t>
        </is>
      </c>
      <c r="C1032" s="2" t="inlineStr">
        <is>
          <t>Switchgear</t>
        </is>
      </c>
      <c r="D1032" s="2" t="inlineStr">
        <is>
          <t>Plant C</t>
        </is>
      </c>
      <c r="E1032" s="2" t="inlineStr">
        <is>
          <t>South</t>
        </is>
      </c>
      <c r="F1032" s="12" t="n">
        <v>46054</v>
      </c>
      <c r="G1032" s="12" t="n">
        <v>46061</v>
      </c>
      <c r="H1032" s="12" t="n">
        <v>46059</v>
      </c>
      <c r="I1032" s="12" t="n">
        <v>46059</v>
      </c>
      <c r="J1032" s="12" t="n">
        <v>46061</v>
      </c>
      <c r="K1032" s="2" t="n">
        <v>658</v>
      </c>
      <c r="L1032" s="2" t="inlineStr">
        <is>
          <t>Air</t>
        </is>
      </c>
      <c r="M1032" s="2" t="inlineStr">
        <is>
          <t>No Delay</t>
        </is>
      </c>
      <c r="N1032" s="4">
        <f>IF(I1032&lt;=H1032,1,0)</f>
        <v/>
      </c>
      <c r="O1032" s="4">
        <f>IF(J1032&lt;=G1032,1,0)</f>
        <v/>
      </c>
      <c r="P1032" s="4">
        <f>MAX(0,I1032-H1032)</f>
        <v/>
      </c>
      <c r="Q1032" s="4">
        <f>MAX(0,J1032-G1032)</f>
        <v/>
      </c>
      <c r="R1032" s="4">
        <f>IF(AND(N1032=1,O1032=1),"On Track",IF(O1032=0,"Customer Delivery Late","Ship Late"))</f>
        <v/>
      </c>
    </row>
    <row r="1033">
      <c r="A1033" s="2" t="inlineStr">
        <is>
          <t>ORD-01032</t>
        </is>
      </c>
      <c r="B1033" s="2" t="inlineStr">
        <is>
          <t>Customer 15</t>
        </is>
      </c>
      <c r="C1033" s="2" t="inlineStr">
        <is>
          <t>Breaker</t>
        </is>
      </c>
      <c r="D1033" s="2" t="inlineStr">
        <is>
          <t>Plant A</t>
        </is>
      </c>
      <c r="E1033" s="2" t="inlineStr">
        <is>
          <t>Export</t>
        </is>
      </c>
      <c r="F1033" s="12" t="n">
        <v>46071</v>
      </c>
      <c r="G1033" s="12" t="n">
        <v>46082</v>
      </c>
      <c r="H1033" s="12" t="n">
        <v>46081</v>
      </c>
      <c r="I1033" s="12" t="n">
        <v>46080</v>
      </c>
      <c r="J1033" s="12" t="n">
        <v>46081</v>
      </c>
      <c r="K1033" s="2" t="n">
        <v>870</v>
      </c>
      <c r="L1033" s="2" t="inlineStr">
        <is>
          <t>Air</t>
        </is>
      </c>
      <c r="M1033" s="2" t="inlineStr">
        <is>
          <t>No Delay</t>
        </is>
      </c>
      <c r="N1033" s="4">
        <f>IF(I1033&lt;=H1033,1,0)</f>
        <v/>
      </c>
      <c r="O1033" s="4">
        <f>IF(J1033&lt;=G1033,1,0)</f>
        <v/>
      </c>
      <c r="P1033" s="4">
        <f>MAX(0,I1033-H1033)</f>
        <v/>
      </c>
      <c r="Q1033" s="4">
        <f>MAX(0,J1033-G1033)</f>
        <v/>
      </c>
      <c r="R1033" s="4">
        <f>IF(AND(N1033=1,O1033=1),"On Track",IF(O1033=0,"Customer Delivery Late","Ship Late"))</f>
        <v/>
      </c>
    </row>
    <row r="1034">
      <c r="A1034" s="2" t="inlineStr">
        <is>
          <t>ORD-01033</t>
        </is>
      </c>
      <c r="B1034" s="2" t="inlineStr">
        <is>
          <t>Customer 23</t>
        </is>
      </c>
      <c r="C1034" s="2" t="inlineStr">
        <is>
          <t>Contactor</t>
        </is>
      </c>
      <c r="D1034" s="2" t="inlineStr">
        <is>
          <t>Plant C</t>
        </is>
      </c>
      <c r="E1034" s="2" t="inlineStr">
        <is>
          <t>Export</t>
        </is>
      </c>
      <c r="F1034" s="12" t="n">
        <v>46048</v>
      </c>
      <c r="G1034" s="12" t="n">
        <v>46064</v>
      </c>
      <c r="H1034" s="12" t="n">
        <v>46061</v>
      </c>
      <c r="I1034" s="12" t="n">
        <v>46059</v>
      </c>
      <c r="J1034" s="12" t="n">
        <v>46062</v>
      </c>
      <c r="K1034" s="2" t="n">
        <v>975</v>
      </c>
      <c r="L1034" s="2" t="inlineStr">
        <is>
          <t>Road</t>
        </is>
      </c>
      <c r="M1034" s="2" t="inlineStr">
        <is>
          <t>No Delay</t>
        </is>
      </c>
      <c r="N1034" s="4">
        <f>IF(I1034&lt;=H1034,1,0)</f>
        <v/>
      </c>
      <c r="O1034" s="4">
        <f>IF(J1034&lt;=G1034,1,0)</f>
        <v/>
      </c>
      <c r="P1034" s="4">
        <f>MAX(0,I1034-H1034)</f>
        <v/>
      </c>
      <c r="Q1034" s="4">
        <f>MAX(0,J1034-G1034)</f>
        <v/>
      </c>
      <c r="R1034" s="4">
        <f>IF(AND(N1034=1,O1034=1),"On Track",IF(O1034=0,"Customer Delivery Late","Ship Late"))</f>
        <v/>
      </c>
    </row>
    <row r="1035">
      <c r="A1035" s="2" t="inlineStr">
        <is>
          <t>ORD-01034</t>
        </is>
      </c>
      <c r="B1035" s="2" t="inlineStr">
        <is>
          <t>Customer 05</t>
        </is>
      </c>
      <c r="C1035" s="2" t="inlineStr">
        <is>
          <t>Switchgear</t>
        </is>
      </c>
      <c r="D1035" s="2" t="inlineStr">
        <is>
          <t>Plant A</t>
        </is>
      </c>
      <c r="E1035" s="2" t="inlineStr">
        <is>
          <t>North</t>
        </is>
      </c>
      <c r="F1035" s="12" t="n">
        <v>46093</v>
      </c>
      <c r="G1035" s="12" t="n">
        <v>46118</v>
      </c>
      <c r="H1035" s="12" t="n">
        <v>46115</v>
      </c>
      <c r="I1035" s="12" t="n">
        <v>46113</v>
      </c>
      <c r="J1035" s="12" t="n">
        <v>46123</v>
      </c>
      <c r="K1035" s="2" t="n">
        <v>1231</v>
      </c>
      <c r="L1035" s="2" t="inlineStr">
        <is>
          <t>Road</t>
        </is>
      </c>
      <c r="M1035" s="2" t="inlineStr">
        <is>
          <t>Production Delay</t>
        </is>
      </c>
      <c r="N1035" s="4">
        <f>IF(I1035&lt;=H1035,1,0)</f>
        <v/>
      </c>
      <c r="O1035" s="4">
        <f>IF(J1035&lt;=G1035,1,0)</f>
        <v/>
      </c>
      <c r="P1035" s="4">
        <f>MAX(0,I1035-H1035)</f>
        <v/>
      </c>
      <c r="Q1035" s="4">
        <f>MAX(0,J1035-G1035)</f>
        <v/>
      </c>
      <c r="R1035" s="4">
        <f>IF(AND(N1035=1,O1035=1),"On Track",IF(O1035=0,"Customer Delivery Late","Ship Late"))</f>
        <v/>
      </c>
    </row>
    <row r="1036">
      <c r="A1036" s="2" t="inlineStr">
        <is>
          <t>ORD-01035</t>
        </is>
      </c>
      <c r="B1036" s="2" t="inlineStr">
        <is>
          <t>Customer 17</t>
        </is>
      </c>
      <c r="C1036" s="2" t="inlineStr">
        <is>
          <t>Relay</t>
        </is>
      </c>
      <c r="D1036" s="2" t="inlineStr">
        <is>
          <t>Plant C</t>
        </is>
      </c>
      <c r="E1036" s="2" t="inlineStr">
        <is>
          <t>Central</t>
        </is>
      </c>
      <c r="F1036" s="12" t="n">
        <v>46192</v>
      </c>
      <c r="G1036" s="12" t="n">
        <v>46206</v>
      </c>
      <c r="H1036" s="12" t="n">
        <v>46203</v>
      </c>
      <c r="I1036" s="12" t="n">
        <v>46201</v>
      </c>
      <c r="J1036" s="12" t="n">
        <v>46204</v>
      </c>
      <c r="K1036" s="2" t="n">
        <v>757</v>
      </c>
      <c r="L1036" s="2" t="inlineStr">
        <is>
          <t>Road</t>
        </is>
      </c>
      <c r="M1036" s="2" t="inlineStr">
        <is>
          <t>No Delay</t>
        </is>
      </c>
      <c r="N1036" s="4">
        <f>IF(I1036&lt;=H1036,1,0)</f>
        <v/>
      </c>
      <c r="O1036" s="4">
        <f>IF(J1036&lt;=G1036,1,0)</f>
        <v/>
      </c>
      <c r="P1036" s="4">
        <f>MAX(0,I1036-H1036)</f>
        <v/>
      </c>
      <c r="Q1036" s="4">
        <f>MAX(0,J1036-G1036)</f>
        <v/>
      </c>
      <c r="R1036" s="4">
        <f>IF(AND(N1036=1,O1036=1),"On Track",IF(O1036=0,"Customer Delivery Late","Ship Late"))</f>
        <v/>
      </c>
    </row>
    <row r="1037">
      <c r="A1037" s="2" t="inlineStr">
        <is>
          <t>ORD-01036</t>
        </is>
      </c>
      <c r="B1037" s="2" t="inlineStr">
        <is>
          <t>Customer 01</t>
        </is>
      </c>
      <c r="C1037" s="2" t="inlineStr">
        <is>
          <t>Breaker</t>
        </is>
      </c>
      <c r="D1037" s="2" t="inlineStr">
        <is>
          <t>Plant B</t>
        </is>
      </c>
      <c r="E1037" s="2" t="inlineStr">
        <is>
          <t>North</t>
        </is>
      </c>
      <c r="F1037" s="12" t="n">
        <v>46064</v>
      </c>
      <c r="G1037" s="12" t="n">
        <v>46069</v>
      </c>
      <c r="H1037" s="12" t="n">
        <v>46065</v>
      </c>
      <c r="I1037" s="12" t="n">
        <v>46064</v>
      </c>
      <c r="J1037" s="12" t="n">
        <v>46068</v>
      </c>
      <c r="K1037" s="2" t="n">
        <v>973</v>
      </c>
      <c r="L1037" s="2" t="inlineStr">
        <is>
          <t>Road</t>
        </is>
      </c>
      <c r="M1037" s="2" t="inlineStr">
        <is>
          <t>No Delay</t>
        </is>
      </c>
      <c r="N1037" s="4">
        <f>IF(I1037&lt;=H1037,1,0)</f>
        <v/>
      </c>
      <c r="O1037" s="4">
        <f>IF(J1037&lt;=G1037,1,0)</f>
        <v/>
      </c>
      <c r="P1037" s="4">
        <f>MAX(0,I1037-H1037)</f>
        <v/>
      </c>
      <c r="Q1037" s="4">
        <f>MAX(0,J1037-G1037)</f>
        <v/>
      </c>
      <c r="R1037" s="4">
        <f>IF(AND(N1037=1,O1037=1),"On Track",IF(O1037=0,"Customer Delivery Late","Ship Late"))</f>
        <v/>
      </c>
    </row>
    <row r="1038">
      <c r="A1038" s="2" t="inlineStr">
        <is>
          <t>ORD-01037</t>
        </is>
      </c>
      <c r="B1038" s="2" t="inlineStr">
        <is>
          <t>Customer 12</t>
        </is>
      </c>
      <c r="C1038" s="2" t="inlineStr">
        <is>
          <t>PLC</t>
        </is>
      </c>
      <c r="D1038" s="2" t="inlineStr">
        <is>
          <t>Plant A</t>
        </is>
      </c>
      <c r="E1038" s="2" t="inlineStr">
        <is>
          <t>Export</t>
        </is>
      </c>
      <c r="F1038" s="12" t="n">
        <v>46059</v>
      </c>
      <c r="G1038" s="12" t="n">
        <v>46077</v>
      </c>
      <c r="H1038" s="12" t="n">
        <v>46076</v>
      </c>
      <c r="I1038" s="12" t="n">
        <v>46076</v>
      </c>
      <c r="J1038" s="12" t="n">
        <v>46077</v>
      </c>
      <c r="K1038" s="2" t="n">
        <v>145</v>
      </c>
      <c r="L1038" s="2" t="inlineStr">
        <is>
          <t>Road</t>
        </is>
      </c>
      <c r="M1038" s="2" t="inlineStr">
        <is>
          <t>No Delay</t>
        </is>
      </c>
      <c r="N1038" s="4">
        <f>IF(I1038&lt;=H1038,1,0)</f>
        <v/>
      </c>
      <c r="O1038" s="4">
        <f>IF(J1038&lt;=G1038,1,0)</f>
        <v/>
      </c>
      <c r="P1038" s="4">
        <f>MAX(0,I1038-H1038)</f>
        <v/>
      </c>
      <c r="Q1038" s="4">
        <f>MAX(0,J1038-G1038)</f>
        <v/>
      </c>
      <c r="R1038" s="4">
        <f>IF(AND(N1038=1,O1038=1),"On Track",IF(O1038=0,"Customer Delivery Late","Ship Late"))</f>
        <v/>
      </c>
    </row>
    <row r="1039">
      <c r="A1039" s="2" t="inlineStr">
        <is>
          <t>ORD-01038</t>
        </is>
      </c>
      <c r="B1039" s="2" t="inlineStr">
        <is>
          <t>Customer 26</t>
        </is>
      </c>
      <c r="C1039" s="2" t="inlineStr">
        <is>
          <t>Breaker</t>
        </is>
      </c>
      <c r="D1039" s="2" t="inlineStr">
        <is>
          <t>Plant B</t>
        </is>
      </c>
      <c r="E1039" s="2" t="inlineStr">
        <is>
          <t>Export</t>
        </is>
      </c>
      <c r="F1039" s="12" t="n">
        <v>46144</v>
      </c>
      <c r="G1039" s="12" t="n">
        <v>46163</v>
      </c>
      <c r="H1039" s="12" t="n">
        <v>46159</v>
      </c>
      <c r="I1039" s="12" t="n">
        <v>46159</v>
      </c>
      <c r="J1039" s="12" t="n">
        <v>46163</v>
      </c>
      <c r="K1039" s="2" t="n">
        <v>971</v>
      </c>
      <c r="L1039" s="2" t="inlineStr">
        <is>
          <t>Air</t>
        </is>
      </c>
      <c r="M1039" s="2" t="inlineStr">
        <is>
          <t>No Delay</t>
        </is>
      </c>
      <c r="N1039" s="4">
        <f>IF(I1039&lt;=H1039,1,0)</f>
        <v/>
      </c>
      <c r="O1039" s="4">
        <f>IF(J1039&lt;=G1039,1,0)</f>
        <v/>
      </c>
      <c r="P1039" s="4">
        <f>MAX(0,I1039-H1039)</f>
        <v/>
      </c>
      <c r="Q1039" s="4">
        <f>MAX(0,J1039-G1039)</f>
        <v/>
      </c>
      <c r="R1039" s="4">
        <f>IF(AND(N1039=1,O1039=1),"On Track",IF(O1039=0,"Customer Delivery Late","Ship Late"))</f>
        <v/>
      </c>
    </row>
    <row r="1040">
      <c r="A1040" s="2" t="inlineStr">
        <is>
          <t>ORD-01039</t>
        </is>
      </c>
      <c r="B1040" s="2" t="inlineStr">
        <is>
          <t>Customer 27</t>
        </is>
      </c>
      <c r="C1040" s="2" t="inlineStr">
        <is>
          <t>PLC</t>
        </is>
      </c>
      <c r="D1040" s="2" t="inlineStr">
        <is>
          <t>Plant A</t>
        </is>
      </c>
      <c r="E1040" s="2" t="inlineStr">
        <is>
          <t>Central</t>
        </is>
      </c>
      <c r="F1040" s="12" t="n">
        <v>46055</v>
      </c>
      <c r="G1040" s="12" t="n">
        <v>46070</v>
      </c>
      <c r="H1040" s="12" t="n">
        <v>46065</v>
      </c>
      <c r="I1040" s="12" t="n">
        <v>46065</v>
      </c>
      <c r="J1040" s="12" t="n">
        <v>46070</v>
      </c>
      <c r="K1040" s="2" t="n">
        <v>1064</v>
      </c>
      <c r="L1040" s="2" t="inlineStr">
        <is>
          <t>Road</t>
        </is>
      </c>
      <c r="M1040" s="2" t="inlineStr">
        <is>
          <t>No Delay</t>
        </is>
      </c>
      <c r="N1040" s="4">
        <f>IF(I1040&lt;=H1040,1,0)</f>
        <v/>
      </c>
      <c r="O1040" s="4">
        <f>IF(J1040&lt;=G1040,1,0)</f>
        <v/>
      </c>
      <c r="P1040" s="4">
        <f>MAX(0,I1040-H1040)</f>
        <v/>
      </c>
      <c r="Q1040" s="4">
        <f>MAX(0,J1040-G1040)</f>
        <v/>
      </c>
      <c r="R1040" s="4">
        <f>IF(AND(N1040=1,O1040=1),"On Track",IF(O1040=0,"Customer Delivery Late","Ship Late"))</f>
        <v/>
      </c>
    </row>
    <row r="1041">
      <c r="A1041" s="2" t="inlineStr">
        <is>
          <t>ORD-01040</t>
        </is>
      </c>
      <c r="B1041" s="2" t="inlineStr">
        <is>
          <t>Customer 04</t>
        </is>
      </c>
      <c r="C1041" s="2" t="inlineStr">
        <is>
          <t>PLC</t>
        </is>
      </c>
      <c r="D1041" s="2" t="inlineStr">
        <is>
          <t>Plant A</t>
        </is>
      </c>
      <c r="E1041" s="2" t="inlineStr">
        <is>
          <t>South</t>
        </is>
      </c>
      <c r="F1041" s="12" t="n">
        <v>46059</v>
      </c>
      <c r="G1041" s="12" t="n">
        <v>46071</v>
      </c>
      <c r="H1041" s="12" t="n">
        <v>46070</v>
      </c>
      <c r="I1041" s="12" t="n">
        <v>46070</v>
      </c>
      <c r="J1041" s="12" t="n">
        <v>46071</v>
      </c>
      <c r="K1041" s="2" t="n">
        <v>388</v>
      </c>
      <c r="L1041" s="2" t="inlineStr">
        <is>
          <t>Sea</t>
        </is>
      </c>
      <c r="M1041" s="2" t="inlineStr">
        <is>
          <t>No Delay</t>
        </is>
      </c>
      <c r="N1041" s="4">
        <f>IF(I1041&lt;=H1041,1,0)</f>
        <v/>
      </c>
      <c r="O1041" s="4">
        <f>IF(J1041&lt;=G1041,1,0)</f>
        <v/>
      </c>
      <c r="P1041" s="4">
        <f>MAX(0,I1041-H1041)</f>
        <v/>
      </c>
      <c r="Q1041" s="4">
        <f>MAX(0,J1041-G1041)</f>
        <v/>
      </c>
      <c r="R1041" s="4">
        <f>IF(AND(N1041=1,O1041=1),"On Track",IF(O1041=0,"Customer Delivery Late","Ship Late"))</f>
        <v/>
      </c>
    </row>
    <row r="1042">
      <c r="A1042" s="2" t="inlineStr">
        <is>
          <t>ORD-01041</t>
        </is>
      </c>
      <c r="B1042" s="2" t="inlineStr">
        <is>
          <t>Customer 12</t>
        </is>
      </c>
      <c r="C1042" s="2" t="inlineStr">
        <is>
          <t>Relay</t>
        </is>
      </c>
      <c r="D1042" s="2" t="inlineStr">
        <is>
          <t>Plant C</t>
        </is>
      </c>
      <c r="E1042" s="2" t="inlineStr">
        <is>
          <t>North</t>
        </is>
      </c>
      <c r="F1042" s="12" t="n">
        <v>46191</v>
      </c>
      <c r="G1042" s="12" t="n">
        <v>46205</v>
      </c>
      <c r="H1042" s="12" t="n">
        <v>46202</v>
      </c>
      <c r="I1042" s="12" t="n">
        <v>46201</v>
      </c>
      <c r="J1042" s="12" t="n">
        <v>46204</v>
      </c>
      <c r="K1042" s="2" t="n">
        <v>798</v>
      </c>
      <c r="L1042" s="2" t="inlineStr">
        <is>
          <t>Sea</t>
        </is>
      </c>
      <c r="M1042" s="2" t="inlineStr">
        <is>
          <t>No Delay</t>
        </is>
      </c>
      <c r="N1042" s="4">
        <f>IF(I1042&lt;=H1042,1,0)</f>
        <v/>
      </c>
      <c r="O1042" s="4">
        <f>IF(J1042&lt;=G1042,1,0)</f>
        <v/>
      </c>
      <c r="P1042" s="4">
        <f>MAX(0,I1042-H1042)</f>
        <v/>
      </c>
      <c r="Q1042" s="4">
        <f>MAX(0,J1042-G1042)</f>
        <v/>
      </c>
      <c r="R1042" s="4">
        <f>IF(AND(N1042=1,O1042=1),"On Track",IF(O1042=0,"Customer Delivery Late","Ship Late"))</f>
        <v/>
      </c>
    </row>
    <row r="1043">
      <c r="A1043" s="2" t="inlineStr">
        <is>
          <t>ORD-01042</t>
        </is>
      </c>
      <c r="B1043" s="2" t="inlineStr">
        <is>
          <t>Customer 11</t>
        </is>
      </c>
      <c r="C1043" s="2" t="inlineStr">
        <is>
          <t>Breaker</t>
        </is>
      </c>
      <c r="D1043" s="2" t="inlineStr">
        <is>
          <t>Plant C</t>
        </is>
      </c>
      <c r="E1043" s="2" t="inlineStr">
        <is>
          <t>Export</t>
        </is>
      </c>
      <c r="F1043" s="12" t="n">
        <v>46035</v>
      </c>
      <c r="G1043" s="12" t="n">
        <v>46046</v>
      </c>
      <c r="H1043" s="12" t="n">
        <v>46044</v>
      </c>
      <c r="I1043" s="12" t="n">
        <v>46044</v>
      </c>
      <c r="J1043" s="12" t="n">
        <v>46046</v>
      </c>
      <c r="K1043" s="2" t="n">
        <v>1000</v>
      </c>
      <c r="L1043" s="2" t="inlineStr">
        <is>
          <t>Air</t>
        </is>
      </c>
      <c r="M1043" s="2" t="inlineStr">
        <is>
          <t>No Delay</t>
        </is>
      </c>
      <c r="N1043" s="4">
        <f>IF(I1043&lt;=H1043,1,0)</f>
        <v/>
      </c>
      <c r="O1043" s="4">
        <f>IF(J1043&lt;=G1043,1,0)</f>
        <v/>
      </c>
      <c r="P1043" s="4">
        <f>MAX(0,I1043-H1043)</f>
        <v/>
      </c>
      <c r="Q1043" s="4">
        <f>MAX(0,J1043-G1043)</f>
        <v/>
      </c>
      <c r="R1043" s="4">
        <f>IF(AND(N1043=1,O1043=1),"On Track",IF(O1043=0,"Customer Delivery Late","Ship Late"))</f>
        <v/>
      </c>
    </row>
    <row r="1044">
      <c r="A1044" s="2" t="inlineStr">
        <is>
          <t>ORD-01043</t>
        </is>
      </c>
      <c r="B1044" s="2" t="inlineStr">
        <is>
          <t>Customer 15</t>
        </is>
      </c>
      <c r="C1044" s="2" t="inlineStr">
        <is>
          <t>Contactor</t>
        </is>
      </c>
      <c r="D1044" s="2" t="inlineStr">
        <is>
          <t>Plant C</t>
        </is>
      </c>
      <c r="E1044" s="2" t="inlineStr">
        <is>
          <t>South</t>
        </is>
      </c>
      <c r="F1044" s="12" t="n">
        <v>46071</v>
      </c>
      <c r="G1044" s="12" t="n">
        <v>46096</v>
      </c>
      <c r="H1044" s="12" t="n">
        <v>46091</v>
      </c>
      <c r="I1044" s="12" t="n">
        <v>46089</v>
      </c>
      <c r="J1044" s="12" t="n">
        <v>46095</v>
      </c>
      <c r="K1044" s="2" t="n">
        <v>1352</v>
      </c>
      <c r="L1044" s="2" t="inlineStr">
        <is>
          <t>Sea</t>
        </is>
      </c>
      <c r="M1044" s="2" t="inlineStr">
        <is>
          <t>No Delay</t>
        </is>
      </c>
      <c r="N1044" s="4">
        <f>IF(I1044&lt;=H1044,1,0)</f>
        <v/>
      </c>
      <c r="O1044" s="4">
        <f>IF(J1044&lt;=G1044,1,0)</f>
        <v/>
      </c>
      <c r="P1044" s="4">
        <f>MAX(0,I1044-H1044)</f>
        <v/>
      </c>
      <c r="Q1044" s="4">
        <f>MAX(0,J1044-G1044)</f>
        <v/>
      </c>
      <c r="R1044" s="4">
        <f>IF(AND(N1044=1,O1044=1),"On Track",IF(O1044=0,"Customer Delivery Late","Ship Late"))</f>
        <v/>
      </c>
    </row>
    <row r="1045">
      <c r="A1045" s="2" t="inlineStr">
        <is>
          <t>ORD-01044</t>
        </is>
      </c>
      <c r="B1045" s="2" t="inlineStr">
        <is>
          <t>Customer 11</t>
        </is>
      </c>
      <c r="C1045" s="2" t="inlineStr">
        <is>
          <t>Sensor</t>
        </is>
      </c>
      <c r="D1045" s="2" t="inlineStr">
        <is>
          <t>Plant A</t>
        </is>
      </c>
      <c r="E1045" s="2" t="inlineStr">
        <is>
          <t>South</t>
        </is>
      </c>
      <c r="F1045" s="12" t="n">
        <v>46109</v>
      </c>
      <c r="G1045" s="12" t="n">
        <v>46124</v>
      </c>
      <c r="H1045" s="12" t="n">
        <v>46122</v>
      </c>
      <c r="I1045" s="12" t="n">
        <v>46121</v>
      </c>
      <c r="J1045" s="12" t="n">
        <v>46122</v>
      </c>
      <c r="K1045" s="2" t="n">
        <v>883</v>
      </c>
      <c r="L1045" s="2" t="inlineStr">
        <is>
          <t>Sea</t>
        </is>
      </c>
      <c r="M1045" s="2" t="inlineStr">
        <is>
          <t>No Delay</t>
        </is>
      </c>
      <c r="N1045" s="4">
        <f>IF(I1045&lt;=H1045,1,0)</f>
        <v/>
      </c>
      <c r="O1045" s="4">
        <f>IF(J1045&lt;=G1045,1,0)</f>
        <v/>
      </c>
      <c r="P1045" s="4">
        <f>MAX(0,I1045-H1045)</f>
        <v/>
      </c>
      <c r="Q1045" s="4">
        <f>MAX(0,J1045-G1045)</f>
        <v/>
      </c>
      <c r="R1045" s="4">
        <f>IF(AND(N1045=1,O1045=1),"On Track",IF(O1045=0,"Customer Delivery Late","Ship Late"))</f>
        <v/>
      </c>
    </row>
    <row r="1046">
      <c r="A1046" s="2" t="inlineStr">
        <is>
          <t>ORD-01045</t>
        </is>
      </c>
      <c r="B1046" s="2" t="inlineStr">
        <is>
          <t>Customer 10</t>
        </is>
      </c>
      <c r="C1046" s="2" t="inlineStr">
        <is>
          <t>Relay</t>
        </is>
      </c>
      <c r="D1046" s="2" t="inlineStr">
        <is>
          <t>Plant B</t>
        </is>
      </c>
      <c r="E1046" s="2" t="inlineStr">
        <is>
          <t>South</t>
        </is>
      </c>
      <c r="F1046" s="12" t="n">
        <v>46029</v>
      </c>
      <c r="G1046" s="12" t="n">
        <v>46051</v>
      </c>
      <c r="H1046" s="12" t="n">
        <v>46049</v>
      </c>
      <c r="I1046" s="12" t="n">
        <v>46048</v>
      </c>
      <c r="J1046" s="12" t="n">
        <v>46049</v>
      </c>
      <c r="K1046" s="2" t="n">
        <v>936</v>
      </c>
      <c r="L1046" s="2" t="inlineStr">
        <is>
          <t>Air</t>
        </is>
      </c>
      <c r="M1046" s="2" t="inlineStr">
        <is>
          <t>No Delay</t>
        </is>
      </c>
      <c r="N1046" s="4">
        <f>IF(I1046&lt;=H1046,1,0)</f>
        <v/>
      </c>
      <c r="O1046" s="4">
        <f>IF(J1046&lt;=G1046,1,0)</f>
        <v/>
      </c>
      <c r="P1046" s="4">
        <f>MAX(0,I1046-H1046)</f>
        <v/>
      </c>
      <c r="Q1046" s="4">
        <f>MAX(0,J1046-G1046)</f>
        <v/>
      </c>
      <c r="R1046" s="4">
        <f>IF(AND(N1046=1,O1046=1),"On Track",IF(O1046=0,"Customer Delivery Late","Ship Late"))</f>
        <v/>
      </c>
    </row>
    <row r="1047">
      <c r="A1047" s="2" t="inlineStr">
        <is>
          <t>ORD-01046</t>
        </is>
      </c>
      <c r="B1047" s="2" t="inlineStr">
        <is>
          <t>Customer 08</t>
        </is>
      </c>
      <c r="C1047" s="2" t="inlineStr">
        <is>
          <t>Breaker</t>
        </is>
      </c>
      <c r="D1047" s="2" t="inlineStr">
        <is>
          <t>Plant A</t>
        </is>
      </c>
      <c r="E1047" s="2" t="inlineStr">
        <is>
          <t>South</t>
        </is>
      </c>
      <c r="F1047" s="12" t="n">
        <v>46164</v>
      </c>
      <c r="G1047" s="12" t="n">
        <v>46171</v>
      </c>
      <c r="H1047" s="12" t="n">
        <v>46166</v>
      </c>
      <c r="I1047" s="12" t="n">
        <v>46166</v>
      </c>
      <c r="J1047" s="12" t="n">
        <v>46171</v>
      </c>
      <c r="K1047" s="2" t="n">
        <v>1086</v>
      </c>
      <c r="L1047" s="2" t="inlineStr">
        <is>
          <t>Sea</t>
        </is>
      </c>
      <c r="M1047" s="2" t="inlineStr">
        <is>
          <t>No Delay</t>
        </is>
      </c>
      <c r="N1047" s="4">
        <f>IF(I1047&lt;=H1047,1,0)</f>
        <v/>
      </c>
      <c r="O1047" s="4">
        <f>IF(J1047&lt;=G1047,1,0)</f>
        <v/>
      </c>
      <c r="P1047" s="4">
        <f>MAX(0,I1047-H1047)</f>
        <v/>
      </c>
      <c r="Q1047" s="4">
        <f>MAX(0,J1047-G1047)</f>
        <v/>
      </c>
      <c r="R1047" s="4">
        <f>IF(AND(N1047=1,O1047=1),"On Track",IF(O1047=0,"Customer Delivery Late","Ship Late"))</f>
        <v/>
      </c>
    </row>
    <row r="1048">
      <c r="A1048" s="2" t="inlineStr">
        <is>
          <t>ORD-01047</t>
        </is>
      </c>
      <c r="B1048" s="2" t="inlineStr">
        <is>
          <t>Customer 06</t>
        </is>
      </c>
      <c r="C1048" s="2" t="inlineStr">
        <is>
          <t>Drive</t>
        </is>
      </c>
      <c r="D1048" s="2" t="inlineStr">
        <is>
          <t>Plant A</t>
        </is>
      </c>
      <c r="E1048" s="2" t="inlineStr">
        <is>
          <t>North</t>
        </is>
      </c>
      <c r="F1048" s="12" t="n">
        <v>46061</v>
      </c>
      <c r="G1048" s="12" t="n">
        <v>46084</v>
      </c>
      <c r="H1048" s="12" t="n">
        <v>46079</v>
      </c>
      <c r="I1048" s="12" t="n">
        <v>46079</v>
      </c>
      <c r="J1048" s="12" t="n">
        <v>46085</v>
      </c>
      <c r="K1048" s="2" t="n">
        <v>1403</v>
      </c>
      <c r="L1048" s="2" t="inlineStr">
        <is>
          <t>Road</t>
        </is>
      </c>
      <c r="M1048" s="2" t="inlineStr">
        <is>
          <t>Capacity Constraint</t>
        </is>
      </c>
      <c r="N1048" s="4">
        <f>IF(I1048&lt;=H1048,1,0)</f>
        <v/>
      </c>
      <c r="O1048" s="4">
        <f>IF(J1048&lt;=G1048,1,0)</f>
        <v/>
      </c>
      <c r="P1048" s="4">
        <f>MAX(0,I1048-H1048)</f>
        <v/>
      </c>
      <c r="Q1048" s="4">
        <f>MAX(0,J1048-G1048)</f>
        <v/>
      </c>
      <c r="R1048" s="4">
        <f>IF(AND(N1048=1,O1048=1),"On Track",IF(O1048=0,"Customer Delivery Late","Ship Late"))</f>
        <v/>
      </c>
    </row>
    <row r="1049">
      <c r="A1049" s="2" t="inlineStr">
        <is>
          <t>ORD-01048</t>
        </is>
      </c>
      <c r="B1049" s="2" t="inlineStr">
        <is>
          <t>Customer 14</t>
        </is>
      </c>
      <c r="C1049" s="2" t="inlineStr">
        <is>
          <t>PLC</t>
        </is>
      </c>
      <c r="D1049" s="2" t="inlineStr">
        <is>
          <t>Plant B</t>
        </is>
      </c>
      <c r="E1049" s="2" t="inlineStr">
        <is>
          <t>North</t>
        </is>
      </c>
      <c r="F1049" s="12" t="n">
        <v>46185</v>
      </c>
      <c r="G1049" s="12" t="n">
        <v>46210</v>
      </c>
      <c r="H1049" s="12" t="n">
        <v>46205</v>
      </c>
      <c r="I1049" s="12" t="n">
        <v>46205</v>
      </c>
      <c r="J1049" s="12" t="n">
        <v>46211</v>
      </c>
      <c r="K1049" s="2" t="n">
        <v>830</v>
      </c>
      <c r="L1049" s="2" t="inlineStr">
        <is>
          <t>Air</t>
        </is>
      </c>
      <c r="M1049" s="2" t="inlineStr">
        <is>
          <t>Capacity Constraint</t>
        </is>
      </c>
      <c r="N1049" s="4">
        <f>IF(I1049&lt;=H1049,1,0)</f>
        <v/>
      </c>
      <c r="O1049" s="4">
        <f>IF(J1049&lt;=G1049,1,0)</f>
        <v/>
      </c>
      <c r="P1049" s="4">
        <f>MAX(0,I1049-H1049)</f>
        <v/>
      </c>
      <c r="Q1049" s="4">
        <f>MAX(0,J1049-G1049)</f>
        <v/>
      </c>
      <c r="R1049" s="4">
        <f>IF(AND(N1049=1,O1049=1),"On Track",IF(O1049=0,"Customer Delivery Late","Ship Late"))</f>
        <v/>
      </c>
    </row>
    <row r="1050">
      <c r="A1050" s="2" t="inlineStr">
        <is>
          <t>ORD-01049</t>
        </is>
      </c>
      <c r="B1050" s="2" t="inlineStr">
        <is>
          <t>Customer 10</t>
        </is>
      </c>
      <c r="C1050" s="2" t="inlineStr">
        <is>
          <t>Breaker</t>
        </is>
      </c>
      <c r="D1050" s="2" t="inlineStr">
        <is>
          <t>Plant A</t>
        </is>
      </c>
      <c r="E1050" s="2" t="inlineStr">
        <is>
          <t>South</t>
        </is>
      </c>
      <c r="F1050" s="12" t="n">
        <v>46122</v>
      </c>
      <c r="G1050" s="12" t="n">
        <v>46143</v>
      </c>
      <c r="H1050" s="12" t="n">
        <v>46139</v>
      </c>
      <c r="I1050" s="12" t="n">
        <v>46138</v>
      </c>
      <c r="J1050" s="12" t="n">
        <v>46142</v>
      </c>
      <c r="K1050" s="2" t="n">
        <v>1460</v>
      </c>
      <c r="L1050" s="2" t="inlineStr">
        <is>
          <t>Sea</t>
        </is>
      </c>
      <c r="M1050" s="2" t="inlineStr">
        <is>
          <t>No Delay</t>
        </is>
      </c>
      <c r="N1050" s="4">
        <f>IF(I1050&lt;=H1050,1,0)</f>
        <v/>
      </c>
      <c r="O1050" s="4">
        <f>IF(J1050&lt;=G1050,1,0)</f>
        <v/>
      </c>
      <c r="P1050" s="4">
        <f>MAX(0,I1050-H1050)</f>
        <v/>
      </c>
      <c r="Q1050" s="4">
        <f>MAX(0,J1050-G1050)</f>
        <v/>
      </c>
      <c r="R1050" s="4">
        <f>IF(AND(N1050=1,O1050=1),"On Track",IF(O1050=0,"Customer Delivery Late","Ship Late"))</f>
        <v/>
      </c>
    </row>
    <row r="1051">
      <c r="A1051" s="2" t="inlineStr">
        <is>
          <t>ORD-01050</t>
        </is>
      </c>
      <c r="B1051" s="2" t="inlineStr">
        <is>
          <t>Customer 05</t>
        </is>
      </c>
      <c r="C1051" s="2" t="inlineStr">
        <is>
          <t>Relay</t>
        </is>
      </c>
      <c r="D1051" s="2" t="inlineStr">
        <is>
          <t>Plant B</t>
        </is>
      </c>
      <c r="E1051" s="2" t="inlineStr">
        <is>
          <t>Central</t>
        </is>
      </c>
      <c r="F1051" s="12" t="n">
        <v>46194</v>
      </c>
      <c r="G1051" s="12" t="n">
        <v>46208</v>
      </c>
      <c r="H1051" s="12" t="n">
        <v>46206</v>
      </c>
      <c r="I1051" s="12" t="n">
        <v>46206</v>
      </c>
      <c r="J1051" s="12" t="n">
        <v>46207</v>
      </c>
      <c r="K1051" s="2" t="n">
        <v>506</v>
      </c>
      <c r="L1051" s="2" t="inlineStr">
        <is>
          <t>Air</t>
        </is>
      </c>
      <c r="M1051" s="2" t="inlineStr">
        <is>
          <t>No Delay</t>
        </is>
      </c>
      <c r="N1051" s="4">
        <f>IF(I1051&lt;=H1051,1,0)</f>
        <v/>
      </c>
      <c r="O1051" s="4">
        <f>IF(J1051&lt;=G1051,1,0)</f>
        <v/>
      </c>
      <c r="P1051" s="4">
        <f>MAX(0,I1051-H1051)</f>
        <v/>
      </c>
      <c r="Q1051" s="4">
        <f>MAX(0,J1051-G1051)</f>
        <v/>
      </c>
      <c r="R1051" s="4">
        <f>IF(AND(N1051=1,O1051=1),"On Track",IF(O1051=0,"Customer Delivery Late","Ship Late"))</f>
        <v/>
      </c>
    </row>
    <row r="1052">
      <c r="A1052" s="2" t="inlineStr">
        <is>
          <t>ORD-01051</t>
        </is>
      </c>
      <c r="B1052" s="2" t="inlineStr">
        <is>
          <t>Customer 09</t>
        </is>
      </c>
      <c r="C1052" s="2" t="inlineStr">
        <is>
          <t>Relay</t>
        </is>
      </c>
      <c r="D1052" s="2" t="inlineStr">
        <is>
          <t>Plant B</t>
        </is>
      </c>
      <c r="E1052" s="2" t="inlineStr">
        <is>
          <t>North</t>
        </is>
      </c>
      <c r="F1052" s="12" t="n">
        <v>46063</v>
      </c>
      <c r="G1052" s="12" t="n">
        <v>46088</v>
      </c>
      <c r="H1052" s="12" t="n">
        <v>46084</v>
      </c>
      <c r="I1052" s="12" t="n">
        <v>46082</v>
      </c>
      <c r="J1052" s="12" t="n">
        <v>46086</v>
      </c>
      <c r="K1052" s="2" t="n">
        <v>1496</v>
      </c>
      <c r="L1052" s="2" t="inlineStr">
        <is>
          <t>Sea</t>
        </is>
      </c>
      <c r="M1052" s="2" t="inlineStr">
        <is>
          <t>No Delay</t>
        </is>
      </c>
      <c r="N1052" s="4">
        <f>IF(I1052&lt;=H1052,1,0)</f>
        <v/>
      </c>
      <c r="O1052" s="4">
        <f>IF(J1052&lt;=G1052,1,0)</f>
        <v/>
      </c>
      <c r="P1052" s="4">
        <f>MAX(0,I1052-H1052)</f>
        <v/>
      </c>
      <c r="Q1052" s="4">
        <f>MAX(0,J1052-G1052)</f>
        <v/>
      </c>
      <c r="R1052" s="4">
        <f>IF(AND(N1052=1,O1052=1),"On Track",IF(O1052=0,"Customer Delivery Late","Ship Late"))</f>
        <v/>
      </c>
    </row>
    <row r="1053">
      <c r="A1053" s="2" t="inlineStr">
        <is>
          <t>ORD-01052</t>
        </is>
      </c>
      <c r="B1053" s="2" t="inlineStr">
        <is>
          <t>Customer 10</t>
        </is>
      </c>
      <c r="C1053" s="2" t="inlineStr">
        <is>
          <t>Contactor</t>
        </is>
      </c>
      <c r="D1053" s="2" t="inlineStr">
        <is>
          <t>Plant C</t>
        </is>
      </c>
      <c r="E1053" s="2" t="inlineStr">
        <is>
          <t>Export</t>
        </is>
      </c>
      <c r="F1053" s="12" t="n">
        <v>46172</v>
      </c>
      <c r="G1053" s="12" t="n">
        <v>46181</v>
      </c>
      <c r="H1053" s="12" t="n">
        <v>46179</v>
      </c>
      <c r="I1053" s="12" t="n">
        <v>46179</v>
      </c>
      <c r="J1053" s="12" t="n">
        <v>46182</v>
      </c>
      <c r="K1053" s="2" t="n">
        <v>485</v>
      </c>
      <c r="L1053" s="2" t="inlineStr">
        <is>
          <t>Sea</t>
        </is>
      </c>
      <c r="M1053" s="2" t="inlineStr">
        <is>
          <t>Capacity Constraint</t>
        </is>
      </c>
      <c r="N1053" s="4">
        <f>IF(I1053&lt;=H1053,1,0)</f>
        <v/>
      </c>
      <c r="O1053" s="4">
        <f>IF(J1053&lt;=G1053,1,0)</f>
        <v/>
      </c>
      <c r="P1053" s="4">
        <f>MAX(0,I1053-H1053)</f>
        <v/>
      </c>
      <c r="Q1053" s="4">
        <f>MAX(0,J1053-G1053)</f>
        <v/>
      </c>
      <c r="R1053" s="4">
        <f>IF(AND(N1053=1,O1053=1),"On Track",IF(O1053=0,"Customer Delivery Late","Ship Late"))</f>
        <v/>
      </c>
    </row>
    <row r="1054">
      <c r="A1054" s="2" t="inlineStr">
        <is>
          <t>ORD-01053</t>
        </is>
      </c>
      <c r="B1054" s="2" t="inlineStr">
        <is>
          <t>Customer 25</t>
        </is>
      </c>
      <c r="C1054" s="2" t="inlineStr">
        <is>
          <t>Drive</t>
        </is>
      </c>
      <c r="D1054" s="2" t="inlineStr">
        <is>
          <t>Plant B</t>
        </is>
      </c>
      <c r="E1054" s="2" t="inlineStr">
        <is>
          <t>North</t>
        </is>
      </c>
      <c r="F1054" s="12" t="n">
        <v>46135</v>
      </c>
      <c r="G1054" s="12" t="n">
        <v>46149</v>
      </c>
      <c r="H1054" s="12" t="n">
        <v>46148</v>
      </c>
      <c r="I1054" s="12" t="n">
        <v>46148</v>
      </c>
      <c r="J1054" s="12" t="n">
        <v>46149</v>
      </c>
      <c r="K1054" s="2" t="n">
        <v>791</v>
      </c>
      <c r="L1054" s="2" t="inlineStr">
        <is>
          <t>Air</t>
        </is>
      </c>
      <c r="M1054" s="2" t="inlineStr">
        <is>
          <t>No Delay</t>
        </is>
      </c>
      <c r="N1054" s="4">
        <f>IF(I1054&lt;=H1054,1,0)</f>
        <v/>
      </c>
      <c r="O1054" s="4">
        <f>IF(J1054&lt;=G1054,1,0)</f>
        <v/>
      </c>
      <c r="P1054" s="4">
        <f>MAX(0,I1054-H1054)</f>
        <v/>
      </c>
      <c r="Q1054" s="4">
        <f>MAX(0,J1054-G1054)</f>
        <v/>
      </c>
      <c r="R1054" s="4">
        <f>IF(AND(N1054=1,O1054=1),"On Track",IF(O1054=0,"Customer Delivery Late","Ship Late"))</f>
        <v/>
      </c>
    </row>
    <row r="1055">
      <c r="A1055" s="2" t="inlineStr">
        <is>
          <t>ORD-01054</t>
        </is>
      </c>
      <c r="B1055" s="2" t="inlineStr">
        <is>
          <t>Customer 04</t>
        </is>
      </c>
      <c r="C1055" s="2" t="inlineStr">
        <is>
          <t>Contactor</t>
        </is>
      </c>
      <c r="D1055" s="2" t="inlineStr">
        <is>
          <t>Plant C</t>
        </is>
      </c>
      <c r="E1055" s="2" t="inlineStr">
        <is>
          <t>South</t>
        </is>
      </c>
      <c r="F1055" s="12" t="n">
        <v>46051</v>
      </c>
      <c r="G1055" s="12" t="n">
        <v>46076</v>
      </c>
      <c r="H1055" s="12" t="n">
        <v>46072</v>
      </c>
      <c r="I1055" s="12" t="n">
        <v>46070</v>
      </c>
      <c r="J1055" s="12" t="n">
        <v>46074</v>
      </c>
      <c r="K1055" s="2" t="n">
        <v>504</v>
      </c>
      <c r="L1055" s="2" t="inlineStr">
        <is>
          <t>Sea</t>
        </is>
      </c>
      <c r="M1055" s="2" t="inlineStr">
        <is>
          <t>No Delay</t>
        </is>
      </c>
      <c r="N1055" s="4">
        <f>IF(I1055&lt;=H1055,1,0)</f>
        <v/>
      </c>
      <c r="O1055" s="4">
        <f>IF(J1055&lt;=G1055,1,0)</f>
        <v/>
      </c>
      <c r="P1055" s="4">
        <f>MAX(0,I1055-H1055)</f>
        <v/>
      </c>
      <c r="Q1055" s="4">
        <f>MAX(0,J1055-G1055)</f>
        <v/>
      </c>
      <c r="R1055" s="4">
        <f>IF(AND(N1055=1,O1055=1),"On Track",IF(O1055=0,"Customer Delivery Late","Ship Late"))</f>
        <v/>
      </c>
    </row>
    <row r="1056">
      <c r="A1056" s="2" t="inlineStr">
        <is>
          <t>ORD-01055</t>
        </is>
      </c>
      <c r="B1056" s="2" t="inlineStr">
        <is>
          <t>Customer 21</t>
        </is>
      </c>
      <c r="C1056" s="2" t="inlineStr">
        <is>
          <t>Drive</t>
        </is>
      </c>
      <c r="D1056" s="2" t="inlineStr">
        <is>
          <t>Plant B</t>
        </is>
      </c>
      <c r="E1056" s="2" t="inlineStr">
        <is>
          <t>South</t>
        </is>
      </c>
      <c r="F1056" s="12" t="n">
        <v>46149</v>
      </c>
      <c r="G1056" s="12" t="n">
        <v>46167</v>
      </c>
      <c r="H1056" s="12" t="n">
        <v>46163</v>
      </c>
      <c r="I1056" s="12" t="n">
        <v>46161</v>
      </c>
      <c r="J1056" s="12" t="n">
        <v>46165</v>
      </c>
      <c r="K1056" s="2" t="n">
        <v>740</v>
      </c>
      <c r="L1056" s="2" t="inlineStr">
        <is>
          <t>Road</t>
        </is>
      </c>
      <c r="M1056" s="2" t="inlineStr">
        <is>
          <t>No Delay</t>
        </is>
      </c>
      <c r="N1056" s="4">
        <f>IF(I1056&lt;=H1056,1,0)</f>
        <v/>
      </c>
      <c r="O1056" s="4">
        <f>IF(J1056&lt;=G1056,1,0)</f>
        <v/>
      </c>
      <c r="P1056" s="4">
        <f>MAX(0,I1056-H1056)</f>
        <v/>
      </c>
      <c r="Q1056" s="4">
        <f>MAX(0,J1056-G1056)</f>
        <v/>
      </c>
      <c r="R1056" s="4">
        <f>IF(AND(N1056=1,O1056=1),"On Track",IF(O1056=0,"Customer Delivery Late","Ship Late"))</f>
        <v/>
      </c>
    </row>
    <row r="1057">
      <c r="A1057" s="2" t="inlineStr">
        <is>
          <t>ORD-01056</t>
        </is>
      </c>
      <c r="B1057" s="2" t="inlineStr">
        <is>
          <t>Customer 09</t>
        </is>
      </c>
      <c r="C1057" s="2" t="inlineStr">
        <is>
          <t>Contactor</t>
        </is>
      </c>
      <c r="D1057" s="2" t="inlineStr">
        <is>
          <t>Plant C</t>
        </is>
      </c>
      <c r="E1057" s="2" t="inlineStr">
        <is>
          <t>Export</t>
        </is>
      </c>
      <c r="F1057" s="12" t="n">
        <v>46026</v>
      </c>
      <c r="G1057" s="12" t="n">
        <v>46034</v>
      </c>
      <c r="H1057" s="12" t="n">
        <v>46030</v>
      </c>
      <c r="I1057" s="12" t="n">
        <v>46029</v>
      </c>
      <c r="J1057" s="12" t="n">
        <v>46034</v>
      </c>
      <c r="K1057" s="2" t="n">
        <v>1158</v>
      </c>
      <c r="L1057" s="2" t="inlineStr">
        <is>
          <t>Sea</t>
        </is>
      </c>
      <c r="M1057" s="2" t="inlineStr">
        <is>
          <t>No Delay</t>
        </is>
      </c>
      <c r="N1057" s="4">
        <f>IF(I1057&lt;=H1057,1,0)</f>
        <v/>
      </c>
      <c r="O1057" s="4">
        <f>IF(J1057&lt;=G1057,1,0)</f>
        <v/>
      </c>
      <c r="P1057" s="4">
        <f>MAX(0,I1057-H1057)</f>
        <v/>
      </c>
      <c r="Q1057" s="4">
        <f>MAX(0,J1057-G1057)</f>
        <v/>
      </c>
      <c r="R1057" s="4">
        <f>IF(AND(N1057=1,O1057=1),"On Track",IF(O1057=0,"Customer Delivery Late","Ship Late"))</f>
        <v/>
      </c>
    </row>
    <row r="1058">
      <c r="A1058" s="2" t="inlineStr">
        <is>
          <t>ORD-01057</t>
        </is>
      </c>
      <c r="B1058" s="2" t="inlineStr">
        <is>
          <t>Customer 19</t>
        </is>
      </c>
      <c r="C1058" s="2" t="inlineStr">
        <is>
          <t>Contactor</t>
        </is>
      </c>
      <c r="D1058" s="2" t="inlineStr">
        <is>
          <t>Plant C</t>
        </is>
      </c>
      <c r="E1058" s="2" t="inlineStr">
        <is>
          <t>North</t>
        </is>
      </c>
      <c r="F1058" s="12" t="n">
        <v>46167</v>
      </c>
      <c r="G1058" s="12" t="n">
        <v>46184</v>
      </c>
      <c r="H1058" s="12" t="n">
        <v>46179</v>
      </c>
      <c r="I1058" s="12" t="n">
        <v>46179</v>
      </c>
      <c r="J1058" s="12" t="n">
        <v>46183</v>
      </c>
      <c r="K1058" s="2" t="n">
        <v>250</v>
      </c>
      <c r="L1058" s="2" t="inlineStr">
        <is>
          <t>Road</t>
        </is>
      </c>
      <c r="M1058" s="2" t="inlineStr">
        <is>
          <t>No Delay</t>
        </is>
      </c>
      <c r="N1058" s="4">
        <f>IF(I1058&lt;=H1058,1,0)</f>
        <v/>
      </c>
      <c r="O1058" s="4">
        <f>IF(J1058&lt;=G1058,1,0)</f>
        <v/>
      </c>
      <c r="P1058" s="4">
        <f>MAX(0,I1058-H1058)</f>
        <v/>
      </c>
      <c r="Q1058" s="4">
        <f>MAX(0,J1058-G1058)</f>
        <v/>
      </c>
      <c r="R1058" s="4">
        <f>IF(AND(N1058=1,O1058=1),"On Track",IF(O1058=0,"Customer Delivery Late","Ship Late"))</f>
        <v/>
      </c>
    </row>
    <row r="1059">
      <c r="A1059" s="2" t="inlineStr">
        <is>
          <t>ORD-01058</t>
        </is>
      </c>
      <c r="B1059" s="2" t="inlineStr">
        <is>
          <t>Customer 15</t>
        </is>
      </c>
      <c r="C1059" s="2" t="inlineStr">
        <is>
          <t>Switchgear</t>
        </is>
      </c>
      <c r="D1059" s="2" t="inlineStr">
        <is>
          <t>Plant C</t>
        </is>
      </c>
      <c r="E1059" s="2" t="inlineStr">
        <is>
          <t>North</t>
        </is>
      </c>
      <c r="F1059" s="12" t="n">
        <v>46115</v>
      </c>
      <c r="G1059" s="12" t="n">
        <v>46138</v>
      </c>
      <c r="H1059" s="12" t="n">
        <v>46133</v>
      </c>
      <c r="I1059" s="12" t="n">
        <v>46132</v>
      </c>
      <c r="J1059" s="12" t="n">
        <v>46137</v>
      </c>
      <c r="K1059" s="2" t="n">
        <v>826</v>
      </c>
      <c r="L1059" s="2" t="inlineStr">
        <is>
          <t>Sea</t>
        </is>
      </c>
      <c r="M1059" s="2" t="inlineStr">
        <is>
          <t>No Delay</t>
        </is>
      </c>
      <c r="N1059" s="4">
        <f>IF(I1059&lt;=H1059,1,0)</f>
        <v/>
      </c>
      <c r="O1059" s="4">
        <f>IF(J1059&lt;=G1059,1,0)</f>
        <v/>
      </c>
      <c r="P1059" s="4">
        <f>MAX(0,I1059-H1059)</f>
        <v/>
      </c>
      <c r="Q1059" s="4">
        <f>MAX(0,J1059-G1059)</f>
        <v/>
      </c>
      <c r="R1059" s="4">
        <f>IF(AND(N1059=1,O1059=1),"On Track",IF(O1059=0,"Customer Delivery Late","Ship Late"))</f>
        <v/>
      </c>
    </row>
    <row r="1060">
      <c r="A1060" s="2" t="inlineStr">
        <is>
          <t>ORD-01059</t>
        </is>
      </c>
      <c r="B1060" s="2" t="inlineStr">
        <is>
          <t>Customer 14</t>
        </is>
      </c>
      <c r="C1060" s="2" t="inlineStr">
        <is>
          <t>Breaker</t>
        </is>
      </c>
      <c r="D1060" s="2" t="inlineStr">
        <is>
          <t>Plant C</t>
        </is>
      </c>
      <c r="E1060" s="2" t="inlineStr">
        <is>
          <t>Export</t>
        </is>
      </c>
      <c r="F1060" s="12" t="n">
        <v>46133</v>
      </c>
      <c r="G1060" s="12" t="n">
        <v>46138</v>
      </c>
      <c r="H1060" s="12" t="n">
        <v>46136</v>
      </c>
      <c r="I1060" s="12" t="n">
        <v>46134</v>
      </c>
      <c r="J1060" s="12" t="n">
        <v>46135</v>
      </c>
      <c r="K1060" s="2" t="n">
        <v>529</v>
      </c>
      <c r="L1060" s="2" t="inlineStr">
        <is>
          <t>Air</t>
        </is>
      </c>
      <c r="M1060" s="2" t="inlineStr">
        <is>
          <t>No Delay</t>
        </is>
      </c>
      <c r="N1060" s="4">
        <f>IF(I1060&lt;=H1060,1,0)</f>
        <v/>
      </c>
      <c r="O1060" s="4">
        <f>IF(J1060&lt;=G1060,1,0)</f>
        <v/>
      </c>
      <c r="P1060" s="4">
        <f>MAX(0,I1060-H1060)</f>
        <v/>
      </c>
      <c r="Q1060" s="4">
        <f>MAX(0,J1060-G1060)</f>
        <v/>
      </c>
      <c r="R1060" s="4">
        <f>IF(AND(N1060=1,O1060=1),"On Track",IF(O1060=0,"Customer Delivery Late","Ship Late"))</f>
        <v/>
      </c>
    </row>
    <row r="1061">
      <c r="A1061" s="2" t="inlineStr">
        <is>
          <t>ORD-01060</t>
        </is>
      </c>
      <c r="B1061" s="2" t="inlineStr">
        <is>
          <t>Customer 15</t>
        </is>
      </c>
      <c r="C1061" s="2" t="inlineStr">
        <is>
          <t>Sensor</t>
        </is>
      </c>
      <c r="D1061" s="2" t="inlineStr">
        <is>
          <t>Plant A</t>
        </is>
      </c>
      <c r="E1061" s="2" t="inlineStr">
        <is>
          <t>Central</t>
        </is>
      </c>
      <c r="F1061" s="12" t="n">
        <v>46197</v>
      </c>
      <c r="G1061" s="12" t="n">
        <v>46213</v>
      </c>
      <c r="H1061" s="12" t="n">
        <v>46210</v>
      </c>
      <c r="I1061" s="12" t="n">
        <v>46214</v>
      </c>
      <c r="J1061" s="12" t="n">
        <v>46217</v>
      </c>
      <c r="K1061" s="2" t="n">
        <v>1153</v>
      </c>
      <c r="L1061" s="2" t="inlineStr">
        <is>
          <t>Sea</t>
        </is>
      </c>
      <c r="M1061" s="2" t="inlineStr">
        <is>
          <t>Carrier Delay</t>
        </is>
      </c>
      <c r="N1061" s="4">
        <f>IF(I1061&lt;=H1061,1,0)</f>
        <v/>
      </c>
      <c r="O1061" s="4">
        <f>IF(J1061&lt;=G1061,1,0)</f>
        <v/>
      </c>
      <c r="P1061" s="4">
        <f>MAX(0,I1061-H1061)</f>
        <v/>
      </c>
      <c r="Q1061" s="4">
        <f>MAX(0,J1061-G1061)</f>
        <v/>
      </c>
      <c r="R1061" s="4">
        <f>IF(AND(N1061=1,O1061=1),"On Track",IF(O1061=0,"Customer Delivery Late","Ship Late"))</f>
        <v/>
      </c>
    </row>
    <row r="1062">
      <c r="A1062" s="2" t="inlineStr">
        <is>
          <t>ORD-01061</t>
        </is>
      </c>
      <c r="B1062" s="2" t="inlineStr">
        <is>
          <t>Customer 20</t>
        </is>
      </c>
      <c r="C1062" s="2" t="inlineStr">
        <is>
          <t>PLC</t>
        </is>
      </c>
      <c r="D1062" s="2" t="inlineStr">
        <is>
          <t>Plant B</t>
        </is>
      </c>
      <c r="E1062" s="2" t="inlineStr">
        <is>
          <t>South</t>
        </is>
      </c>
      <c r="F1062" s="12" t="n">
        <v>46188</v>
      </c>
      <c r="G1062" s="12" t="n">
        <v>46203</v>
      </c>
      <c r="H1062" s="12" t="n">
        <v>46199</v>
      </c>
      <c r="I1062" s="12" t="n">
        <v>46197</v>
      </c>
      <c r="J1062" s="12" t="n">
        <v>46200</v>
      </c>
      <c r="K1062" s="2" t="n">
        <v>217</v>
      </c>
      <c r="L1062" s="2" t="inlineStr">
        <is>
          <t>Sea</t>
        </is>
      </c>
      <c r="M1062" s="2" t="inlineStr">
        <is>
          <t>No Delay</t>
        </is>
      </c>
      <c r="N1062" s="4">
        <f>IF(I1062&lt;=H1062,1,0)</f>
        <v/>
      </c>
      <c r="O1062" s="4">
        <f>IF(J1062&lt;=G1062,1,0)</f>
        <v/>
      </c>
      <c r="P1062" s="4">
        <f>MAX(0,I1062-H1062)</f>
        <v/>
      </c>
      <c r="Q1062" s="4">
        <f>MAX(0,J1062-G1062)</f>
        <v/>
      </c>
      <c r="R1062" s="4">
        <f>IF(AND(N1062=1,O1062=1),"On Track",IF(O1062=0,"Customer Delivery Late","Ship Late"))</f>
        <v/>
      </c>
    </row>
    <row r="1063">
      <c r="A1063" s="2" t="inlineStr">
        <is>
          <t>ORD-01062</t>
        </is>
      </c>
      <c r="B1063" s="2" t="inlineStr">
        <is>
          <t>Customer 28</t>
        </is>
      </c>
      <c r="C1063" s="2" t="inlineStr">
        <is>
          <t>Switchgear</t>
        </is>
      </c>
      <c r="D1063" s="2" t="inlineStr">
        <is>
          <t>Plant B</t>
        </is>
      </c>
      <c r="E1063" s="2" t="inlineStr">
        <is>
          <t>South</t>
        </is>
      </c>
      <c r="F1063" s="12" t="n">
        <v>46046</v>
      </c>
      <c r="G1063" s="12" t="n">
        <v>46071</v>
      </c>
      <c r="H1063" s="12" t="n">
        <v>46067</v>
      </c>
      <c r="I1063" s="12" t="n">
        <v>46066</v>
      </c>
      <c r="J1063" s="12" t="n">
        <v>46070</v>
      </c>
      <c r="K1063" s="2" t="n">
        <v>906</v>
      </c>
      <c r="L1063" s="2" t="inlineStr">
        <is>
          <t>Air</t>
        </is>
      </c>
      <c r="M1063" s="2" t="inlineStr">
        <is>
          <t>No Delay</t>
        </is>
      </c>
      <c r="N1063" s="4">
        <f>IF(I1063&lt;=H1063,1,0)</f>
        <v/>
      </c>
      <c r="O1063" s="4">
        <f>IF(J1063&lt;=G1063,1,0)</f>
        <v/>
      </c>
      <c r="P1063" s="4">
        <f>MAX(0,I1063-H1063)</f>
        <v/>
      </c>
      <c r="Q1063" s="4">
        <f>MAX(0,J1063-G1063)</f>
        <v/>
      </c>
      <c r="R1063" s="4">
        <f>IF(AND(N1063=1,O1063=1),"On Track",IF(O1063=0,"Customer Delivery Late","Ship Late"))</f>
        <v/>
      </c>
    </row>
    <row r="1064">
      <c r="A1064" s="2" t="inlineStr">
        <is>
          <t>ORD-01063</t>
        </is>
      </c>
      <c r="B1064" s="2" t="inlineStr">
        <is>
          <t>Customer 18</t>
        </is>
      </c>
      <c r="C1064" s="2" t="inlineStr">
        <is>
          <t>Sensor</t>
        </is>
      </c>
      <c r="D1064" s="2" t="inlineStr">
        <is>
          <t>Plant C</t>
        </is>
      </c>
      <c r="E1064" s="2" t="inlineStr">
        <is>
          <t>Central</t>
        </is>
      </c>
      <c r="F1064" s="12" t="n">
        <v>46063</v>
      </c>
      <c r="G1064" s="12" t="n">
        <v>46073</v>
      </c>
      <c r="H1064" s="12" t="n">
        <v>46070</v>
      </c>
      <c r="I1064" s="12" t="n">
        <v>46068</v>
      </c>
      <c r="J1064" s="12" t="n">
        <v>46072</v>
      </c>
      <c r="K1064" s="2" t="n">
        <v>825</v>
      </c>
      <c r="L1064" s="2" t="inlineStr">
        <is>
          <t>Sea</t>
        </is>
      </c>
      <c r="M1064" s="2" t="inlineStr">
        <is>
          <t>No Delay</t>
        </is>
      </c>
      <c r="N1064" s="4">
        <f>IF(I1064&lt;=H1064,1,0)</f>
        <v/>
      </c>
      <c r="O1064" s="4">
        <f>IF(J1064&lt;=G1064,1,0)</f>
        <v/>
      </c>
      <c r="P1064" s="4">
        <f>MAX(0,I1064-H1064)</f>
        <v/>
      </c>
      <c r="Q1064" s="4">
        <f>MAX(0,J1064-G1064)</f>
        <v/>
      </c>
      <c r="R1064" s="4">
        <f>IF(AND(N1064=1,O1064=1),"On Track",IF(O1064=0,"Customer Delivery Late","Ship Late"))</f>
        <v/>
      </c>
    </row>
    <row r="1065">
      <c r="A1065" s="2" t="inlineStr">
        <is>
          <t>ORD-01064</t>
        </is>
      </c>
      <c r="B1065" s="2" t="inlineStr">
        <is>
          <t>Customer 11</t>
        </is>
      </c>
      <c r="C1065" s="2" t="inlineStr">
        <is>
          <t>Drive</t>
        </is>
      </c>
      <c r="D1065" s="2" t="inlineStr">
        <is>
          <t>Plant B</t>
        </is>
      </c>
      <c r="E1065" s="2" t="inlineStr">
        <is>
          <t>Central</t>
        </is>
      </c>
      <c r="F1065" s="12" t="n">
        <v>46201</v>
      </c>
      <c r="G1065" s="12" t="n">
        <v>46208</v>
      </c>
      <c r="H1065" s="12" t="n">
        <v>46206</v>
      </c>
      <c r="I1065" s="12" t="n">
        <v>46206</v>
      </c>
      <c r="J1065" s="12" t="n">
        <v>46208</v>
      </c>
      <c r="K1065" s="2" t="n">
        <v>798</v>
      </c>
      <c r="L1065" s="2" t="inlineStr">
        <is>
          <t>Road</t>
        </is>
      </c>
      <c r="M1065" s="2" t="inlineStr">
        <is>
          <t>No Delay</t>
        </is>
      </c>
      <c r="N1065" s="4">
        <f>IF(I1065&lt;=H1065,1,0)</f>
        <v/>
      </c>
      <c r="O1065" s="4">
        <f>IF(J1065&lt;=G1065,1,0)</f>
        <v/>
      </c>
      <c r="P1065" s="4">
        <f>MAX(0,I1065-H1065)</f>
        <v/>
      </c>
      <c r="Q1065" s="4">
        <f>MAX(0,J1065-G1065)</f>
        <v/>
      </c>
      <c r="R1065" s="4">
        <f>IF(AND(N1065=1,O1065=1),"On Track",IF(O1065=0,"Customer Delivery Late","Ship Late"))</f>
        <v/>
      </c>
    </row>
    <row r="1066">
      <c r="A1066" s="2" t="inlineStr">
        <is>
          <t>ORD-01065</t>
        </is>
      </c>
      <c r="B1066" s="2" t="inlineStr">
        <is>
          <t>Customer 18</t>
        </is>
      </c>
      <c r="C1066" s="2" t="inlineStr">
        <is>
          <t>Relay</t>
        </is>
      </c>
      <c r="D1066" s="2" t="inlineStr">
        <is>
          <t>Plant C</t>
        </is>
      </c>
      <c r="E1066" s="2" t="inlineStr">
        <is>
          <t>South</t>
        </is>
      </c>
      <c r="F1066" s="12" t="n">
        <v>46098</v>
      </c>
      <c r="G1066" s="12" t="n">
        <v>46122</v>
      </c>
      <c r="H1066" s="12" t="n">
        <v>46117</v>
      </c>
      <c r="I1066" s="12" t="n">
        <v>46123</v>
      </c>
      <c r="J1066" s="12" t="n">
        <v>46128</v>
      </c>
      <c r="K1066" s="2" t="n">
        <v>63</v>
      </c>
      <c r="L1066" s="2" t="inlineStr">
        <is>
          <t>Air</t>
        </is>
      </c>
      <c r="M1066" s="2" t="inlineStr">
        <is>
          <t>Production Delay</t>
        </is>
      </c>
      <c r="N1066" s="4">
        <f>IF(I1066&lt;=H1066,1,0)</f>
        <v/>
      </c>
      <c r="O1066" s="4">
        <f>IF(J1066&lt;=G1066,1,0)</f>
        <v/>
      </c>
      <c r="P1066" s="4">
        <f>MAX(0,I1066-H1066)</f>
        <v/>
      </c>
      <c r="Q1066" s="4">
        <f>MAX(0,J1066-G1066)</f>
        <v/>
      </c>
      <c r="R1066" s="4">
        <f>IF(AND(N1066=1,O1066=1),"On Track",IF(O1066=0,"Customer Delivery Late","Ship Late"))</f>
        <v/>
      </c>
    </row>
    <row r="1067">
      <c r="A1067" s="2" t="inlineStr">
        <is>
          <t>ORD-01066</t>
        </is>
      </c>
      <c r="B1067" s="2" t="inlineStr">
        <is>
          <t>Customer 28</t>
        </is>
      </c>
      <c r="C1067" s="2" t="inlineStr">
        <is>
          <t>Switchgear</t>
        </is>
      </c>
      <c r="D1067" s="2" t="inlineStr">
        <is>
          <t>Plant B</t>
        </is>
      </c>
      <c r="E1067" s="2" t="inlineStr">
        <is>
          <t>Export</t>
        </is>
      </c>
      <c r="F1067" s="12" t="n">
        <v>46080</v>
      </c>
      <c r="G1067" s="12" t="n">
        <v>46092</v>
      </c>
      <c r="H1067" s="12" t="n">
        <v>46090</v>
      </c>
      <c r="I1067" s="12" t="n">
        <v>46089</v>
      </c>
      <c r="J1067" s="12" t="n">
        <v>46094</v>
      </c>
      <c r="K1067" s="2" t="n">
        <v>1149</v>
      </c>
      <c r="L1067" s="2" t="inlineStr">
        <is>
          <t>Sea</t>
        </is>
      </c>
      <c r="M1067" s="2" t="inlineStr">
        <is>
          <t>Material Shortage</t>
        </is>
      </c>
      <c r="N1067" s="4">
        <f>IF(I1067&lt;=H1067,1,0)</f>
        <v/>
      </c>
      <c r="O1067" s="4">
        <f>IF(J1067&lt;=G1067,1,0)</f>
        <v/>
      </c>
      <c r="P1067" s="4">
        <f>MAX(0,I1067-H1067)</f>
        <v/>
      </c>
      <c r="Q1067" s="4">
        <f>MAX(0,J1067-G1067)</f>
        <v/>
      </c>
      <c r="R1067" s="4">
        <f>IF(AND(N1067=1,O1067=1),"On Track",IF(O1067=0,"Customer Delivery Late","Ship Late"))</f>
        <v/>
      </c>
    </row>
    <row r="1068">
      <c r="A1068" s="2" t="inlineStr">
        <is>
          <t>ORD-01067</t>
        </is>
      </c>
      <c r="B1068" s="2" t="inlineStr">
        <is>
          <t>Customer 24</t>
        </is>
      </c>
      <c r="C1068" s="2" t="inlineStr">
        <is>
          <t>Sensor</t>
        </is>
      </c>
      <c r="D1068" s="2" t="inlineStr">
        <is>
          <t>Plant C</t>
        </is>
      </c>
      <c r="E1068" s="2" t="inlineStr">
        <is>
          <t>South</t>
        </is>
      </c>
      <c r="F1068" s="12" t="n">
        <v>46168</v>
      </c>
      <c r="G1068" s="12" t="n">
        <v>46179</v>
      </c>
      <c r="H1068" s="12" t="n">
        <v>46175</v>
      </c>
      <c r="I1068" s="12" t="n">
        <v>46175</v>
      </c>
      <c r="J1068" s="12" t="n">
        <v>46180</v>
      </c>
      <c r="K1068" s="2" t="n">
        <v>549</v>
      </c>
      <c r="L1068" s="2" t="inlineStr">
        <is>
          <t>Air</t>
        </is>
      </c>
      <c r="M1068" s="2" t="inlineStr">
        <is>
          <t>Documentation Issue</t>
        </is>
      </c>
      <c r="N1068" s="4">
        <f>IF(I1068&lt;=H1068,1,0)</f>
        <v/>
      </c>
      <c r="O1068" s="4">
        <f>IF(J1068&lt;=G1068,1,0)</f>
        <v/>
      </c>
      <c r="P1068" s="4">
        <f>MAX(0,I1068-H1068)</f>
        <v/>
      </c>
      <c r="Q1068" s="4">
        <f>MAX(0,J1068-G1068)</f>
        <v/>
      </c>
      <c r="R1068" s="4">
        <f>IF(AND(N1068=1,O1068=1),"On Track",IF(O1068=0,"Customer Delivery Late","Ship Late"))</f>
        <v/>
      </c>
    </row>
    <row r="1069">
      <c r="A1069" s="2" t="inlineStr">
        <is>
          <t>ORD-01068</t>
        </is>
      </c>
      <c r="B1069" s="2" t="inlineStr">
        <is>
          <t>Customer 27</t>
        </is>
      </c>
      <c r="C1069" s="2" t="inlineStr">
        <is>
          <t>PLC</t>
        </is>
      </c>
      <c r="D1069" s="2" t="inlineStr">
        <is>
          <t>Plant C</t>
        </is>
      </c>
      <c r="E1069" s="2" t="inlineStr">
        <is>
          <t>Central</t>
        </is>
      </c>
      <c r="F1069" s="12" t="n">
        <v>46117</v>
      </c>
      <c r="G1069" s="12" t="n">
        <v>46133</v>
      </c>
      <c r="H1069" s="12" t="n">
        <v>46131</v>
      </c>
      <c r="I1069" s="12" t="n">
        <v>46130</v>
      </c>
      <c r="J1069" s="12" t="n">
        <v>46132</v>
      </c>
      <c r="K1069" s="2" t="n">
        <v>207</v>
      </c>
      <c r="L1069" s="2" t="inlineStr">
        <is>
          <t>Sea</t>
        </is>
      </c>
      <c r="M1069" s="2" t="inlineStr">
        <is>
          <t>No Delay</t>
        </is>
      </c>
      <c r="N1069" s="4">
        <f>IF(I1069&lt;=H1069,1,0)</f>
        <v/>
      </c>
      <c r="O1069" s="4">
        <f>IF(J1069&lt;=G1069,1,0)</f>
        <v/>
      </c>
      <c r="P1069" s="4">
        <f>MAX(0,I1069-H1069)</f>
        <v/>
      </c>
      <c r="Q1069" s="4">
        <f>MAX(0,J1069-G1069)</f>
        <v/>
      </c>
      <c r="R1069" s="4">
        <f>IF(AND(N1069=1,O1069=1),"On Track",IF(O1069=0,"Customer Delivery Late","Ship Late"))</f>
        <v/>
      </c>
    </row>
    <row r="1070">
      <c r="A1070" s="2" t="inlineStr">
        <is>
          <t>ORD-01069</t>
        </is>
      </c>
      <c r="B1070" s="2" t="inlineStr">
        <is>
          <t>Customer 21</t>
        </is>
      </c>
      <c r="C1070" s="2" t="inlineStr">
        <is>
          <t>PLC</t>
        </is>
      </c>
      <c r="D1070" s="2" t="inlineStr">
        <is>
          <t>Plant B</t>
        </is>
      </c>
      <c r="E1070" s="2" t="inlineStr">
        <is>
          <t>South</t>
        </is>
      </c>
      <c r="F1070" s="12" t="n">
        <v>46144</v>
      </c>
      <c r="G1070" s="12" t="n">
        <v>46166</v>
      </c>
      <c r="H1070" s="12" t="n">
        <v>46163</v>
      </c>
      <c r="I1070" s="12" t="n">
        <v>46163</v>
      </c>
      <c r="J1070" s="12" t="n">
        <v>46166</v>
      </c>
      <c r="K1070" s="2" t="n">
        <v>1186</v>
      </c>
      <c r="L1070" s="2" t="inlineStr">
        <is>
          <t>Road</t>
        </is>
      </c>
      <c r="M1070" s="2" t="inlineStr">
        <is>
          <t>No Delay</t>
        </is>
      </c>
      <c r="N1070" s="4">
        <f>IF(I1070&lt;=H1070,1,0)</f>
        <v/>
      </c>
      <c r="O1070" s="4">
        <f>IF(J1070&lt;=G1070,1,0)</f>
        <v/>
      </c>
      <c r="P1070" s="4">
        <f>MAX(0,I1070-H1070)</f>
        <v/>
      </c>
      <c r="Q1070" s="4">
        <f>MAX(0,J1070-G1070)</f>
        <v/>
      </c>
      <c r="R1070" s="4">
        <f>IF(AND(N1070=1,O1070=1),"On Track",IF(O1070=0,"Customer Delivery Late","Ship Late"))</f>
        <v/>
      </c>
    </row>
    <row r="1071">
      <c r="A1071" s="2" t="inlineStr">
        <is>
          <t>ORD-01070</t>
        </is>
      </c>
      <c r="B1071" s="2" t="inlineStr">
        <is>
          <t>Customer 15</t>
        </is>
      </c>
      <c r="C1071" s="2" t="inlineStr">
        <is>
          <t>Breaker</t>
        </is>
      </c>
      <c r="D1071" s="2" t="inlineStr">
        <is>
          <t>Plant B</t>
        </is>
      </c>
      <c r="E1071" s="2" t="inlineStr">
        <is>
          <t>Export</t>
        </is>
      </c>
      <c r="F1071" s="12" t="n">
        <v>46140</v>
      </c>
      <c r="G1071" s="12" t="n">
        <v>46164</v>
      </c>
      <c r="H1071" s="12" t="n">
        <v>46160</v>
      </c>
      <c r="I1071" s="12" t="n">
        <v>46159</v>
      </c>
      <c r="J1071" s="12" t="n">
        <v>46163</v>
      </c>
      <c r="K1071" s="2" t="n">
        <v>1456</v>
      </c>
      <c r="L1071" s="2" t="inlineStr">
        <is>
          <t>Road</t>
        </is>
      </c>
      <c r="M1071" s="2" t="inlineStr">
        <is>
          <t>No Delay</t>
        </is>
      </c>
      <c r="N1071" s="4">
        <f>IF(I1071&lt;=H1071,1,0)</f>
        <v/>
      </c>
      <c r="O1071" s="4">
        <f>IF(J1071&lt;=G1071,1,0)</f>
        <v/>
      </c>
      <c r="P1071" s="4">
        <f>MAX(0,I1071-H1071)</f>
        <v/>
      </c>
      <c r="Q1071" s="4">
        <f>MAX(0,J1071-G1071)</f>
        <v/>
      </c>
      <c r="R1071" s="4">
        <f>IF(AND(N1071=1,O1071=1),"On Track",IF(O1071=0,"Customer Delivery Late","Ship Late"))</f>
        <v/>
      </c>
    </row>
    <row r="1072">
      <c r="A1072" s="2" t="inlineStr">
        <is>
          <t>ORD-01071</t>
        </is>
      </c>
      <c r="B1072" s="2" t="inlineStr">
        <is>
          <t>Customer 16</t>
        </is>
      </c>
      <c r="C1072" s="2" t="inlineStr">
        <is>
          <t>Power Supply</t>
        </is>
      </c>
      <c r="D1072" s="2" t="inlineStr">
        <is>
          <t>Plant C</t>
        </is>
      </c>
      <c r="E1072" s="2" t="inlineStr">
        <is>
          <t>Central</t>
        </is>
      </c>
      <c r="F1072" s="12" t="n">
        <v>46039</v>
      </c>
      <c r="G1072" s="12" t="n">
        <v>46055</v>
      </c>
      <c r="H1072" s="12" t="n">
        <v>46054</v>
      </c>
      <c r="I1072" s="12" t="n">
        <v>46053</v>
      </c>
      <c r="J1072" s="12" t="n">
        <v>46054</v>
      </c>
      <c r="K1072" s="2" t="n">
        <v>821</v>
      </c>
      <c r="L1072" s="2" t="inlineStr">
        <is>
          <t>Road</t>
        </is>
      </c>
      <c r="M1072" s="2" t="inlineStr">
        <is>
          <t>No Delay</t>
        </is>
      </c>
      <c r="N1072" s="4">
        <f>IF(I1072&lt;=H1072,1,0)</f>
        <v/>
      </c>
      <c r="O1072" s="4">
        <f>IF(J1072&lt;=G1072,1,0)</f>
        <v/>
      </c>
      <c r="P1072" s="4">
        <f>MAX(0,I1072-H1072)</f>
        <v/>
      </c>
      <c r="Q1072" s="4">
        <f>MAX(0,J1072-G1072)</f>
        <v/>
      </c>
      <c r="R1072" s="4">
        <f>IF(AND(N1072=1,O1072=1),"On Track",IF(O1072=0,"Customer Delivery Late","Ship Late"))</f>
        <v/>
      </c>
    </row>
    <row r="1073">
      <c r="A1073" s="2" t="inlineStr">
        <is>
          <t>ORD-01072</t>
        </is>
      </c>
      <c r="B1073" s="2" t="inlineStr">
        <is>
          <t>Customer 26</t>
        </is>
      </c>
      <c r="C1073" s="2" t="inlineStr">
        <is>
          <t>Power Supply</t>
        </is>
      </c>
      <c r="D1073" s="2" t="inlineStr">
        <is>
          <t>Plant A</t>
        </is>
      </c>
      <c r="E1073" s="2" t="inlineStr">
        <is>
          <t>South</t>
        </is>
      </c>
      <c r="F1073" s="12" t="n">
        <v>46192</v>
      </c>
      <c r="G1073" s="12" t="n">
        <v>46211</v>
      </c>
      <c r="H1073" s="12" t="n">
        <v>46208</v>
      </c>
      <c r="I1073" s="12" t="n">
        <v>46208</v>
      </c>
      <c r="J1073" s="12" t="n">
        <v>46211</v>
      </c>
      <c r="K1073" s="2" t="n">
        <v>23</v>
      </c>
      <c r="L1073" s="2" t="inlineStr">
        <is>
          <t>Sea</t>
        </is>
      </c>
      <c r="M1073" s="2" t="inlineStr">
        <is>
          <t>No Delay</t>
        </is>
      </c>
      <c r="N1073" s="4">
        <f>IF(I1073&lt;=H1073,1,0)</f>
        <v/>
      </c>
      <c r="O1073" s="4">
        <f>IF(J1073&lt;=G1073,1,0)</f>
        <v/>
      </c>
      <c r="P1073" s="4">
        <f>MAX(0,I1073-H1073)</f>
        <v/>
      </c>
      <c r="Q1073" s="4">
        <f>MAX(0,J1073-G1073)</f>
        <v/>
      </c>
      <c r="R1073" s="4">
        <f>IF(AND(N1073=1,O1073=1),"On Track",IF(O1073=0,"Customer Delivery Late","Ship Late"))</f>
        <v/>
      </c>
    </row>
    <row r="1074">
      <c r="A1074" s="2" t="inlineStr">
        <is>
          <t>ORD-01073</t>
        </is>
      </c>
      <c r="B1074" s="2" t="inlineStr">
        <is>
          <t>Customer 06</t>
        </is>
      </c>
      <c r="C1074" s="2" t="inlineStr">
        <is>
          <t>PLC</t>
        </is>
      </c>
      <c r="D1074" s="2" t="inlineStr">
        <is>
          <t>Plant A</t>
        </is>
      </c>
      <c r="E1074" s="2" t="inlineStr">
        <is>
          <t>Central</t>
        </is>
      </c>
      <c r="F1074" s="12" t="n">
        <v>46036</v>
      </c>
      <c r="G1074" s="12" t="n">
        <v>46052</v>
      </c>
      <c r="H1074" s="12" t="n">
        <v>46047</v>
      </c>
      <c r="I1074" s="12" t="n">
        <v>46045</v>
      </c>
      <c r="J1074" s="12" t="n">
        <v>46051</v>
      </c>
      <c r="K1074" s="2" t="n">
        <v>381</v>
      </c>
      <c r="L1074" s="2" t="inlineStr">
        <is>
          <t>Road</t>
        </is>
      </c>
      <c r="M1074" s="2" t="inlineStr">
        <is>
          <t>No Delay</t>
        </is>
      </c>
      <c r="N1074" s="4">
        <f>IF(I1074&lt;=H1074,1,0)</f>
        <v/>
      </c>
      <c r="O1074" s="4">
        <f>IF(J1074&lt;=G1074,1,0)</f>
        <v/>
      </c>
      <c r="P1074" s="4">
        <f>MAX(0,I1074-H1074)</f>
        <v/>
      </c>
      <c r="Q1074" s="4">
        <f>MAX(0,J1074-G1074)</f>
        <v/>
      </c>
      <c r="R1074" s="4">
        <f>IF(AND(N1074=1,O1074=1),"On Track",IF(O1074=0,"Customer Delivery Late","Ship Late"))</f>
        <v/>
      </c>
    </row>
    <row r="1075">
      <c r="A1075" s="2" t="inlineStr">
        <is>
          <t>ORD-01074</t>
        </is>
      </c>
      <c r="B1075" s="2" t="inlineStr">
        <is>
          <t>Customer 22</t>
        </is>
      </c>
      <c r="C1075" s="2" t="inlineStr">
        <is>
          <t>Power Supply</t>
        </is>
      </c>
      <c r="D1075" s="2" t="inlineStr">
        <is>
          <t>Plant B</t>
        </is>
      </c>
      <c r="E1075" s="2" t="inlineStr">
        <is>
          <t>Export</t>
        </is>
      </c>
      <c r="F1075" s="12" t="n">
        <v>46189</v>
      </c>
      <c r="G1075" s="12" t="n">
        <v>46209</v>
      </c>
      <c r="H1075" s="12" t="n">
        <v>46208</v>
      </c>
      <c r="I1075" s="12" t="n">
        <v>46206</v>
      </c>
      <c r="J1075" s="12" t="n">
        <v>46208</v>
      </c>
      <c r="K1075" s="2" t="n">
        <v>1436</v>
      </c>
      <c r="L1075" s="2" t="inlineStr">
        <is>
          <t>Air</t>
        </is>
      </c>
      <c r="M1075" s="2" t="inlineStr">
        <is>
          <t>No Delay</t>
        </is>
      </c>
      <c r="N1075" s="4">
        <f>IF(I1075&lt;=H1075,1,0)</f>
        <v/>
      </c>
      <c r="O1075" s="4">
        <f>IF(J1075&lt;=G1075,1,0)</f>
        <v/>
      </c>
      <c r="P1075" s="4">
        <f>MAX(0,I1075-H1075)</f>
        <v/>
      </c>
      <c r="Q1075" s="4">
        <f>MAX(0,J1075-G1075)</f>
        <v/>
      </c>
      <c r="R1075" s="4">
        <f>IF(AND(N1075=1,O1075=1),"On Track",IF(O1075=0,"Customer Delivery Late","Ship Late"))</f>
        <v/>
      </c>
    </row>
    <row r="1076">
      <c r="A1076" s="2" t="inlineStr">
        <is>
          <t>ORD-01075</t>
        </is>
      </c>
      <c r="B1076" s="2" t="inlineStr">
        <is>
          <t>Customer 16</t>
        </is>
      </c>
      <c r="C1076" s="2" t="inlineStr">
        <is>
          <t>Contactor</t>
        </is>
      </c>
      <c r="D1076" s="2" t="inlineStr">
        <is>
          <t>Plant A</t>
        </is>
      </c>
      <c r="E1076" s="2" t="inlineStr">
        <is>
          <t>South</t>
        </is>
      </c>
      <c r="F1076" s="12" t="n">
        <v>46058</v>
      </c>
      <c r="G1076" s="12" t="n">
        <v>46073</v>
      </c>
      <c r="H1076" s="12" t="n">
        <v>46071</v>
      </c>
      <c r="I1076" s="12" t="n">
        <v>46070</v>
      </c>
      <c r="J1076" s="12" t="n">
        <v>46072</v>
      </c>
      <c r="K1076" s="2" t="n">
        <v>832</v>
      </c>
      <c r="L1076" s="2" t="inlineStr">
        <is>
          <t>Road</t>
        </is>
      </c>
      <c r="M1076" s="2" t="inlineStr">
        <is>
          <t>No Delay</t>
        </is>
      </c>
      <c r="N1076" s="4">
        <f>IF(I1076&lt;=H1076,1,0)</f>
        <v/>
      </c>
      <c r="O1076" s="4">
        <f>IF(J1076&lt;=G1076,1,0)</f>
        <v/>
      </c>
      <c r="P1076" s="4">
        <f>MAX(0,I1076-H1076)</f>
        <v/>
      </c>
      <c r="Q1076" s="4">
        <f>MAX(0,J1076-G1076)</f>
        <v/>
      </c>
      <c r="R1076" s="4">
        <f>IF(AND(N1076=1,O1076=1),"On Track",IF(O1076=0,"Customer Delivery Late","Ship Late"))</f>
        <v/>
      </c>
    </row>
    <row r="1077">
      <c r="A1077" s="2" t="inlineStr">
        <is>
          <t>ORD-01076</t>
        </is>
      </c>
      <c r="B1077" s="2" t="inlineStr">
        <is>
          <t>Customer 02</t>
        </is>
      </c>
      <c r="C1077" s="2" t="inlineStr">
        <is>
          <t>Breaker</t>
        </is>
      </c>
      <c r="D1077" s="2" t="inlineStr">
        <is>
          <t>Plant C</t>
        </is>
      </c>
      <c r="E1077" s="2" t="inlineStr">
        <is>
          <t>South</t>
        </is>
      </c>
      <c r="F1077" s="12" t="n">
        <v>46081</v>
      </c>
      <c r="G1077" s="12" t="n">
        <v>46097</v>
      </c>
      <c r="H1077" s="12" t="n">
        <v>46096</v>
      </c>
      <c r="I1077" s="12" t="n">
        <v>46094</v>
      </c>
      <c r="J1077" s="12" t="n">
        <v>46095</v>
      </c>
      <c r="K1077" s="2" t="n">
        <v>205</v>
      </c>
      <c r="L1077" s="2" t="inlineStr">
        <is>
          <t>Road</t>
        </is>
      </c>
      <c r="M1077" s="2" t="inlineStr">
        <is>
          <t>No Delay</t>
        </is>
      </c>
      <c r="N1077" s="4">
        <f>IF(I1077&lt;=H1077,1,0)</f>
        <v/>
      </c>
      <c r="O1077" s="4">
        <f>IF(J1077&lt;=G1077,1,0)</f>
        <v/>
      </c>
      <c r="P1077" s="4">
        <f>MAX(0,I1077-H1077)</f>
        <v/>
      </c>
      <c r="Q1077" s="4">
        <f>MAX(0,J1077-G1077)</f>
        <v/>
      </c>
      <c r="R1077" s="4">
        <f>IF(AND(N1077=1,O1077=1),"On Track",IF(O1077=0,"Customer Delivery Late","Ship Late"))</f>
        <v/>
      </c>
    </row>
    <row r="1078">
      <c r="A1078" s="2" t="inlineStr">
        <is>
          <t>ORD-01077</t>
        </is>
      </c>
      <c r="B1078" s="2" t="inlineStr">
        <is>
          <t>Customer 19</t>
        </is>
      </c>
      <c r="C1078" s="2" t="inlineStr">
        <is>
          <t>Drive</t>
        </is>
      </c>
      <c r="D1078" s="2" t="inlineStr">
        <is>
          <t>Plant A</t>
        </is>
      </c>
      <c r="E1078" s="2" t="inlineStr">
        <is>
          <t>Central</t>
        </is>
      </c>
      <c r="F1078" s="12" t="n">
        <v>46023</v>
      </c>
      <c r="G1078" s="12" t="n">
        <v>46044</v>
      </c>
      <c r="H1078" s="12" t="n">
        <v>46043</v>
      </c>
      <c r="I1078" s="12" t="n">
        <v>46042</v>
      </c>
      <c r="J1078" s="12" t="n">
        <v>46043</v>
      </c>
      <c r="K1078" s="2" t="n">
        <v>396</v>
      </c>
      <c r="L1078" s="2" t="inlineStr">
        <is>
          <t>Sea</t>
        </is>
      </c>
      <c r="M1078" s="2" t="inlineStr">
        <is>
          <t>No Delay</t>
        </is>
      </c>
      <c r="N1078" s="4">
        <f>IF(I1078&lt;=H1078,1,0)</f>
        <v/>
      </c>
      <c r="O1078" s="4">
        <f>IF(J1078&lt;=G1078,1,0)</f>
        <v/>
      </c>
      <c r="P1078" s="4">
        <f>MAX(0,I1078-H1078)</f>
        <v/>
      </c>
      <c r="Q1078" s="4">
        <f>MAX(0,J1078-G1078)</f>
        <v/>
      </c>
      <c r="R1078" s="4">
        <f>IF(AND(N1078=1,O1078=1),"On Track",IF(O1078=0,"Customer Delivery Late","Ship Late"))</f>
        <v/>
      </c>
    </row>
    <row r="1079">
      <c r="A1079" s="2" t="inlineStr">
        <is>
          <t>ORD-01078</t>
        </is>
      </c>
      <c r="B1079" s="2" t="inlineStr">
        <is>
          <t>Customer 19</t>
        </is>
      </c>
      <c r="C1079" s="2" t="inlineStr">
        <is>
          <t>Relay</t>
        </is>
      </c>
      <c r="D1079" s="2" t="inlineStr">
        <is>
          <t>Plant B</t>
        </is>
      </c>
      <c r="E1079" s="2" t="inlineStr">
        <is>
          <t>Central</t>
        </is>
      </c>
      <c r="F1079" s="12" t="n">
        <v>46181</v>
      </c>
      <c r="G1079" s="12" t="n">
        <v>46201</v>
      </c>
      <c r="H1079" s="12" t="n">
        <v>46199</v>
      </c>
      <c r="I1079" s="12" t="n">
        <v>46198</v>
      </c>
      <c r="J1079" s="12" t="n">
        <v>46200</v>
      </c>
      <c r="K1079" s="2" t="n">
        <v>1049</v>
      </c>
      <c r="L1079" s="2" t="inlineStr">
        <is>
          <t>Road</t>
        </is>
      </c>
      <c r="M1079" s="2" t="inlineStr">
        <is>
          <t>No Delay</t>
        </is>
      </c>
      <c r="N1079" s="4">
        <f>IF(I1079&lt;=H1079,1,0)</f>
        <v/>
      </c>
      <c r="O1079" s="4">
        <f>IF(J1079&lt;=G1079,1,0)</f>
        <v/>
      </c>
      <c r="P1079" s="4">
        <f>MAX(0,I1079-H1079)</f>
        <v/>
      </c>
      <c r="Q1079" s="4">
        <f>MAX(0,J1079-G1079)</f>
        <v/>
      </c>
      <c r="R1079" s="4">
        <f>IF(AND(N1079=1,O1079=1),"On Track",IF(O1079=0,"Customer Delivery Late","Ship Late"))</f>
        <v/>
      </c>
    </row>
    <row r="1080">
      <c r="A1080" s="2" t="inlineStr">
        <is>
          <t>ORD-01079</t>
        </is>
      </c>
      <c r="B1080" s="2" t="inlineStr">
        <is>
          <t>Customer 04</t>
        </is>
      </c>
      <c r="C1080" s="2" t="inlineStr">
        <is>
          <t>Drive</t>
        </is>
      </c>
      <c r="D1080" s="2" t="inlineStr">
        <is>
          <t>Plant C</t>
        </is>
      </c>
      <c r="E1080" s="2" t="inlineStr">
        <is>
          <t>Central</t>
        </is>
      </c>
      <c r="F1080" s="12" t="n">
        <v>46136</v>
      </c>
      <c r="G1080" s="12" t="n">
        <v>46141</v>
      </c>
      <c r="H1080" s="12" t="n">
        <v>46136</v>
      </c>
      <c r="I1080" s="12" t="n">
        <v>46136</v>
      </c>
      <c r="J1080" s="12" t="n">
        <v>46141</v>
      </c>
      <c r="K1080" s="2" t="n">
        <v>1218</v>
      </c>
      <c r="L1080" s="2" t="inlineStr">
        <is>
          <t>Sea</t>
        </is>
      </c>
      <c r="M1080" s="2" t="inlineStr">
        <is>
          <t>No Delay</t>
        </is>
      </c>
      <c r="N1080" s="4">
        <f>IF(I1080&lt;=H1080,1,0)</f>
        <v/>
      </c>
      <c r="O1080" s="4">
        <f>IF(J1080&lt;=G1080,1,0)</f>
        <v/>
      </c>
      <c r="P1080" s="4">
        <f>MAX(0,I1080-H1080)</f>
        <v/>
      </c>
      <c r="Q1080" s="4">
        <f>MAX(0,J1080-G1080)</f>
        <v/>
      </c>
      <c r="R1080" s="4">
        <f>IF(AND(N1080=1,O1080=1),"On Track",IF(O1080=0,"Customer Delivery Late","Ship Late"))</f>
        <v/>
      </c>
    </row>
    <row r="1081">
      <c r="A1081" s="2" t="inlineStr">
        <is>
          <t>ORD-01080</t>
        </is>
      </c>
      <c r="B1081" s="2" t="inlineStr">
        <is>
          <t>Customer 18</t>
        </is>
      </c>
      <c r="C1081" s="2" t="inlineStr">
        <is>
          <t>Power Supply</t>
        </is>
      </c>
      <c r="D1081" s="2" t="inlineStr">
        <is>
          <t>Plant B</t>
        </is>
      </c>
      <c r="E1081" s="2" t="inlineStr">
        <is>
          <t>North</t>
        </is>
      </c>
      <c r="F1081" s="12" t="n">
        <v>46065</v>
      </c>
      <c r="G1081" s="12" t="n">
        <v>46073</v>
      </c>
      <c r="H1081" s="12" t="n">
        <v>46069</v>
      </c>
      <c r="I1081" s="12" t="n">
        <v>46067</v>
      </c>
      <c r="J1081" s="12" t="n">
        <v>46071</v>
      </c>
      <c r="K1081" s="2" t="n">
        <v>1379</v>
      </c>
      <c r="L1081" s="2" t="inlineStr">
        <is>
          <t>Sea</t>
        </is>
      </c>
      <c r="M1081" s="2" t="inlineStr">
        <is>
          <t>No Delay</t>
        </is>
      </c>
      <c r="N1081" s="4">
        <f>IF(I1081&lt;=H1081,1,0)</f>
        <v/>
      </c>
      <c r="O1081" s="4">
        <f>IF(J1081&lt;=G1081,1,0)</f>
        <v/>
      </c>
      <c r="P1081" s="4">
        <f>MAX(0,I1081-H1081)</f>
        <v/>
      </c>
      <c r="Q1081" s="4">
        <f>MAX(0,J1081-G1081)</f>
        <v/>
      </c>
      <c r="R1081" s="4">
        <f>IF(AND(N1081=1,O1081=1),"On Track",IF(O1081=0,"Customer Delivery Late","Ship Late"))</f>
        <v/>
      </c>
    </row>
    <row r="1082">
      <c r="A1082" s="2" t="inlineStr">
        <is>
          <t>ORD-01081</t>
        </is>
      </c>
      <c r="B1082" s="2" t="inlineStr">
        <is>
          <t>Customer 02</t>
        </is>
      </c>
      <c r="C1082" s="2" t="inlineStr">
        <is>
          <t>Drive</t>
        </is>
      </c>
      <c r="D1082" s="2" t="inlineStr">
        <is>
          <t>Plant A</t>
        </is>
      </c>
      <c r="E1082" s="2" t="inlineStr">
        <is>
          <t>Export</t>
        </is>
      </c>
      <c r="F1082" s="12" t="n">
        <v>46039</v>
      </c>
      <c r="G1082" s="12" t="n">
        <v>46054</v>
      </c>
      <c r="H1082" s="12" t="n">
        <v>46052</v>
      </c>
      <c r="I1082" s="12" t="n">
        <v>46050</v>
      </c>
      <c r="J1082" s="12" t="n">
        <v>46052</v>
      </c>
      <c r="K1082" s="2" t="n">
        <v>1360</v>
      </c>
      <c r="L1082" s="2" t="inlineStr">
        <is>
          <t>Sea</t>
        </is>
      </c>
      <c r="M1082" s="2" t="inlineStr">
        <is>
          <t>No Delay</t>
        </is>
      </c>
      <c r="N1082" s="4">
        <f>IF(I1082&lt;=H1082,1,0)</f>
        <v/>
      </c>
      <c r="O1082" s="4">
        <f>IF(J1082&lt;=G1082,1,0)</f>
        <v/>
      </c>
      <c r="P1082" s="4">
        <f>MAX(0,I1082-H1082)</f>
        <v/>
      </c>
      <c r="Q1082" s="4">
        <f>MAX(0,J1082-G1082)</f>
        <v/>
      </c>
      <c r="R1082" s="4">
        <f>IF(AND(N1082=1,O1082=1),"On Track",IF(O1082=0,"Customer Delivery Late","Ship Late"))</f>
        <v/>
      </c>
    </row>
    <row r="1083">
      <c r="A1083" s="2" t="inlineStr">
        <is>
          <t>ORD-01082</t>
        </is>
      </c>
      <c r="B1083" s="2" t="inlineStr">
        <is>
          <t>Customer 18</t>
        </is>
      </c>
      <c r="C1083" s="2" t="inlineStr">
        <is>
          <t>Power Supply</t>
        </is>
      </c>
      <c r="D1083" s="2" t="inlineStr">
        <is>
          <t>Plant C</t>
        </is>
      </c>
      <c r="E1083" s="2" t="inlineStr">
        <is>
          <t>Central</t>
        </is>
      </c>
      <c r="F1083" s="12" t="n">
        <v>46174</v>
      </c>
      <c r="G1083" s="12" t="n">
        <v>46182</v>
      </c>
      <c r="H1083" s="12" t="n">
        <v>46177</v>
      </c>
      <c r="I1083" s="12" t="n">
        <v>46177</v>
      </c>
      <c r="J1083" s="12" t="n">
        <v>46183</v>
      </c>
      <c r="K1083" s="2" t="n">
        <v>588</v>
      </c>
      <c r="L1083" s="2" t="inlineStr">
        <is>
          <t>Air</t>
        </is>
      </c>
      <c r="M1083" s="2" t="inlineStr">
        <is>
          <t>Customer Change</t>
        </is>
      </c>
      <c r="N1083" s="4">
        <f>IF(I1083&lt;=H1083,1,0)</f>
        <v/>
      </c>
      <c r="O1083" s="4">
        <f>IF(J1083&lt;=G1083,1,0)</f>
        <v/>
      </c>
      <c r="P1083" s="4">
        <f>MAX(0,I1083-H1083)</f>
        <v/>
      </c>
      <c r="Q1083" s="4">
        <f>MAX(0,J1083-G1083)</f>
        <v/>
      </c>
      <c r="R1083" s="4">
        <f>IF(AND(N1083=1,O1083=1),"On Track",IF(O1083=0,"Customer Delivery Late","Ship Late"))</f>
        <v/>
      </c>
    </row>
    <row r="1084">
      <c r="A1084" s="2" t="inlineStr">
        <is>
          <t>ORD-01083</t>
        </is>
      </c>
      <c r="B1084" s="2" t="inlineStr">
        <is>
          <t>Customer 03</t>
        </is>
      </c>
      <c r="C1084" s="2" t="inlineStr">
        <is>
          <t>Switchgear</t>
        </is>
      </c>
      <c r="D1084" s="2" t="inlineStr">
        <is>
          <t>Plant A</t>
        </is>
      </c>
      <c r="E1084" s="2" t="inlineStr">
        <is>
          <t>Export</t>
        </is>
      </c>
      <c r="F1084" s="12" t="n">
        <v>46057</v>
      </c>
      <c r="G1084" s="12" t="n">
        <v>46076</v>
      </c>
      <c r="H1084" s="12" t="n">
        <v>46074</v>
      </c>
      <c r="I1084" s="12" t="n">
        <v>46074</v>
      </c>
      <c r="J1084" s="12" t="n">
        <v>46076</v>
      </c>
      <c r="K1084" s="2" t="n">
        <v>223</v>
      </c>
      <c r="L1084" s="2" t="inlineStr">
        <is>
          <t>Air</t>
        </is>
      </c>
      <c r="M1084" s="2" t="inlineStr">
        <is>
          <t>No Delay</t>
        </is>
      </c>
      <c r="N1084" s="4">
        <f>IF(I1084&lt;=H1084,1,0)</f>
        <v/>
      </c>
      <c r="O1084" s="4">
        <f>IF(J1084&lt;=G1084,1,0)</f>
        <v/>
      </c>
      <c r="P1084" s="4">
        <f>MAX(0,I1084-H1084)</f>
        <v/>
      </c>
      <c r="Q1084" s="4">
        <f>MAX(0,J1084-G1084)</f>
        <v/>
      </c>
      <c r="R1084" s="4">
        <f>IF(AND(N1084=1,O1084=1),"On Track",IF(O1084=0,"Customer Delivery Late","Ship Late"))</f>
        <v/>
      </c>
    </row>
    <row r="1085">
      <c r="A1085" s="2" t="inlineStr">
        <is>
          <t>ORD-01084</t>
        </is>
      </c>
      <c r="B1085" s="2" t="inlineStr">
        <is>
          <t>Customer 02</t>
        </is>
      </c>
      <c r="C1085" s="2" t="inlineStr">
        <is>
          <t>PLC</t>
        </is>
      </c>
      <c r="D1085" s="2" t="inlineStr">
        <is>
          <t>Plant A</t>
        </is>
      </c>
      <c r="E1085" s="2" t="inlineStr">
        <is>
          <t>South</t>
        </is>
      </c>
      <c r="F1085" s="12" t="n">
        <v>46166</v>
      </c>
      <c r="G1085" s="12" t="n">
        <v>46186</v>
      </c>
      <c r="H1085" s="12" t="n">
        <v>46181</v>
      </c>
      <c r="I1085" s="12" t="n">
        <v>46180</v>
      </c>
      <c r="J1085" s="12" t="n">
        <v>46184</v>
      </c>
      <c r="K1085" s="2" t="n">
        <v>1213</v>
      </c>
      <c r="L1085" s="2" t="inlineStr">
        <is>
          <t>Sea</t>
        </is>
      </c>
      <c r="M1085" s="2" t="inlineStr">
        <is>
          <t>No Delay</t>
        </is>
      </c>
      <c r="N1085" s="4">
        <f>IF(I1085&lt;=H1085,1,0)</f>
        <v/>
      </c>
      <c r="O1085" s="4">
        <f>IF(J1085&lt;=G1085,1,0)</f>
        <v/>
      </c>
      <c r="P1085" s="4">
        <f>MAX(0,I1085-H1085)</f>
        <v/>
      </c>
      <c r="Q1085" s="4">
        <f>MAX(0,J1085-G1085)</f>
        <v/>
      </c>
      <c r="R1085" s="4">
        <f>IF(AND(N1085=1,O1085=1),"On Track",IF(O1085=0,"Customer Delivery Late","Ship Late"))</f>
        <v/>
      </c>
    </row>
    <row r="1086">
      <c r="A1086" s="2" t="inlineStr">
        <is>
          <t>ORD-01085</t>
        </is>
      </c>
      <c r="B1086" s="2" t="inlineStr">
        <is>
          <t>Customer 13</t>
        </is>
      </c>
      <c r="C1086" s="2" t="inlineStr">
        <is>
          <t>PLC</t>
        </is>
      </c>
      <c r="D1086" s="2" t="inlineStr">
        <is>
          <t>Plant B</t>
        </is>
      </c>
      <c r="E1086" s="2" t="inlineStr">
        <is>
          <t>North</t>
        </is>
      </c>
      <c r="F1086" s="12" t="n">
        <v>46169</v>
      </c>
      <c r="G1086" s="12" t="n">
        <v>46191</v>
      </c>
      <c r="H1086" s="12" t="n">
        <v>46189</v>
      </c>
      <c r="I1086" s="12" t="n">
        <v>46189</v>
      </c>
      <c r="J1086" s="12" t="n">
        <v>46192</v>
      </c>
      <c r="K1086" s="2" t="n">
        <v>1411</v>
      </c>
      <c r="L1086" s="2" t="inlineStr">
        <is>
          <t>Air</t>
        </is>
      </c>
      <c r="M1086" s="2" t="inlineStr">
        <is>
          <t>Carrier Delay</t>
        </is>
      </c>
      <c r="N1086" s="4">
        <f>IF(I1086&lt;=H1086,1,0)</f>
        <v/>
      </c>
      <c r="O1086" s="4">
        <f>IF(J1086&lt;=G1086,1,0)</f>
        <v/>
      </c>
      <c r="P1086" s="4">
        <f>MAX(0,I1086-H1086)</f>
        <v/>
      </c>
      <c r="Q1086" s="4">
        <f>MAX(0,J1086-G1086)</f>
        <v/>
      </c>
      <c r="R1086" s="4">
        <f>IF(AND(N1086=1,O1086=1),"On Track",IF(O1086=0,"Customer Delivery Late","Ship Late"))</f>
        <v/>
      </c>
    </row>
    <row r="1087">
      <c r="A1087" s="2" t="inlineStr">
        <is>
          <t>ORD-01086</t>
        </is>
      </c>
      <c r="B1087" s="2" t="inlineStr">
        <is>
          <t>Customer 06</t>
        </is>
      </c>
      <c r="C1087" s="2" t="inlineStr">
        <is>
          <t>PLC</t>
        </is>
      </c>
      <c r="D1087" s="2" t="inlineStr">
        <is>
          <t>Plant C</t>
        </is>
      </c>
      <c r="E1087" s="2" t="inlineStr">
        <is>
          <t>South</t>
        </is>
      </c>
      <c r="F1087" s="12" t="n">
        <v>46153</v>
      </c>
      <c r="G1087" s="12" t="n">
        <v>46174</v>
      </c>
      <c r="H1087" s="12" t="n">
        <v>46172</v>
      </c>
      <c r="I1087" s="12" t="n">
        <v>46172</v>
      </c>
      <c r="J1087" s="12" t="n">
        <v>46174</v>
      </c>
      <c r="K1087" s="2" t="n">
        <v>159</v>
      </c>
      <c r="L1087" s="2" t="inlineStr">
        <is>
          <t>Sea</t>
        </is>
      </c>
      <c r="M1087" s="2" t="inlineStr">
        <is>
          <t>No Delay</t>
        </is>
      </c>
      <c r="N1087" s="4">
        <f>IF(I1087&lt;=H1087,1,0)</f>
        <v/>
      </c>
      <c r="O1087" s="4">
        <f>IF(J1087&lt;=G1087,1,0)</f>
        <v/>
      </c>
      <c r="P1087" s="4">
        <f>MAX(0,I1087-H1087)</f>
        <v/>
      </c>
      <c r="Q1087" s="4">
        <f>MAX(0,J1087-G1087)</f>
        <v/>
      </c>
      <c r="R1087" s="4">
        <f>IF(AND(N1087=1,O1087=1),"On Track",IF(O1087=0,"Customer Delivery Late","Ship Late"))</f>
        <v/>
      </c>
    </row>
    <row r="1088">
      <c r="A1088" s="2" t="inlineStr">
        <is>
          <t>ORD-01087</t>
        </is>
      </c>
      <c r="B1088" s="2" t="inlineStr">
        <is>
          <t>Customer 07</t>
        </is>
      </c>
      <c r="C1088" s="2" t="inlineStr">
        <is>
          <t>Contactor</t>
        </is>
      </c>
      <c r="D1088" s="2" t="inlineStr">
        <is>
          <t>Plant B</t>
        </is>
      </c>
      <c r="E1088" s="2" t="inlineStr">
        <is>
          <t>North</t>
        </is>
      </c>
      <c r="F1088" s="12" t="n">
        <v>46075</v>
      </c>
      <c r="G1088" s="12" t="n">
        <v>46095</v>
      </c>
      <c r="H1088" s="12" t="n">
        <v>46093</v>
      </c>
      <c r="I1088" s="12" t="n">
        <v>46093</v>
      </c>
      <c r="J1088" s="12" t="n">
        <v>46094</v>
      </c>
      <c r="K1088" s="2" t="n">
        <v>502</v>
      </c>
      <c r="L1088" s="2" t="inlineStr">
        <is>
          <t>Sea</t>
        </is>
      </c>
      <c r="M1088" s="2" t="inlineStr">
        <is>
          <t>No Delay</t>
        </is>
      </c>
      <c r="N1088" s="4">
        <f>IF(I1088&lt;=H1088,1,0)</f>
        <v/>
      </c>
      <c r="O1088" s="4">
        <f>IF(J1088&lt;=G1088,1,0)</f>
        <v/>
      </c>
      <c r="P1088" s="4">
        <f>MAX(0,I1088-H1088)</f>
        <v/>
      </c>
      <c r="Q1088" s="4">
        <f>MAX(0,J1088-G1088)</f>
        <v/>
      </c>
      <c r="R1088" s="4">
        <f>IF(AND(N1088=1,O1088=1),"On Track",IF(O1088=0,"Customer Delivery Late","Ship Late"))</f>
        <v/>
      </c>
    </row>
    <row r="1089">
      <c r="A1089" s="2" t="inlineStr">
        <is>
          <t>ORD-01088</t>
        </is>
      </c>
      <c r="B1089" s="2" t="inlineStr">
        <is>
          <t>Customer 20</t>
        </is>
      </c>
      <c r="C1089" s="2" t="inlineStr">
        <is>
          <t>PLC</t>
        </is>
      </c>
      <c r="D1089" s="2" t="inlineStr">
        <is>
          <t>Plant C</t>
        </is>
      </c>
      <c r="E1089" s="2" t="inlineStr">
        <is>
          <t>South</t>
        </is>
      </c>
      <c r="F1089" s="12" t="n">
        <v>46107</v>
      </c>
      <c r="G1089" s="12" t="n">
        <v>46117</v>
      </c>
      <c r="H1089" s="12" t="n">
        <v>46113</v>
      </c>
      <c r="I1089" s="12" t="n">
        <v>46112</v>
      </c>
      <c r="J1089" s="12" t="n">
        <v>46115</v>
      </c>
      <c r="K1089" s="2" t="n">
        <v>875</v>
      </c>
      <c r="L1089" s="2" t="inlineStr">
        <is>
          <t>Sea</t>
        </is>
      </c>
      <c r="M1089" s="2" t="inlineStr">
        <is>
          <t>No Delay</t>
        </is>
      </c>
      <c r="N1089" s="4">
        <f>IF(I1089&lt;=H1089,1,0)</f>
        <v/>
      </c>
      <c r="O1089" s="4">
        <f>IF(J1089&lt;=G1089,1,0)</f>
        <v/>
      </c>
      <c r="P1089" s="4">
        <f>MAX(0,I1089-H1089)</f>
        <v/>
      </c>
      <c r="Q1089" s="4">
        <f>MAX(0,J1089-G1089)</f>
        <v/>
      </c>
      <c r="R1089" s="4">
        <f>IF(AND(N1089=1,O1089=1),"On Track",IF(O1089=0,"Customer Delivery Late","Ship Late"))</f>
        <v/>
      </c>
    </row>
    <row r="1090">
      <c r="A1090" s="2" t="inlineStr">
        <is>
          <t>ORD-01089</t>
        </is>
      </c>
      <c r="B1090" s="2" t="inlineStr">
        <is>
          <t>Customer 14</t>
        </is>
      </c>
      <c r="C1090" s="2" t="inlineStr">
        <is>
          <t>Power Supply</t>
        </is>
      </c>
      <c r="D1090" s="2" t="inlineStr">
        <is>
          <t>Plant B</t>
        </is>
      </c>
      <c r="E1090" s="2" t="inlineStr">
        <is>
          <t>South</t>
        </is>
      </c>
      <c r="F1090" s="12" t="n">
        <v>46169</v>
      </c>
      <c r="G1090" s="12" t="n">
        <v>46194</v>
      </c>
      <c r="H1090" s="12" t="n">
        <v>46191</v>
      </c>
      <c r="I1090" s="12" t="n">
        <v>46191</v>
      </c>
      <c r="J1090" s="12" t="n">
        <v>46194</v>
      </c>
      <c r="K1090" s="2" t="n">
        <v>398</v>
      </c>
      <c r="L1090" s="2" t="inlineStr">
        <is>
          <t>Air</t>
        </is>
      </c>
      <c r="M1090" s="2" t="inlineStr">
        <is>
          <t>No Delay</t>
        </is>
      </c>
      <c r="N1090" s="4">
        <f>IF(I1090&lt;=H1090,1,0)</f>
        <v/>
      </c>
      <c r="O1090" s="4">
        <f>IF(J1090&lt;=G1090,1,0)</f>
        <v/>
      </c>
      <c r="P1090" s="4">
        <f>MAX(0,I1090-H1090)</f>
        <v/>
      </c>
      <c r="Q1090" s="4">
        <f>MAX(0,J1090-G1090)</f>
        <v/>
      </c>
      <c r="R1090" s="4">
        <f>IF(AND(N1090=1,O1090=1),"On Track",IF(O1090=0,"Customer Delivery Late","Ship Late"))</f>
        <v/>
      </c>
    </row>
    <row r="1091">
      <c r="A1091" s="2" t="inlineStr">
        <is>
          <t>ORD-01090</t>
        </is>
      </c>
      <c r="B1091" s="2" t="inlineStr">
        <is>
          <t>Customer 23</t>
        </is>
      </c>
      <c r="C1091" s="2" t="inlineStr">
        <is>
          <t>PLC</t>
        </is>
      </c>
      <c r="D1091" s="2" t="inlineStr">
        <is>
          <t>Plant A</t>
        </is>
      </c>
      <c r="E1091" s="2" t="inlineStr">
        <is>
          <t>North</t>
        </is>
      </c>
      <c r="F1091" s="12" t="n">
        <v>46087</v>
      </c>
      <c r="G1091" s="12" t="n">
        <v>46111</v>
      </c>
      <c r="H1091" s="12" t="n">
        <v>46110</v>
      </c>
      <c r="I1091" s="12" t="n">
        <v>46109</v>
      </c>
      <c r="J1091" s="12" t="n">
        <v>46110</v>
      </c>
      <c r="K1091" s="2" t="n">
        <v>246</v>
      </c>
      <c r="L1091" s="2" t="inlineStr">
        <is>
          <t>Road</t>
        </is>
      </c>
      <c r="M1091" s="2" t="inlineStr">
        <is>
          <t>No Delay</t>
        </is>
      </c>
      <c r="N1091" s="4">
        <f>IF(I1091&lt;=H1091,1,0)</f>
        <v/>
      </c>
      <c r="O1091" s="4">
        <f>IF(J1091&lt;=G1091,1,0)</f>
        <v/>
      </c>
      <c r="P1091" s="4">
        <f>MAX(0,I1091-H1091)</f>
        <v/>
      </c>
      <c r="Q1091" s="4">
        <f>MAX(0,J1091-G1091)</f>
        <v/>
      </c>
      <c r="R1091" s="4">
        <f>IF(AND(N1091=1,O1091=1),"On Track",IF(O1091=0,"Customer Delivery Late","Ship Late"))</f>
        <v/>
      </c>
    </row>
    <row r="1092">
      <c r="A1092" s="2" t="inlineStr">
        <is>
          <t>ORD-01091</t>
        </is>
      </c>
      <c r="B1092" s="2" t="inlineStr">
        <is>
          <t>Customer 10</t>
        </is>
      </c>
      <c r="C1092" s="2" t="inlineStr">
        <is>
          <t>Sensor</t>
        </is>
      </c>
      <c r="D1092" s="2" t="inlineStr">
        <is>
          <t>Plant C</t>
        </is>
      </c>
      <c r="E1092" s="2" t="inlineStr">
        <is>
          <t>South</t>
        </is>
      </c>
      <c r="F1092" s="12" t="n">
        <v>46148</v>
      </c>
      <c r="G1092" s="12" t="n">
        <v>46155</v>
      </c>
      <c r="H1092" s="12" t="n">
        <v>46153</v>
      </c>
      <c r="I1092" s="12" t="n">
        <v>46151</v>
      </c>
      <c r="J1092" s="12" t="n">
        <v>46153</v>
      </c>
      <c r="K1092" s="2" t="n">
        <v>232</v>
      </c>
      <c r="L1092" s="2" t="inlineStr">
        <is>
          <t>Road</t>
        </is>
      </c>
      <c r="M1092" s="2" t="inlineStr">
        <is>
          <t>No Delay</t>
        </is>
      </c>
      <c r="N1092" s="4">
        <f>IF(I1092&lt;=H1092,1,0)</f>
        <v/>
      </c>
      <c r="O1092" s="4">
        <f>IF(J1092&lt;=G1092,1,0)</f>
        <v/>
      </c>
      <c r="P1092" s="4">
        <f>MAX(0,I1092-H1092)</f>
        <v/>
      </c>
      <c r="Q1092" s="4">
        <f>MAX(0,J1092-G1092)</f>
        <v/>
      </c>
      <c r="R1092" s="4">
        <f>IF(AND(N1092=1,O1092=1),"On Track",IF(O1092=0,"Customer Delivery Late","Ship Late"))</f>
        <v/>
      </c>
    </row>
    <row r="1093">
      <c r="A1093" s="2" t="inlineStr">
        <is>
          <t>ORD-01092</t>
        </is>
      </c>
      <c r="B1093" s="2" t="inlineStr">
        <is>
          <t>Customer 02</t>
        </is>
      </c>
      <c r="C1093" s="2" t="inlineStr">
        <is>
          <t>Switchgear</t>
        </is>
      </c>
      <c r="D1093" s="2" t="inlineStr">
        <is>
          <t>Plant B</t>
        </is>
      </c>
      <c r="E1093" s="2" t="inlineStr">
        <is>
          <t>North</t>
        </is>
      </c>
      <c r="F1093" s="12" t="n">
        <v>46124</v>
      </c>
      <c r="G1093" s="12" t="n">
        <v>46135</v>
      </c>
      <c r="H1093" s="12" t="n">
        <v>46134</v>
      </c>
      <c r="I1093" s="12" t="n">
        <v>46133</v>
      </c>
      <c r="J1093" s="12" t="n">
        <v>46134</v>
      </c>
      <c r="K1093" s="2" t="n">
        <v>238</v>
      </c>
      <c r="L1093" s="2" t="inlineStr">
        <is>
          <t>Road</t>
        </is>
      </c>
      <c r="M1093" s="2" t="inlineStr">
        <is>
          <t>No Delay</t>
        </is>
      </c>
      <c r="N1093" s="4">
        <f>IF(I1093&lt;=H1093,1,0)</f>
        <v/>
      </c>
      <c r="O1093" s="4">
        <f>IF(J1093&lt;=G1093,1,0)</f>
        <v/>
      </c>
      <c r="P1093" s="4">
        <f>MAX(0,I1093-H1093)</f>
        <v/>
      </c>
      <c r="Q1093" s="4">
        <f>MAX(0,J1093-G1093)</f>
        <v/>
      </c>
      <c r="R1093" s="4">
        <f>IF(AND(N1093=1,O1093=1),"On Track",IF(O1093=0,"Customer Delivery Late","Ship Late"))</f>
        <v/>
      </c>
    </row>
    <row r="1094">
      <c r="A1094" s="2" t="inlineStr">
        <is>
          <t>ORD-01093</t>
        </is>
      </c>
      <c r="B1094" s="2" t="inlineStr">
        <is>
          <t>Customer 12</t>
        </is>
      </c>
      <c r="C1094" s="2" t="inlineStr">
        <is>
          <t>Switchgear</t>
        </is>
      </c>
      <c r="D1094" s="2" t="inlineStr">
        <is>
          <t>Plant C</t>
        </is>
      </c>
      <c r="E1094" s="2" t="inlineStr">
        <is>
          <t>Central</t>
        </is>
      </c>
      <c r="F1094" s="12" t="n">
        <v>46032</v>
      </c>
      <c r="G1094" s="12" t="n">
        <v>46049</v>
      </c>
      <c r="H1094" s="12" t="n">
        <v>46047</v>
      </c>
      <c r="I1094" s="12" t="n">
        <v>46047</v>
      </c>
      <c r="J1094" s="12" t="n">
        <v>46049</v>
      </c>
      <c r="K1094" s="2" t="n">
        <v>915</v>
      </c>
      <c r="L1094" s="2" t="inlineStr">
        <is>
          <t>Sea</t>
        </is>
      </c>
      <c r="M1094" s="2" t="inlineStr">
        <is>
          <t>No Delay</t>
        </is>
      </c>
      <c r="N1094" s="4">
        <f>IF(I1094&lt;=H1094,1,0)</f>
        <v/>
      </c>
      <c r="O1094" s="4">
        <f>IF(J1094&lt;=G1094,1,0)</f>
        <v/>
      </c>
      <c r="P1094" s="4">
        <f>MAX(0,I1094-H1094)</f>
        <v/>
      </c>
      <c r="Q1094" s="4">
        <f>MAX(0,J1094-G1094)</f>
        <v/>
      </c>
      <c r="R1094" s="4">
        <f>IF(AND(N1094=1,O1094=1),"On Track",IF(O1094=0,"Customer Delivery Late","Ship Late"))</f>
        <v/>
      </c>
    </row>
    <row r="1095">
      <c r="A1095" s="2" t="inlineStr">
        <is>
          <t>ORD-01094</t>
        </is>
      </c>
      <c r="B1095" s="2" t="inlineStr">
        <is>
          <t>Customer 05</t>
        </is>
      </c>
      <c r="C1095" s="2" t="inlineStr">
        <is>
          <t>Drive</t>
        </is>
      </c>
      <c r="D1095" s="2" t="inlineStr">
        <is>
          <t>Plant B</t>
        </is>
      </c>
      <c r="E1095" s="2" t="inlineStr">
        <is>
          <t>Central</t>
        </is>
      </c>
      <c r="F1095" s="12" t="n">
        <v>46033</v>
      </c>
      <c r="G1095" s="12" t="n">
        <v>46054</v>
      </c>
      <c r="H1095" s="12" t="n">
        <v>46052</v>
      </c>
      <c r="I1095" s="12" t="n">
        <v>46052</v>
      </c>
      <c r="J1095" s="12" t="n">
        <v>46053</v>
      </c>
      <c r="K1095" s="2" t="n">
        <v>727</v>
      </c>
      <c r="L1095" s="2" t="inlineStr">
        <is>
          <t>Air</t>
        </is>
      </c>
      <c r="M1095" s="2" t="inlineStr">
        <is>
          <t>No Delay</t>
        </is>
      </c>
      <c r="N1095" s="4">
        <f>IF(I1095&lt;=H1095,1,0)</f>
        <v/>
      </c>
      <c r="O1095" s="4">
        <f>IF(J1095&lt;=G1095,1,0)</f>
        <v/>
      </c>
      <c r="P1095" s="4">
        <f>MAX(0,I1095-H1095)</f>
        <v/>
      </c>
      <c r="Q1095" s="4">
        <f>MAX(0,J1095-G1095)</f>
        <v/>
      </c>
      <c r="R1095" s="4">
        <f>IF(AND(N1095=1,O1095=1),"On Track",IF(O1095=0,"Customer Delivery Late","Ship Late"))</f>
        <v/>
      </c>
    </row>
    <row r="1096">
      <c r="A1096" s="2" t="inlineStr">
        <is>
          <t>ORD-01095</t>
        </is>
      </c>
      <c r="B1096" s="2" t="inlineStr">
        <is>
          <t>Customer 06</t>
        </is>
      </c>
      <c r="C1096" s="2" t="inlineStr">
        <is>
          <t>PLC</t>
        </is>
      </c>
      <c r="D1096" s="2" t="inlineStr">
        <is>
          <t>Plant B</t>
        </is>
      </c>
      <c r="E1096" s="2" t="inlineStr">
        <is>
          <t>Export</t>
        </is>
      </c>
      <c r="F1096" s="12" t="n">
        <v>46074</v>
      </c>
      <c r="G1096" s="12" t="n">
        <v>46099</v>
      </c>
      <c r="H1096" s="12" t="n">
        <v>46098</v>
      </c>
      <c r="I1096" s="12" t="n">
        <v>46096</v>
      </c>
      <c r="J1096" s="12" t="n">
        <v>46098</v>
      </c>
      <c r="K1096" s="2" t="n">
        <v>61</v>
      </c>
      <c r="L1096" s="2" t="inlineStr">
        <is>
          <t>Air</t>
        </is>
      </c>
      <c r="M1096" s="2" t="inlineStr">
        <is>
          <t>No Delay</t>
        </is>
      </c>
      <c r="N1096" s="4">
        <f>IF(I1096&lt;=H1096,1,0)</f>
        <v/>
      </c>
      <c r="O1096" s="4">
        <f>IF(J1096&lt;=G1096,1,0)</f>
        <v/>
      </c>
      <c r="P1096" s="4">
        <f>MAX(0,I1096-H1096)</f>
        <v/>
      </c>
      <c r="Q1096" s="4">
        <f>MAX(0,J1096-G1096)</f>
        <v/>
      </c>
      <c r="R1096" s="4">
        <f>IF(AND(N1096=1,O1096=1),"On Track",IF(O1096=0,"Customer Delivery Late","Ship Late"))</f>
        <v/>
      </c>
    </row>
    <row r="1097">
      <c r="A1097" s="2" t="inlineStr">
        <is>
          <t>ORD-01096</t>
        </is>
      </c>
      <c r="B1097" s="2" t="inlineStr">
        <is>
          <t>Customer 11</t>
        </is>
      </c>
      <c r="C1097" s="2" t="inlineStr">
        <is>
          <t>Breaker</t>
        </is>
      </c>
      <c r="D1097" s="2" t="inlineStr">
        <is>
          <t>Plant A</t>
        </is>
      </c>
      <c r="E1097" s="2" t="inlineStr">
        <is>
          <t>North</t>
        </is>
      </c>
      <c r="F1097" s="12" t="n">
        <v>46040</v>
      </c>
      <c r="G1097" s="12" t="n">
        <v>46052</v>
      </c>
      <c r="H1097" s="12" t="n">
        <v>46047</v>
      </c>
      <c r="I1097" s="12" t="n">
        <v>46047</v>
      </c>
      <c r="J1097" s="12" t="n">
        <v>46052</v>
      </c>
      <c r="K1097" s="2" t="n">
        <v>849</v>
      </c>
      <c r="L1097" s="2" t="inlineStr">
        <is>
          <t>Sea</t>
        </is>
      </c>
      <c r="M1097" s="2" t="inlineStr">
        <is>
          <t>No Delay</t>
        </is>
      </c>
      <c r="N1097" s="4">
        <f>IF(I1097&lt;=H1097,1,0)</f>
        <v/>
      </c>
      <c r="O1097" s="4">
        <f>IF(J1097&lt;=G1097,1,0)</f>
        <v/>
      </c>
      <c r="P1097" s="4">
        <f>MAX(0,I1097-H1097)</f>
        <v/>
      </c>
      <c r="Q1097" s="4">
        <f>MAX(0,J1097-G1097)</f>
        <v/>
      </c>
      <c r="R1097" s="4">
        <f>IF(AND(N1097=1,O1097=1),"On Track",IF(O1097=0,"Customer Delivery Late","Ship Late"))</f>
        <v/>
      </c>
    </row>
    <row r="1098">
      <c r="A1098" s="2" t="inlineStr">
        <is>
          <t>ORD-01097</t>
        </is>
      </c>
      <c r="B1098" s="2" t="inlineStr">
        <is>
          <t>Customer 29</t>
        </is>
      </c>
      <c r="C1098" s="2" t="inlineStr">
        <is>
          <t>Contactor</t>
        </is>
      </c>
      <c r="D1098" s="2" t="inlineStr">
        <is>
          <t>Plant C</t>
        </is>
      </c>
      <c r="E1098" s="2" t="inlineStr">
        <is>
          <t>Central</t>
        </is>
      </c>
      <c r="F1098" s="12" t="n">
        <v>46159</v>
      </c>
      <c r="G1098" s="12" t="n">
        <v>46164</v>
      </c>
      <c r="H1098" s="12" t="n">
        <v>46159</v>
      </c>
      <c r="I1098" s="12" t="n">
        <v>46159</v>
      </c>
      <c r="J1098" s="12" t="n">
        <v>46164</v>
      </c>
      <c r="K1098" s="2" t="n">
        <v>22</v>
      </c>
      <c r="L1098" s="2" t="inlineStr">
        <is>
          <t>Air</t>
        </is>
      </c>
      <c r="M1098" s="2" t="inlineStr">
        <is>
          <t>No Delay</t>
        </is>
      </c>
      <c r="N1098" s="4">
        <f>IF(I1098&lt;=H1098,1,0)</f>
        <v/>
      </c>
      <c r="O1098" s="4">
        <f>IF(J1098&lt;=G1098,1,0)</f>
        <v/>
      </c>
      <c r="P1098" s="4">
        <f>MAX(0,I1098-H1098)</f>
        <v/>
      </c>
      <c r="Q1098" s="4">
        <f>MAX(0,J1098-G1098)</f>
        <v/>
      </c>
      <c r="R1098" s="4">
        <f>IF(AND(N1098=1,O1098=1),"On Track",IF(O1098=0,"Customer Delivery Late","Ship Late"))</f>
        <v/>
      </c>
    </row>
    <row r="1099">
      <c r="A1099" s="2" t="inlineStr">
        <is>
          <t>ORD-01098</t>
        </is>
      </c>
      <c r="B1099" s="2" t="inlineStr">
        <is>
          <t>Customer 02</t>
        </is>
      </c>
      <c r="C1099" s="2" t="inlineStr">
        <is>
          <t>Contactor</t>
        </is>
      </c>
      <c r="D1099" s="2" t="inlineStr">
        <is>
          <t>Plant A</t>
        </is>
      </c>
      <c r="E1099" s="2" t="inlineStr">
        <is>
          <t>Export</t>
        </is>
      </c>
      <c r="F1099" s="12" t="n">
        <v>46023</v>
      </c>
      <c r="G1099" s="12" t="n">
        <v>46046</v>
      </c>
      <c r="H1099" s="12" t="n">
        <v>46045</v>
      </c>
      <c r="I1099" s="12" t="n">
        <v>46045</v>
      </c>
      <c r="J1099" s="12" t="n">
        <v>46046</v>
      </c>
      <c r="K1099" s="2" t="n">
        <v>1180</v>
      </c>
      <c r="L1099" s="2" t="inlineStr">
        <is>
          <t>Sea</t>
        </is>
      </c>
      <c r="M1099" s="2" t="inlineStr">
        <is>
          <t>No Delay</t>
        </is>
      </c>
      <c r="N1099" s="4">
        <f>IF(I1099&lt;=H1099,1,0)</f>
        <v/>
      </c>
      <c r="O1099" s="4">
        <f>IF(J1099&lt;=G1099,1,0)</f>
        <v/>
      </c>
      <c r="P1099" s="4">
        <f>MAX(0,I1099-H1099)</f>
        <v/>
      </c>
      <c r="Q1099" s="4">
        <f>MAX(0,J1099-G1099)</f>
        <v/>
      </c>
      <c r="R1099" s="4">
        <f>IF(AND(N1099=1,O1099=1),"On Track",IF(O1099=0,"Customer Delivery Late","Ship Late"))</f>
        <v/>
      </c>
    </row>
    <row r="1100">
      <c r="A1100" s="2" t="inlineStr">
        <is>
          <t>ORD-01099</t>
        </is>
      </c>
      <c r="B1100" s="2" t="inlineStr">
        <is>
          <t>Customer 12</t>
        </is>
      </c>
      <c r="C1100" s="2" t="inlineStr">
        <is>
          <t>Switchgear</t>
        </is>
      </c>
      <c r="D1100" s="2" t="inlineStr">
        <is>
          <t>Plant B</t>
        </is>
      </c>
      <c r="E1100" s="2" t="inlineStr">
        <is>
          <t>Central</t>
        </is>
      </c>
      <c r="F1100" s="12" t="n">
        <v>46121</v>
      </c>
      <c r="G1100" s="12" t="n">
        <v>46135</v>
      </c>
      <c r="H1100" s="12" t="n">
        <v>46130</v>
      </c>
      <c r="I1100" s="12" t="n">
        <v>46130</v>
      </c>
      <c r="J1100" s="12" t="n">
        <v>46135</v>
      </c>
      <c r="K1100" s="2" t="n">
        <v>940</v>
      </c>
      <c r="L1100" s="2" t="inlineStr">
        <is>
          <t>Sea</t>
        </is>
      </c>
      <c r="M1100" s="2" t="inlineStr">
        <is>
          <t>No Delay</t>
        </is>
      </c>
      <c r="N1100" s="4">
        <f>IF(I1100&lt;=H1100,1,0)</f>
        <v/>
      </c>
      <c r="O1100" s="4">
        <f>IF(J1100&lt;=G1100,1,0)</f>
        <v/>
      </c>
      <c r="P1100" s="4">
        <f>MAX(0,I1100-H1100)</f>
        <v/>
      </c>
      <c r="Q1100" s="4">
        <f>MAX(0,J1100-G1100)</f>
        <v/>
      </c>
      <c r="R1100" s="4">
        <f>IF(AND(N1100=1,O1100=1),"On Track",IF(O1100=0,"Customer Delivery Late","Ship Late"))</f>
        <v/>
      </c>
    </row>
    <row r="1101">
      <c r="A1101" s="2" t="inlineStr">
        <is>
          <t>ORD-01100</t>
        </is>
      </c>
      <c r="B1101" s="2" t="inlineStr">
        <is>
          <t>Customer 29</t>
        </is>
      </c>
      <c r="C1101" s="2" t="inlineStr">
        <is>
          <t>Relay</t>
        </is>
      </c>
      <c r="D1101" s="2" t="inlineStr">
        <is>
          <t>Plant B</t>
        </is>
      </c>
      <c r="E1101" s="2" t="inlineStr">
        <is>
          <t>North</t>
        </is>
      </c>
      <c r="F1101" s="12" t="n">
        <v>46115</v>
      </c>
      <c r="G1101" s="12" t="n">
        <v>46127</v>
      </c>
      <c r="H1101" s="12" t="n">
        <v>46125</v>
      </c>
      <c r="I1101" s="12" t="n">
        <v>46125</v>
      </c>
      <c r="J1101" s="12" t="n">
        <v>46127</v>
      </c>
      <c r="K1101" s="2" t="n">
        <v>894</v>
      </c>
      <c r="L1101" s="2" t="inlineStr">
        <is>
          <t>Air</t>
        </is>
      </c>
      <c r="M1101" s="2" t="inlineStr">
        <is>
          <t>No Delay</t>
        </is>
      </c>
      <c r="N1101" s="4">
        <f>IF(I1101&lt;=H1101,1,0)</f>
        <v/>
      </c>
      <c r="O1101" s="4">
        <f>IF(J1101&lt;=G1101,1,0)</f>
        <v/>
      </c>
      <c r="P1101" s="4">
        <f>MAX(0,I1101-H1101)</f>
        <v/>
      </c>
      <c r="Q1101" s="4">
        <f>MAX(0,J1101-G1101)</f>
        <v/>
      </c>
      <c r="R1101" s="4">
        <f>IF(AND(N1101=1,O1101=1),"On Track",IF(O1101=0,"Customer Delivery Late","Ship Late"))</f>
        <v/>
      </c>
    </row>
    <row r="1102">
      <c r="A1102" s="2" t="inlineStr">
        <is>
          <t>ORD-01101</t>
        </is>
      </c>
      <c r="B1102" s="2" t="inlineStr">
        <is>
          <t>Customer 21</t>
        </is>
      </c>
      <c r="C1102" s="2" t="inlineStr">
        <is>
          <t>Drive</t>
        </is>
      </c>
      <c r="D1102" s="2" t="inlineStr">
        <is>
          <t>Plant A</t>
        </is>
      </c>
      <c r="E1102" s="2" t="inlineStr">
        <is>
          <t>Export</t>
        </is>
      </c>
      <c r="F1102" s="12" t="n">
        <v>46059</v>
      </c>
      <c r="G1102" s="12" t="n">
        <v>46065</v>
      </c>
      <c r="H1102" s="12" t="n">
        <v>46061</v>
      </c>
      <c r="I1102" s="12" t="n">
        <v>46061</v>
      </c>
      <c r="J1102" s="12" t="n">
        <v>46065</v>
      </c>
      <c r="K1102" s="2" t="n">
        <v>872</v>
      </c>
      <c r="L1102" s="2" t="inlineStr">
        <is>
          <t>Air</t>
        </is>
      </c>
      <c r="M1102" s="2" t="inlineStr">
        <is>
          <t>No Delay</t>
        </is>
      </c>
      <c r="N1102" s="4">
        <f>IF(I1102&lt;=H1102,1,0)</f>
        <v/>
      </c>
      <c r="O1102" s="4">
        <f>IF(J1102&lt;=G1102,1,0)</f>
        <v/>
      </c>
      <c r="P1102" s="4">
        <f>MAX(0,I1102-H1102)</f>
        <v/>
      </c>
      <c r="Q1102" s="4">
        <f>MAX(0,J1102-G1102)</f>
        <v/>
      </c>
      <c r="R1102" s="4">
        <f>IF(AND(N1102=1,O1102=1),"On Track",IF(O1102=0,"Customer Delivery Late","Ship Late"))</f>
        <v/>
      </c>
    </row>
    <row r="1103">
      <c r="A1103" s="2" t="inlineStr">
        <is>
          <t>ORD-01102</t>
        </is>
      </c>
      <c r="B1103" s="2" t="inlineStr">
        <is>
          <t>Customer 13</t>
        </is>
      </c>
      <c r="C1103" s="2" t="inlineStr">
        <is>
          <t>Relay</t>
        </is>
      </c>
      <c r="D1103" s="2" t="inlineStr">
        <is>
          <t>Plant C</t>
        </is>
      </c>
      <c r="E1103" s="2" t="inlineStr">
        <is>
          <t>Central</t>
        </is>
      </c>
      <c r="F1103" s="12" t="n">
        <v>46140</v>
      </c>
      <c r="G1103" s="12" t="n">
        <v>46159</v>
      </c>
      <c r="H1103" s="12" t="n">
        <v>46155</v>
      </c>
      <c r="I1103" s="12" t="n">
        <v>46154</v>
      </c>
      <c r="J1103" s="12" t="n">
        <v>46158</v>
      </c>
      <c r="K1103" s="2" t="n">
        <v>513</v>
      </c>
      <c r="L1103" s="2" t="inlineStr">
        <is>
          <t>Road</t>
        </is>
      </c>
      <c r="M1103" s="2" t="inlineStr">
        <is>
          <t>No Delay</t>
        </is>
      </c>
      <c r="N1103" s="4">
        <f>IF(I1103&lt;=H1103,1,0)</f>
        <v/>
      </c>
      <c r="O1103" s="4">
        <f>IF(J1103&lt;=G1103,1,0)</f>
        <v/>
      </c>
      <c r="P1103" s="4">
        <f>MAX(0,I1103-H1103)</f>
        <v/>
      </c>
      <c r="Q1103" s="4">
        <f>MAX(0,J1103-G1103)</f>
        <v/>
      </c>
      <c r="R1103" s="4">
        <f>IF(AND(N1103=1,O1103=1),"On Track",IF(O1103=0,"Customer Delivery Late","Ship Late"))</f>
        <v/>
      </c>
    </row>
    <row r="1104">
      <c r="A1104" s="2" t="inlineStr">
        <is>
          <t>ORD-01103</t>
        </is>
      </c>
      <c r="B1104" s="2" t="inlineStr">
        <is>
          <t>Customer 25</t>
        </is>
      </c>
      <c r="C1104" s="2" t="inlineStr">
        <is>
          <t>Power Supply</t>
        </is>
      </c>
      <c r="D1104" s="2" t="inlineStr">
        <is>
          <t>Plant B</t>
        </is>
      </c>
      <c r="E1104" s="2" t="inlineStr">
        <is>
          <t>South</t>
        </is>
      </c>
      <c r="F1104" s="12" t="n">
        <v>46071</v>
      </c>
      <c r="G1104" s="12" t="n">
        <v>46094</v>
      </c>
      <c r="H1104" s="12" t="n">
        <v>46092</v>
      </c>
      <c r="I1104" s="12" t="n">
        <v>46092</v>
      </c>
      <c r="J1104" s="12" t="n">
        <v>46094</v>
      </c>
      <c r="K1104" s="2" t="n">
        <v>447</v>
      </c>
      <c r="L1104" s="2" t="inlineStr">
        <is>
          <t>Air</t>
        </is>
      </c>
      <c r="M1104" s="2" t="inlineStr">
        <is>
          <t>No Delay</t>
        </is>
      </c>
      <c r="N1104" s="4">
        <f>IF(I1104&lt;=H1104,1,0)</f>
        <v/>
      </c>
      <c r="O1104" s="4">
        <f>IF(J1104&lt;=G1104,1,0)</f>
        <v/>
      </c>
      <c r="P1104" s="4">
        <f>MAX(0,I1104-H1104)</f>
        <v/>
      </c>
      <c r="Q1104" s="4">
        <f>MAX(0,J1104-G1104)</f>
        <v/>
      </c>
      <c r="R1104" s="4">
        <f>IF(AND(N1104=1,O1104=1),"On Track",IF(O1104=0,"Customer Delivery Late","Ship Late"))</f>
        <v/>
      </c>
    </row>
    <row r="1105">
      <c r="A1105" s="2" t="inlineStr">
        <is>
          <t>ORD-01104</t>
        </is>
      </c>
      <c r="B1105" s="2" t="inlineStr">
        <is>
          <t>Customer 07</t>
        </is>
      </c>
      <c r="C1105" s="2" t="inlineStr">
        <is>
          <t>PLC</t>
        </is>
      </c>
      <c r="D1105" s="2" t="inlineStr">
        <is>
          <t>Plant B</t>
        </is>
      </c>
      <c r="E1105" s="2" t="inlineStr">
        <is>
          <t>Central</t>
        </is>
      </c>
      <c r="F1105" s="12" t="n">
        <v>46059</v>
      </c>
      <c r="G1105" s="12" t="n">
        <v>46079</v>
      </c>
      <c r="H1105" s="12" t="n">
        <v>46078</v>
      </c>
      <c r="I1105" s="12" t="n">
        <v>46077</v>
      </c>
      <c r="J1105" s="12" t="n">
        <v>46079</v>
      </c>
      <c r="K1105" s="2" t="n">
        <v>1360</v>
      </c>
      <c r="L1105" s="2" t="inlineStr">
        <is>
          <t>Air</t>
        </is>
      </c>
      <c r="M1105" s="2" t="inlineStr">
        <is>
          <t>No Delay</t>
        </is>
      </c>
      <c r="N1105" s="4">
        <f>IF(I1105&lt;=H1105,1,0)</f>
        <v/>
      </c>
      <c r="O1105" s="4">
        <f>IF(J1105&lt;=G1105,1,0)</f>
        <v/>
      </c>
      <c r="P1105" s="4">
        <f>MAX(0,I1105-H1105)</f>
        <v/>
      </c>
      <c r="Q1105" s="4">
        <f>MAX(0,J1105-G1105)</f>
        <v/>
      </c>
      <c r="R1105" s="4">
        <f>IF(AND(N1105=1,O1105=1),"On Track",IF(O1105=0,"Customer Delivery Late","Ship Late"))</f>
        <v/>
      </c>
    </row>
    <row r="1106">
      <c r="A1106" s="2" t="inlineStr">
        <is>
          <t>ORD-01105</t>
        </is>
      </c>
      <c r="B1106" s="2" t="inlineStr">
        <is>
          <t>Customer 06</t>
        </is>
      </c>
      <c r="C1106" s="2" t="inlineStr">
        <is>
          <t>Sensor</t>
        </is>
      </c>
      <c r="D1106" s="2" t="inlineStr">
        <is>
          <t>Plant C</t>
        </is>
      </c>
      <c r="E1106" s="2" t="inlineStr">
        <is>
          <t>Central</t>
        </is>
      </c>
      <c r="F1106" s="12" t="n">
        <v>46155</v>
      </c>
      <c r="G1106" s="12" t="n">
        <v>46173</v>
      </c>
      <c r="H1106" s="12" t="n">
        <v>46171</v>
      </c>
      <c r="I1106" s="12" t="n">
        <v>46169</v>
      </c>
      <c r="J1106" s="12" t="n">
        <v>46171</v>
      </c>
      <c r="K1106" s="2" t="n">
        <v>1323</v>
      </c>
      <c r="L1106" s="2" t="inlineStr">
        <is>
          <t>Air</t>
        </is>
      </c>
      <c r="M1106" s="2" t="inlineStr">
        <is>
          <t>No Delay</t>
        </is>
      </c>
      <c r="N1106" s="4">
        <f>IF(I1106&lt;=H1106,1,0)</f>
        <v/>
      </c>
      <c r="O1106" s="4">
        <f>IF(J1106&lt;=G1106,1,0)</f>
        <v/>
      </c>
      <c r="P1106" s="4">
        <f>MAX(0,I1106-H1106)</f>
        <v/>
      </c>
      <c r="Q1106" s="4">
        <f>MAX(0,J1106-G1106)</f>
        <v/>
      </c>
      <c r="R1106" s="4">
        <f>IF(AND(N1106=1,O1106=1),"On Track",IF(O1106=0,"Customer Delivery Late","Ship Late"))</f>
        <v/>
      </c>
    </row>
    <row r="1107">
      <c r="A1107" s="2" t="inlineStr">
        <is>
          <t>ORD-01106</t>
        </is>
      </c>
      <c r="B1107" s="2" t="inlineStr">
        <is>
          <t>Customer 16</t>
        </is>
      </c>
      <c r="C1107" s="2" t="inlineStr">
        <is>
          <t>Drive</t>
        </is>
      </c>
      <c r="D1107" s="2" t="inlineStr">
        <is>
          <t>Plant C</t>
        </is>
      </c>
      <c r="E1107" s="2" t="inlineStr">
        <is>
          <t>North</t>
        </is>
      </c>
      <c r="F1107" s="12" t="n">
        <v>46170</v>
      </c>
      <c r="G1107" s="12" t="n">
        <v>46181</v>
      </c>
      <c r="H1107" s="12" t="n">
        <v>46179</v>
      </c>
      <c r="I1107" s="12" t="n">
        <v>46178</v>
      </c>
      <c r="J1107" s="12" t="n">
        <v>46180</v>
      </c>
      <c r="K1107" s="2" t="n">
        <v>1394</v>
      </c>
      <c r="L1107" s="2" t="inlineStr">
        <is>
          <t>Road</t>
        </is>
      </c>
      <c r="M1107" s="2" t="inlineStr">
        <is>
          <t>No Delay</t>
        </is>
      </c>
      <c r="N1107" s="4">
        <f>IF(I1107&lt;=H1107,1,0)</f>
        <v/>
      </c>
      <c r="O1107" s="4">
        <f>IF(J1107&lt;=G1107,1,0)</f>
        <v/>
      </c>
      <c r="P1107" s="4">
        <f>MAX(0,I1107-H1107)</f>
        <v/>
      </c>
      <c r="Q1107" s="4">
        <f>MAX(0,J1107-G1107)</f>
        <v/>
      </c>
      <c r="R1107" s="4">
        <f>IF(AND(N1107=1,O1107=1),"On Track",IF(O1107=0,"Customer Delivery Late","Ship Late"))</f>
        <v/>
      </c>
    </row>
    <row r="1108">
      <c r="A1108" s="2" t="inlineStr">
        <is>
          <t>ORD-01107</t>
        </is>
      </c>
      <c r="B1108" s="2" t="inlineStr">
        <is>
          <t>Customer 29</t>
        </is>
      </c>
      <c r="C1108" s="2" t="inlineStr">
        <is>
          <t>Drive</t>
        </is>
      </c>
      <c r="D1108" s="2" t="inlineStr">
        <is>
          <t>Plant A</t>
        </is>
      </c>
      <c r="E1108" s="2" t="inlineStr">
        <is>
          <t>Central</t>
        </is>
      </c>
      <c r="F1108" s="12" t="n">
        <v>46039</v>
      </c>
      <c r="G1108" s="12" t="n">
        <v>46046</v>
      </c>
      <c r="H1108" s="12" t="n">
        <v>46045</v>
      </c>
      <c r="I1108" s="12" t="n">
        <v>46043</v>
      </c>
      <c r="J1108" s="12" t="n">
        <v>46044</v>
      </c>
      <c r="K1108" s="2" t="n">
        <v>446</v>
      </c>
      <c r="L1108" s="2" t="inlineStr">
        <is>
          <t>Air</t>
        </is>
      </c>
      <c r="M1108" s="2" t="inlineStr">
        <is>
          <t>No Delay</t>
        </is>
      </c>
      <c r="N1108" s="4">
        <f>IF(I1108&lt;=H1108,1,0)</f>
        <v/>
      </c>
      <c r="O1108" s="4">
        <f>IF(J1108&lt;=G1108,1,0)</f>
        <v/>
      </c>
      <c r="P1108" s="4">
        <f>MAX(0,I1108-H1108)</f>
        <v/>
      </c>
      <c r="Q1108" s="4">
        <f>MAX(0,J1108-G1108)</f>
        <v/>
      </c>
      <c r="R1108" s="4">
        <f>IF(AND(N1108=1,O1108=1),"On Track",IF(O1108=0,"Customer Delivery Late","Ship Late"))</f>
        <v/>
      </c>
    </row>
    <row r="1109">
      <c r="A1109" s="2" t="inlineStr">
        <is>
          <t>ORD-01108</t>
        </is>
      </c>
      <c r="B1109" s="2" t="inlineStr">
        <is>
          <t>Customer 06</t>
        </is>
      </c>
      <c r="C1109" s="2" t="inlineStr">
        <is>
          <t>Sensor</t>
        </is>
      </c>
      <c r="D1109" s="2" t="inlineStr">
        <is>
          <t>Plant B</t>
        </is>
      </c>
      <c r="E1109" s="2" t="inlineStr">
        <is>
          <t>North</t>
        </is>
      </c>
      <c r="F1109" s="12" t="n">
        <v>46039</v>
      </c>
      <c r="G1109" s="12" t="n">
        <v>46055</v>
      </c>
      <c r="H1109" s="12" t="n">
        <v>46050</v>
      </c>
      <c r="I1109" s="12" t="n">
        <v>46050</v>
      </c>
      <c r="J1109" s="12" t="n">
        <v>46055</v>
      </c>
      <c r="K1109" s="2" t="n">
        <v>1160</v>
      </c>
      <c r="L1109" s="2" t="inlineStr">
        <is>
          <t>Road</t>
        </is>
      </c>
      <c r="M1109" s="2" t="inlineStr">
        <is>
          <t>No Delay</t>
        </is>
      </c>
      <c r="N1109" s="4">
        <f>IF(I1109&lt;=H1109,1,0)</f>
        <v/>
      </c>
      <c r="O1109" s="4">
        <f>IF(J1109&lt;=G1109,1,0)</f>
        <v/>
      </c>
      <c r="P1109" s="4">
        <f>MAX(0,I1109-H1109)</f>
        <v/>
      </c>
      <c r="Q1109" s="4">
        <f>MAX(0,J1109-G1109)</f>
        <v/>
      </c>
      <c r="R1109" s="4">
        <f>IF(AND(N1109=1,O1109=1),"On Track",IF(O1109=0,"Customer Delivery Late","Ship Late"))</f>
        <v/>
      </c>
    </row>
    <row r="1110">
      <c r="A1110" s="2" t="inlineStr">
        <is>
          <t>ORD-01109</t>
        </is>
      </c>
      <c r="B1110" s="2" t="inlineStr">
        <is>
          <t>Customer 21</t>
        </is>
      </c>
      <c r="C1110" s="2" t="inlineStr">
        <is>
          <t>Switchgear</t>
        </is>
      </c>
      <c r="D1110" s="2" t="inlineStr">
        <is>
          <t>Plant C</t>
        </is>
      </c>
      <c r="E1110" s="2" t="inlineStr">
        <is>
          <t>South</t>
        </is>
      </c>
      <c r="F1110" s="12" t="n">
        <v>46061</v>
      </c>
      <c r="G1110" s="12" t="n">
        <v>46071</v>
      </c>
      <c r="H1110" s="12" t="n">
        <v>46067</v>
      </c>
      <c r="I1110" s="12" t="n">
        <v>46067</v>
      </c>
      <c r="J1110" s="12" t="n">
        <v>46071</v>
      </c>
      <c r="K1110" s="2" t="n">
        <v>1423</v>
      </c>
      <c r="L1110" s="2" t="inlineStr">
        <is>
          <t>Road</t>
        </is>
      </c>
      <c r="M1110" s="2" t="inlineStr">
        <is>
          <t>No Delay</t>
        </is>
      </c>
      <c r="N1110" s="4">
        <f>IF(I1110&lt;=H1110,1,0)</f>
        <v/>
      </c>
      <c r="O1110" s="4">
        <f>IF(J1110&lt;=G1110,1,0)</f>
        <v/>
      </c>
      <c r="P1110" s="4">
        <f>MAX(0,I1110-H1110)</f>
        <v/>
      </c>
      <c r="Q1110" s="4">
        <f>MAX(0,J1110-G1110)</f>
        <v/>
      </c>
      <c r="R1110" s="4">
        <f>IF(AND(N1110=1,O1110=1),"On Track",IF(O1110=0,"Customer Delivery Late","Ship Late"))</f>
        <v/>
      </c>
    </row>
    <row r="1111">
      <c r="A1111" s="2" t="inlineStr">
        <is>
          <t>ORD-01110</t>
        </is>
      </c>
      <c r="B1111" s="2" t="inlineStr">
        <is>
          <t>Customer 16</t>
        </is>
      </c>
      <c r="C1111" s="2" t="inlineStr">
        <is>
          <t>Relay</t>
        </is>
      </c>
      <c r="D1111" s="2" t="inlineStr">
        <is>
          <t>Plant A</t>
        </is>
      </c>
      <c r="E1111" s="2" t="inlineStr">
        <is>
          <t>South</t>
        </is>
      </c>
      <c r="F1111" s="12" t="n">
        <v>46052</v>
      </c>
      <c r="G1111" s="12" t="n">
        <v>46061</v>
      </c>
      <c r="H1111" s="12" t="n">
        <v>46057</v>
      </c>
      <c r="I1111" s="12" t="n">
        <v>46055</v>
      </c>
      <c r="J1111" s="12" t="n">
        <v>46059</v>
      </c>
      <c r="K1111" s="2" t="n">
        <v>913</v>
      </c>
      <c r="L1111" s="2" t="inlineStr">
        <is>
          <t>Sea</t>
        </is>
      </c>
      <c r="M1111" s="2" t="inlineStr">
        <is>
          <t>No Delay</t>
        </is>
      </c>
      <c r="N1111" s="4">
        <f>IF(I1111&lt;=H1111,1,0)</f>
        <v/>
      </c>
      <c r="O1111" s="4">
        <f>IF(J1111&lt;=G1111,1,0)</f>
        <v/>
      </c>
      <c r="P1111" s="4">
        <f>MAX(0,I1111-H1111)</f>
        <v/>
      </c>
      <c r="Q1111" s="4">
        <f>MAX(0,J1111-G1111)</f>
        <v/>
      </c>
      <c r="R1111" s="4">
        <f>IF(AND(N1111=1,O1111=1),"On Track",IF(O1111=0,"Customer Delivery Late","Ship Late"))</f>
        <v/>
      </c>
    </row>
    <row r="1112">
      <c r="A1112" s="2" t="inlineStr">
        <is>
          <t>ORD-01111</t>
        </is>
      </c>
      <c r="B1112" s="2" t="inlineStr">
        <is>
          <t>Customer 29</t>
        </is>
      </c>
      <c r="C1112" s="2" t="inlineStr">
        <is>
          <t>Drive</t>
        </is>
      </c>
      <c r="D1112" s="2" t="inlineStr">
        <is>
          <t>Plant A</t>
        </is>
      </c>
      <c r="E1112" s="2" t="inlineStr">
        <is>
          <t>Central</t>
        </is>
      </c>
      <c r="F1112" s="12" t="n">
        <v>46169</v>
      </c>
      <c r="G1112" s="12" t="n">
        <v>46179</v>
      </c>
      <c r="H1112" s="12" t="n">
        <v>46175</v>
      </c>
      <c r="I1112" s="12" t="n">
        <v>46174</v>
      </c>
      <c r="J1112" s="12" t="n">
        <v>46178</v>
      </c>
      <c r="K1112" s="2" t="n">
        <v>286</v>
      </c>
      <c r="L1112" s="2" t="inlineStr">
        <is>
          <t>Sea</t>
        </is>
      </c>
      <c r="M1112" s="2" t="inlineStr">
        <is>
          <t>No Delay</t>
        </is>
      </c>
      <c r="N1112" s="4">
        <f>IF(I1112&lt;=H1112,1,0)</f>
        <v/>
      </c>
      <c r="O1112" s="4">
        <f>IF(J1112&lt;=G1112,1,0)</f>
        <v/>
      </c>
      <c r="P1112" s="4">
        <f>MAX(0,I1112-H1112)</f>
        <v/>
      </c>
      <c r="Q1112" s="4">
        <f>MAX(0,J1112-G1112)</f>
        <v/>
      </c>
      <c r="R1112" s="4">
        <f>IF(AND(N1112=1,O1112=1),"On Track",IF(O1112=0,"Customer Delivery Late","Ship Late"))</f>
        <v/>
      </c>
    </row>
    <row r="1113">
      <c r="A1113" s="2" t="inlineStr">
        <is>
          <t>ORD-01112</t>
        </is>
      </c>
      <c r="B1113" s="2" t="inlineStr">
        <is>
          <t>Customer 26</t>
        </is>
      </c>
      <c r="C1113" s="2" t="inlineStr">
        <is>
          <t>Contactor</t>
        </is>
      </c>
      <c r="D1113" s="2" t="inlineStr">
        <is>
          <t>Plant B</t>
        </is>
      </c>
      <c r="E1113" s="2" t="inlineStr">
        <is>
          <t>Export</t>
        </is>
      </c>
      <c r="F1113" s="12" t="n">
        <v>46099</v>
      </c>
      <c r="G1113" s="12" t="n">
        <v>46116</v>
      </c>
      <c r="H1113" s="12" t="n">
        <v>46114</v>
      </c>
      <c r="I1113" s="12" t="n">
        <v>46114</v>
      </c>
      <c r="J1113" s="12" t="n">
        <v>46116</v>
      </c>
      <c r="K1113" s="2" t="n">
        <v>42</v>
      </c>
      <c r="L1113" s="2" t="inlineStr">
        <is>
          <t>Sea</t>
        </is>
      </c>
      <c r="M1113" s="2" t="inlineStr">
        <is>
          <t>No Delay</t>
        </is>
      </c>
      <c r="N1113" s="4">
        <f>IF(I1113&lt;=H1113,1,0)</f>
        <v/>
      </c>
      <c r="O1113" s="4">
        <f>IF(J1113&lt;=G1113,1,0)</f>
        <v/>
      </c>
      <c r="P1113" s="4">
        <f>MAX(0,I1113-H1113)</f>
        <v/>
      </c>
      <c r="Q1113" s="4">
        <f>MAX(0,J1113-G1113)</f>
        <v/>
      </c>
      <c r="R1113" s="4">
        <f>IF(AND(N1113=1,O1113=1),"On Track",IF(O1113=0,"Customer Delivery Late","Ship Late"))</f>
        <v/>
      </c>
    </row>
    <row r="1114">
      <c r="A1114" s="2" t="inlineStr">
        <is>
          <t>ORD-01113</t>
        </is>
      </c>
      <c r="B1114" s="2" t="inlineStr">
        <is>
          <t>Customer 17</t>
        </is>
      </c>
      <c r="C1114" s="2" t="inlineStr">
        <is>
          <t>Breaker</t>
        </is>
      </c>
      <c r="D1114" s="2" t="inlineStr">
        <is>
          <t>Plant B</t>
        </is>
      </c>
      <c r="E1114" s="2" t="inlineStr">
        <is>
          <t>South</t>
        </is>
      </c>
      <c r="F1114" s="12" t="n">
        <v>46174</v>
      </c>
      <c r="G1114" s="12" t="n">
        <v>46192</v>
      </c>
      <c r="H1114" s="12" t="n">
        <v>46190</v>
      </c>
      <c r="I1114" s="12" t="n">
        <v>46189</v>
      </c>
      <c r="J1114" s="12" t="n">
        <v>46192</v>
      </c>
      <c r="K1114" s="2" t="n">
        <v>351</v>
      </c>
      <c r="L1114" s="2" t="inlineStr">
        <is>
          <t>Road</t>
        </is>
      </c>
      <c r="M1114" s="2" t="inlineStr">
        <is>
          <t>No Delay</t>
        </is>
      </c>
      <c r="N1114" s="4">
        <f>IF(I1114&lt;=H1114,1,0)</f>
        <v/>
      </c>
      <c r="O1114" s="4">
        <f>IF(J1114&lt;=G1114,1,0)</f>
        <v/>
      </c>
      <c r="P1114" s="4">
        <f>MAX(0,I1114-H1114)</f>
        <v/>
      </c>
      <c r="Q1114" s="4">
        <f>MAX(0,J1114-G1114)</f>
        <v/>
      </c>
      <c r="R1114" s="4">
        <f>IF(AND(N1114=1,O1114=1),"On Track",IF(O1114=0,"Customer Delivery Late","Ship Late"))</f>
        <v/>
      </c>
    </row>
    <row r="1115">
      <c r="A1115" s="2" t="inlineStr">
        <is>
          <t>ORD-01114</t>
        </is>
      </c>
      <c r="B1115" s="2" t="inlineStr">
        <is>
          <t>Customer 25</t>
        </is>
      </c>
      <c r="C1115" s="2" t="inlineStr">
        <is>
          <t>Switchgear</t>
        </is>
      </c>
      <c r="D1115" s="2" t="inlineStr">
        <is>
          <t>Plant C</t>
        </is>
      </c>
      <c r="E1115" s="2" t="inlineStr">
        <is>
          <t>North</t>
        </is>
      </c>
      <c r="F1115" s="12" t="n">
        <v>46189</v>
      </c>
      <c r="G1115" s="12" t="n">
        <v>46201</v>
      </c>
      <c r="H1115" s="12" t="n">
        <v>46198</v>
      </c>
      <c r="I1115" s="12" t="n">
        <v>46197</v>
      </c>
      <c r="J1115" s="12" t="n">
        <v>46199</v>
      </c>
      <c r="K1115" s="2" t="n">
        <v>691</v>
      </c>
      <c r="L1115" s="2" t="inlineStr">
        <is>
          <t>Sea</t>
        </is>
      </c>
      <c r="M1115" s="2" t="inlineStr">
        <is>
          <t>No Delay</t>
        </is>
      </c>
      <c r="N1115" s="4">
        <f>IF(I1115&lt;=H1115,1,0)</f>
        <v/>
      </c>
      <c r="O1115" s="4">
        <f>IF(J1115&lt;=G1115,1,0)</f>
        <v/>
      </c>
      <c r="P1115" s="4">
        <f>MAX(0,I1115-H1115)</f>
        <v/>
      </c>
      <c r="Q1115" s="4">
        <f>MAX(0,J1115-G1115)</f>
        <v/>
      </c>
      <c r="R1115" s="4">
        <f>IF(AND(N1115=1,O1115=1),"On Track",IF(O1115=0,"Customer Delivery Late","Ship Late"))</f>
        <v/>
      </c>
    </row>
    <row r="1116">
      <c r="A1116" s="2" t="inlineStr">
        <is>
          <t>ORD-01115</t>
        </is>
      </c>
      <c r="B1116" s="2" t="inlineStr">
        <is>
          <t>Customer 29</t>
        </is>
      </c>
      <c r="C1116" s="2" t="inlineStr">
        <is>
          <t>Switchgear</t>
        </is>
      </c>
      <c r="D1116" s="2" t="inlineStr">
        <is>
          <t>Plant B</t>
        </is>
      </c>
      <c r="E1116" s="2" t="inlineStr">
        <is>
          <t>Export</t>
        </is>
      </c>
      <c r="F1116" s="12" t="n">
        <v>46031</v>
      </c>
      <c r="G1116" s="12" t="n">
        <v>46040</v>
      </c>
      <c r="H1116" s="12" t="n">
        <v>46035</v>
      </c>
      <c r="I1116" s="12" t="n">
        <v>46035</v>
      </c>
      <c r="J1116" s="12" t="n">
        <v>46040</v>
      </c>
      <c r="K1116" s="2" t="n">
        <v>83</v>
      </c>
      <c r="L1116" s="2" t="inlineStr">
        <is>
          <t>Sea</t>
        </is>
      </c>
      <c r="M1116" s="2" t="inlineStr">
        <is>
          <t>No Delay</t>
        </is>
      </c>
      <c r="N1116" s="4">
        <f>IF(I1116&lt;=H1116,1,0)</f>
        <v/>
      </c>
      <c r="O1116" s="4">
        <f>IF(J1116&lt;=G1116,1,0)</f>
        <v/>
      </c>
      <c r="P1116" s="4">
        <f>MAX(0,I1116-H1116)</f>
        <v/>
      </c>
      <c r="Q1116" s="4">
        <f>MAX(0,J1116-G1116)</f>
        <v/>
      </c>
      <c r="R1116" s="4">
        <f>IF(AND(N1116=1,O1116=1),"On Track",IF(O1116=0,"Customer Delivery Late","Ship Late"))</f>
        <v/>
      </c>
    </row>
    <row r="1117">
      <c r="A1117" s="2" t="inlineStr">
        <is>
          <t>ORD-01116</t>
        </is>
      </c>
      <c r="B1117" s="2" t="inlineStr">
        <is>
          <t>Customer 05</t>
        </is>
      </c>
      <c r="C1117" s="2" t="inlineStr">
        <is>
          <t>Drive</t>
        </is>
      </c>
      <c r="D1117" s="2" t="inlineStr">
        <is>
          <t>Plant C</t>
        </is>
      </c>
      <c r="E1117" s="2" t="inlineStr">
        <is>
          <t>South</t>
        </is>
      </c>
      <c r="F1117" s="12" t="n">
        <v>46195</v>
      </c>
      <c r="G1117" s="12" t="n">
        <v>46208</v>
      </c>
      <c r="H1117" s="12" t="n">
        <v>46204</v>
      </c>
      <c r="I1117" s="12" t="n">
        <v>46204</v>
      </c>
      <c r="J1117" s="12" t="n">
        <v>46208</v>
      </c>
      <c r="K1117" s="2" t="n">
        <v>1141</v>
      </c>
      <c r="L1117" s="2" t="inlineStr">
        <is>
          <t>Road</t>
        </is>
      </c>
      <c r="M1117" s="2" t="inlineStr">
        <is>
          <t>No Delay</t>
        </is>
      </c>
      <c r="N1117" s="4">
        <f>IF(I1117&lt;=H1117,1,0)</f>
        <v/>
      </c>
      <c r="O1117" s="4">
        <f>IF(J1117&lt;=G1117,1,0)</f>
        <v/>
      </c>
      <c r="P1117" s="4">
        <f>MAX(0,I1117-H1117)</f>
        <v/>
      </c>
      <c r="Q1117" s="4">
        <f>MAX(0,J1117-G1117)</f>
        <v/>
      </c>
      <c r="R1117" s="4">
        <f>IF(AND(N1117=1,O1117=1),"On Track",IF(O1117=0,"Customer Delivery Late","Ship Late"))</f>
        <v/>
      </c>
    </row>
    <row r="1118">
      <c r="A1118" s="2" t="inlineStr">
        <is>
          <t>ORD-01117</t>
        </is>
      </c>
      <c r="B1118" s="2" t="inlineStr">
        <is>
          <t>Customer 29</t>
        </is>
      </c>
      <c r="C1118" s="2" t="inlineStr">
        <is>
          <t>Contactor</t>
        </is>
      </c>
      <c r="D1118" s="2" t="inlineStr">
        <is>
          <t>Plant A</t>
        </is>
      </c>
      <c r="E1118" s="2" t="inlineStr">
        <is>
          <t>Central</t>
        </is>
      </c>
      <c r="F1118" s="12" t="n">
        <v>46148</v>
      </c>
      <c r="G1118" s="12" t="n">
        <v>46162</v>
      </c>
      <c r="H1118" s="12" t="n">
        <v>46159</v>
      </c>
      <c r="I1118" s="12" t="n">
        <v>46158</v>
      </c>
      <c r="J1118" s="12" t="n">
        <v>46161</v>
      </c>
      <c r="K1118" s="2" t="n">
        <v>229</v>
      </c>
      <c r="L1118" s="2" t="inlineStr">
        <is>
          <t>Road</t>
        </is>
      </c>
      <c r="M1118" s="2" t="inlineStr">
        <is>
          <t>No Delay</t>
        </is>
      </c>
      <c r="N1118" s="4">
        <f>IF(I1118&lt;=H1118,1,0)</f>
        <v/>
      </c>
      <c r="O1118" s="4">
        <f>IF(J1118&lt;=G1118,1,0)</f>
        <v/>
      </c>
      <c r="P1118" s="4">
        <f>MAX(0,I1118-H1118)</f>
        <v/>
      </c>
      <c r="Q1118" s="4">
        <f>MAX(0,J1118-G1118)</f>
        <v/>
      </c>
      <c r="R1118" s="4">
        <f>IF(AND(N1118=1,O1118=1),"On Track",IF(O1118=0,"Customer Delivery Late","Ship Late"))</f>
        <v/>
      </c>
    </row>
    <row r="1119">
      <c r="A1119" s="2" t="inlineStr">
        <is>
          <t>ORD-01118</t>
        </is>
      </c>
      <c r="B1119" s="2" t="inlineStr">
        <is>
          <t>Customer 01</t>
        </is>
      </c>
      <c r="C1119" s="2" t="inlineStr">
        <is>
          <t>Breaker</t>
        </is>
      </c>
      <c r="D1119" s="2" t="inlineStr">
        <is>
          <t>Plant C</t>
        </is>
      </c>
      <c r="E1119" s="2" t="inlineStr">
        <is>
          <t>South</t>
        </is>
      </c>
      <c r="F1119" s="12" t="n">
        <v>46042</v>
      </c>
      <c r="G1119" s="12" t="n">
        <v>46052</v>
      </c>
      <c r="H1119" s="12" t="n">
        <v>46049</v>
      </c>
      <c r="I1119" s="12" t="n">
        <v>46049</v>
      </c>
      <c r="J1119" s="12" t="n">
        <v>46051</v>
      </c>
      <c r="K1119" s="2" t="n">
        <v>1274</v>
      </c>
      <c r="L1119" s="2" t="inlineStr">
        <is>
          <t>Road</t>
        </is>
      </c>
      <c r="M1119" s="2" t="inlineStr">
        <is>
          <t>No Delay</t>
        </is>
      </c>
      <c r="N1119" s="4">
        <f>IF(I1119&lt;=H1119,1,0)</f>
        <v/>
      </c>
      <c r="O1119" s="4">
        <f>IF(J1119&lt;=G1119,1,0)</f>
        <v/>
      </c>
      <c r="P1119" s="4">
        <f>MAX(0,I1119-H1119)</f>
        <v/>
      </c>
      <c r="Q1119" s="4">
        <f>MAX(0,J1119-G1119)</f>
        <v/>
      </c>
      <c r="R1119" s="4">
        <f>IF(AND(N1119=1,O1119=1),"On Track",IF(O1119=0,"Customer Delivery Late","Ship Late"))</f>
        <v/>
      </c>
    </row>
    <row r="1120">
      <c r="A1120" s="2" t="inlineStr">
        <is>
          <t>ORD-01119</t>
        </is>
      </c>
      <c r="B1120" s="2" t="inlineStr">
        <is>
          <t>Customer 23</t>
        </is>
      </c>
      <c r="C1120" s="2" t="inlineStr">
        <is>
          <t>Relay</t>
        </is>
      </c>
      <c r="D1120" s="2" t="inlineStr">
        <is>
          <t>Plant A</t>
        </is>
      </c>
      <c r="E1120" s="2" t="inlineStr">
        <is>
          <t>North</t>
        </is>
      </c>
      <c r="F1120" s="12" t="n">
        <v>46062</v>
      </c>
      <c r="G1120" s="12" t="n">
        <v>46085</v>
      </c>
      <c r="H1120" s="12" t="n">
        <v>46081</v>
      </c>
      <c r="I1120" s="12" t="n">
        <v>46080</v>
      </c>
      <c r="J1120" s="12" t="n">
        <v>46085</v>
      </c>
      <c r="K1120" s="2" t="n">
        <v>390</v>
      </c>
      <c r="L1120" s="2" t="inlineStr">
        <is>
          <t>Road</t>
        </is>
      </c>
      <c r="M1120" s="2" t="inlineStr">
        <is>
          <t>No Delay</t>
        </is>
      </c>
      <c r="N1120" s="4">
        <f>IF(I1120&lt;=H1120,1,0)</f>
        <v/>
      </c>
      <c r="O1120" s="4">
        <f>IF(J1120&lt;=G1120,1,0)</f>
        <v/>
      </c>
      <c r="P1120" s="4">
        <f>MAX(0,I1120-H1120)</f>
        <v/>
      </c>
      <c r="Q1120" s="4">
        <f>MAX(0,J1120-G1120)</f>
        <v/>
      </c>
      <c r="R1120" s="4">
        <f>IF(AND(N1120=1,O1120=1),"On Track",IF(O1120=0,"Customer Delivery Late","Ship Late"))</f>
        <v/>
      </c>
    </row>
    <row r="1121">
      <c r="A1121" s="2" t="inlineStr">
        <is>
          <t>ORD-01120</t>
        </is>
      </c>
      <c r="B1121" s="2" t="inlineStr">
        <is>
          <t>Customer 13</t>
        </is>
      </c>
      <c r="C1121" s="2" t="inlineStr">
        <is>
          <t>Drive</t>
        </is>
      </c>
      <c r="D1121" s="2" t="inlineStr">
        <is>
          <t>Plant C</t>
        </is>
      </c>
      <c r="E1121" s="2" t="inlineStr">
        <is>
          <t>Central</t>
        </is>
      </c>
      <c r="F1121" s="12" t="n">
        <v>46046</v>
      </c>
      <c r="G1121" s="12" t="n">
        <v>46051</v>
      </c>
      <c r="H1121" s="12" t="n">
        <v>46047</v>
      </c>
      <c r="I1121" s="12" t="n">
        <v>46045</v>
      </c>
      <c r="J1121" s="12" t="n">
        <v>46048</v>
      </c>
      <c r="K1121" s="2" t="n">
        <v>984</v>
      </c>
      <c r="L1121" s="2" t="inlineStr">
        <is>
          <t>Road</t>
        </is>
      </c>
      <c r="M1121" s="2" t="inlineStr">
        <is>
          <t>No Delay</t>
        </is>
      </c>
      <c r="N1121" s="4">
        <f>IF(I1121&lt;=H1121,1,0)</f>
        <v/>
      </c>
      <c r="O1121" s="4">
        <f>IF(J1121&lt;=G1121,1,0)</f>
        <v/>
      </c>
      <c r="P1121" s="4">
        <f>MAX(0,I1121-H1121)</f>
        <v/>
      </c>
      <c r="Q1121" s="4">
        <f>MAX(0,J1121-G1121)</f>
        <v/>
      </c>
      <c r="R1121" s="4">
        <f>IF(AND(N1121=1,O1121=1),"On Track",IF(O1121=0,"Customer Delivery Late","Ship Late"))</f>
        <v/>
      </c>
    </row>
    <row r="1122">
      <c r="A1122" s="2" t="inlineStr">
        <is>
          <t>ORD-01121</t>
        </is>
      </c>
      <c r="B1122" s="2" t="inlineStr">
        <is>
          <t>Customer 01</t>
        </is>
      </c>
      <c r="C1122" s="2" t="inlineStr">
        <is>
          <t>Contactor</t>
        </is>
      </c>
      <c r="D1122" s="2" t="inlineStr">
        <is>
          <t>Plant A</t>
        </is>
      </c>
      <c r="E1122" s="2" t="inlineStr">
        <is>
          <t>Central</t>
        </is>
      </c>
      <c r="F1122" s="12" t="n">
        <v>46149</v>
      </c>
      <c r="G1122" s="12" t="n">
        <v>46173</v>
      </c>
      <c r="H1122" s="12" t="n">
        <v>46171</v>
      </c>
      <c r="I1122" s="12" t="n">
        <v>46171</v>
      </c>
      <c r="J1122" s="12" t="n">
        <v>46173</v>
      </c>
      <c r="K1122" s="2" t="n">
        <v>549</v>
      </c>
      <c r="L1122" s="2" t="inlineStr">
        <is>
          <t>Road</t>
        </is>
      </c>
      <c r="M1122" s="2" t="inlineStr">
        <is>
          <t>No Delay</t>
        </is>
      </c>
      <c r="N1122" s="4">
        <f>IF(I1122&lt;=H1122,1,0)</f>
        <v/>
      </c>
      <c r="O1122" s="4">
        <f>IF(J1122&lt;=G1122,1,0)</f>
        <v/>
      </c>
      <c r="P1122" s="4">
        <f>MAX(0,I1122-H1122)</f>
        <v/>
      </c>
      <c r="Q1122" s="4">
        <f>MAX(0,J1122-G1122)</f>
        <v/>
      </c>
      <c r="R1122" s="4">
        <f>IF(AND(N1122=1,O1122=1),"On Track",IF(O1122=0,"Customer Delivery Late","Ship Late"))</f>
        <v/>
      </c>
    </row>
    <row r="1123">
      <c r="A1123" s="2" t="inlineStr">
        <is>
          <t>ORD-01122</t>
        </is>
      </c>
      <c r="B1123" s="2" t="inlineStr">
        <is>
          <t>Customer 11</t>
        </is>
      </c>
      <c r="C1123" s="2" t="inlineStr">
        <is>
          <t>PLC</t>
        </is>
      </c>
      <c r="D1123" s="2" t="inlineStr">
        <is>
          <t>Plant A</t>
        </is>
      </c>
      <c r="E1123" s="2" t="inlineStr">
        <is>
          <t>Export</t>
        </is>
      </c>
      <c r="F1123" s="12" t="n">
        <v>46161</v>
      </c>
      <c r="G1123" s="12" t="n">
        <v>46184</v>
      </c>
      <c r="H1123" s="12" t="n">
        <v>46182</v>
      </c>
      <c r="I1123" s="12" t="n">
        <v>46182</v>
      </c>
      <c r="J1123" s="12" t="n">
        <v>46184</v>
      </c>
      <c r="K1123" s="2" t="n">
        <v>1311</v>
      </c>
      <c r="L1123" s="2" t="inlineStr">
        <is>
          <t>Sea</t>
        </is>
      </c>
      <c r="M1123" s="2" t="inlineStr">
        <is>
          <t>No Delay</t>
        </is>
      </c>
      <c r="N1123" s="4">
        <f>IF(I1123&lt;=H1123,1,0)</f>
        <v/>
      </c>
      <c r="O1123" s="4">
        <f>IF(J1123&lt;=G1123,1,0)</f>
        <v/>
      </c>
      <c r="P1123" s="4">
        <f>MAX(0,I1123-H1123)</f>
        <v/>
      </c>
      <c r="Q1123" s="4">
        <f>MAX(0,J1123-G1123)</f>
        <v/>
      </c>
      <c r="R1123" s="4">
        <f>IF(AND(N1123=1,O1123=1),"On Track",IF(O1123=0,"Customer Delivery Late","Ship Late"))</f>
        <v/>
      </c>
    </row>
    <row r="1124">
      <c r="A1124" s="2" t="inlineStr">
        <is>
          <t>ORD-01123</t>
        </is>
      </c>
      <c r="B1124" s="2" t="inlineStr">
        <is>
          <t>Customer 12</t>
        </is>
      </c>
      <c r="C1124" s="2" t="inlineStr">
        <is>
          <t>PLC</t>
        </is>
      </c>
      <c r="D1124" s="2" t="inlineStr">
        <is>
          <t>Plant C</t>
        </is>
      </c>
      <c r="E1124" s="2" t="inlineStr">
        <is>
          <t>North</t>
        </is>
      </c>
      <c r="F1124" s="12" t="n">
        <v>46098</v>
      </c>
      <c r="G1124" s="12" t="n">
        <v>46122</v>
      </c>
      <c r="H1124" s="12" t="n">
        <v>46118</v>
      </c>
      <c r="I1124" s="12" t="n">
        <v>46117</v>
      </c>
      <c r="J1124" s="12" t="n">
        <v>46121</v>
      </c>
      <c r="K1124" s="2" t="n">
        <v>1351</v>
      </c>
      <c r="L1124" s="2" t="inlineStr">
        <is>
          <t>Sea</t>
        </is>
      </c>
      <c r="M1124" s="2" t="inlineStr">
        <is>
          <t>No Delay</t>
        </is>
      </c>
      <c r="N1124" s="4">
        <f>IF(I1124&lt;=H1124,1,0)</f>
        <v/>
      </c>
      <c r="O1124" s="4">
        <f>IF(J1124&lt;=G1124,1,0)</f>
        <v/>
      </c>
      <c r="P1124" s="4">
        <f>MAX(0,I1124-H1124)</f>
        <v/>
      </c>
      <c r="Q1124" s="4">
        <f>MAX(0,J1124-G1124)</f>
        <v/>
      </c>
      <c r="R1124" s="4">
        <f>IF(AND(N1124=1,O1124=1),"On Track",IF(O1124=0,"Customer Delivery Late","Ship Late"))</f>
        <v/>
      </c>
    </row>
    <row r="1125">
      <c r="A1125" s="2" t="inlineStr">
        <is>
          <t>ORD-01124</t>
        </is>
      </c>
      <c r="B1125" s="2" t="inlineStr">
        <is>
          <t>Customer 02</t>
        </is>
      </c>
      <c r="C1125" s="2" t="inlineStr">
        <is>
          <t>Power Supply</t>
        </is>
      </c>
      <c r="D1125" s="2" t="inlineStr">
        <is>
          <t>Plant A</t>
        </is>
      </c>
      <c r="E1125" s="2" t="inlineStr">
        <is>
          <t>Export</t>
        </is>
      </c>
      <c r="F1125" s="12" t="n">
        <v>46087</v>
      </c>
      <c r="G1125" s="12" t="n">
        <v>46101</v>
      </c>
      <c r="H1125" s="12" t="n">
        <v>46099</v>
      </c>
      <c r="I1125" s="12" t="n">
        <v>46097</v>
      </c>
      <c r="J1125" s="12" t="n">
        <v>46099</v>
      </c>
      <c r="K1125" s="2" t="n">
        <v>34</v>
      </c>
      <c r="L1125" s="2" t="inlineStr">
        <is>
          <t>Sea</t>
        </is>
      </c>
      <c r="M1125" s="2" t="inlineStr">
        <is>
          <t>No Delay</t>
        </is>
      </c>
      <c r="N1125" s="4">
        <f>IF(I1125&lt;=H1125,1,0)</f>
        <v/>
      </c>
      <c r="O1125" s="4">
        <f>IF(J1125&lt;=G1125,1,0)</f>
        <v/>
      </c>
      <c r="P1125" s="4">
        <f>MAX(0,I1125-H1125)</f>
        <v/>
      </c>
      <c r="Q1125" s="4">
        <f>MAX(0,J1125-G1125)</f>
        <v/>
      </c>
      <c r="R1125" s="4">
        <f>IF(AND(N1125=1,O1125=1),"On Track",IF(O1125=0,"Customer Delivery Late","Ship Late"))</f>
        <v/>
      </c>
    </row>
    <row r="1126">
      <c r="A1126" s="2" t="inlineStr">
        <is>
          <t>ORD-01125</t>
        </is>
      </c>
      <c r="B1126" s="2" t="inlineStr">
        <is>
          <t>Customer 27</t>
        </is>
      </c>
      <c r="C1126" s="2" t="inlineStr">
        <is>
          <t>Drive</t>
        </is>
      </c>
      <c r="D1126" s="2" t="inlineStr">
        <is>
          <t>Plant B</t>
        </is>
      </c>
      <c r="E1126" s="2" t="inlineStr">
        <is>
          <t>South</t>
        </is>
      </c>
      <c r="F1126" s="12" t="n">
        <v>46195</v>
      </c>
      <c r="G1126" s="12" t="n">
        <v>46202</v>
      </c>
      <c r="H1126" s="12" t="n">
        <v>46199</v>
      </c>
      <c r="I1126" s="12" t="n">
        <v>46198</v>
      </c>
      <c r="J1126" s="12" t="n">
        <v>46202</v>
      </c>
      <c r="K1126" s="2" t="n">
        <v>993</v>
      </c>
      <c r="L1126" s="2" t="inlineStr">
        <is>
          <t>Air</t>
        </is>
      </c>
      <c r="M1126" s="2" t="inlineStr">
        <is>
          <t>No Delay</t>
        </is>
      </c>
      <c r="N1126" s="4">
        <f>IF(I1126&lt;=H1126,1,0)</f>
        <v/>
      </c>
      <c r="O1126" s="4">
        <f>IF(J1126&lt;=G1126,1,0)</f>
        <v/>
      </c>
      <c r="P1126" s="4">
        <f>MAX(0,I1126-H1126)</f>
        <v/>
      </c>
      <c r="Q1126" s="4">
        <f>MAX(0,J1126-G1126)</f>
        <v/>
      </c>
      <c r="R1126" s="4">
        <f>IF(AND(N1126=1,O1126=1),"On Track",IF(O1126=0,"Customer Delivery Late","Ship Late"))</f>
        <v/>
      </c>
    </row>
    <row r="1127">
      <c r="A1127" s="2" t="inlineStr">
        <is>
          <t>ORD-01126</t>
        </is>
      </c>
      <c r="B1127" s="2" t="inlineStr">
        <is>
          <t>Customer 02</t>
        </is>
      </c>
      <c r="C1127" s="2" t="inlineStr">
        <is>
          <t>Drive</t>
        </is>
      </c>
      <c r="D1127" s="2" t="inlineStr">
        <is>
          <t>Plant B</t>
        </is>
      </c>
      <c r="E1127" s="2" t="inlineStr">
        <is>
          <t>Export</t>
        </is>
      </c>
      <c r="F1127" s="12" t="n">
        <v>46150</v>
      </c>
      <c r="G1127" s="12" t="n">
        <v>46164</v>
      </c>
      <c r="H1127" s="12" t="n">
        <v>46160</v>
      </c>
      <c r="I1127" s="12" t="n">
        <v>46160</v>
      </c>
      <c r="J1127" s="12" t="n">
        <v>46164</v>
      </c>
      <c r="K1127" s="2" t="n">
        <v>955</v>
      </c>
      <c r="L1127" s="2" t="inlineStr">
        <is>
          <t>Air</t>
        </is>
      </c>
      <c r="M1127" s="2" t="inlineStr">
        <is>
          <t>No Delay</t>
        </is>
      </c>
      <c r="N1127" s="4">
        <f>IF(I1127&lt;=H1127,1,0)</f>
        <v/>
      </c>
      <c r="O1127" s="4">
        <f>IF(J1127&lt;=G1127,1,0)</f>
        <v/>
      </c>
      <c r="P1127" s="4">
        <f>MAX(0,I1127-H1127)</f>
        <v/>
      </c>
      <c r="Q1127" s="4">
        <f>MAX(0,J1127-G1127)</f>
        <v/>
      </c>
      <c r="R1127" s="4">
        <f>IF(AND(N1127=1,O1127=1),"On Track",IF(O1127=0,"Customer Delivery Late","Ship Late"))</f>
        <v/>
      </c>
    </row>
    <row r="1128">
      <c r="A1128" s="2" t="inlineStr">
        <is>
          <t>ORD-01127</t>
        </is>
      </c>
      <c r="B1128" s="2" t="inlineStr">
        <is>
          <t>Customer 28</t>
        </is>
      </c>
      <c r="C1128" s="2" t="inlineStr">
        <is>
          <t>Relay</t>
        </is>
      </c>
      <c r="D1128" s="2" t="inlineStr">
        <is>
          <t>Plant B</t>
        </is>
      </c>
      <c r="E1128" s="2" t="inlineStr">
        <is>
          <t>Export</t>
        </is>
      </c>
      <c r="F1128" s="12" t="n">
        <v>46126</v>
      </c>
      <c r="G1128" s="12" t="n">
        <v>46145</v>
      </c>
      <c r="H1128" s="12" t="n">
        <v>46141</v>
      </c>
      <c r="I1128" s="12" t="n">
        <v>46139</v>
      </c>
      <c r="J1128" s="12" t="n">
        <v>46143</v>
      </c>
      <c r="K1128" s="2" t="n">
        <v>1304</v>
      </c>
      <c r="L1128" s="2" t="inlineStr">
        <is>
          <t>Road</t>
        </is>
      </c>
      <c r="M1128" s="2" t="inlineStr">
        <is>
          <t>No Delay</t>
        </is>
      </c>
      <c r="N1128" s="4">
        <f>IF(I1128&lt;=H1128,1,0)</f>
        <v/>
      </c>
      <c r="O1128" s="4">
        <f>IF(J1128&lt;=G1128,1,0)</f>
        <v/>
      </c>
      <c r="P1128" s="4">
        <f>MAX(0,I1128-H1128)</f>
        <v/>
      </c>
      <c r="Q1128" s="4">
        <f>MAX(0,J1128-G1128)</f>
        <v/>
      </c>
      <c r="R1128" s="4">
        <f>IF(AND(N1128=1,O1128=1),"On Track",IF(O1128=0,"Customer Delivery Late","Ship Late"))</f>
        <v/>
      </c>
    </row>
    <row r="1129">
      <c r="A1129" s="2" t="inlineStr">
        <is>
          <t>ORD-01128</t>
        </is>
      </c>
      <c r="B1129" s="2" t="inlineStr">
        <is>
          <t>Customer 06</t>
        </is>
      </c>
      <c r="C1129" s="2" t="inlineStr">
        <is>
          <t>PLC</t>
        </is>
      </c>
      <c r="D1129" s="2" t="inlineStr">
        <is>
          <t>Plant A</t>
        </is>
      </c>
      <c r="E1129" s="2" t="inlineStr">
        <is>
          <t>North</t>
        </is>
      </c>
      <c r="F1129" s="12" t="n">
        <v>46125</v>
      </c>
      <c r="G1129" s="12" t="n">
        <v>46141</v>
      </c>
      <c r="H1129" s="12" t="n">
        <v>46140</v>
      </c>
      <c r="I1129" s="12" t="n">
        <v>46140</v>
      </c>
      <c r="J1129" s="12" t="n">
        <v>46141</v>
      </c>
      <c r="K1129" s="2" t="n">
        <v>811</v>
      </c>
      <c r="L1129" s="2" t="inlineStr">
        <is>
          <t>Air</t>
        </is>
      </c>
      <c r="M1129" s="2" t="inlineStr">
        <is>
          <t>No Delay</t>
        </is>
      </c>
      <c r="N1129" s="4">
        <f>IF(I1129&lt;=H1129,1,0)</f>
        <v/>
      </c>
      <c r="O1129" s="4">
        <f>IF(J1129&lt;=G1129,1,0)</f>
        <v/>
      </c>
      <c r="P1129" s="4">
        <f>MAX(0,I1129-H1129)</f>
        <v/>
      </c>
      <c r="Q1129" s="4">
        <f>MAX(0,J1129-G1129)</f>
        <v/>
      </c>
      <c r="R1129" s="4">
        <f>IF(AND(N1129=1,O1129=1),"On Track",IF(O1129=0,"Customer Delivery Late","Ship Late"))</f>
        <v/>
      </c>
    </row>
    <row r="1130">
      <c r="A1130" s="2" t="inlineStr">
        <is>
          <t>ORD-01129</t>
        </is>
      </c>
      <c r="B1130" s="2" t="inlineStr">
        <is>
          <t>Customer 28</t>
        </is>
      </c>
      <c r="C1130" s="2" t="inlineStr">
        <is>
          <t>Sensor</t>
        </is>
      </c>
      <c r="D1130" s="2" t="inlineStr">
        <is>
          <t>Plant A</t>
        </is>
      </c>
      <c r="E1130" s="2" t="inlineStr">
        <is>
          <t>Central</t>
        </is>
      </c>
      <c r="F1130" s="12" t="n">
        <v>46061</v>
      </c>
      <c r="G1130" s="12" t="n">
        <v>46074</v>
      </c>
      <c r="H1130" s="12" t="n">
        <v>46071</v>
      </c>
      <c r="I1130" s="12" t="n">
        <v>46070</v>
      </c>
      <c r="J1130" s="12" t="n">
        <v>46073</v>
      </c>
      <c r="K1130" s="2" t="n">
        <v>1006</v>
      </c>
      <c r="L1130" s="2" t="inlineStr">
        <is>
          <t>Sea</t>
        </is>
      </c>
      <c r="M1130" s="2" t="inlineStr">
        <is>
          <t>No Delay</t>
        </is>
      </c>
      <c r="N1130" s="4">
        <f>IF(I1130&lt;=H1130,1,0)</f>
        <v/>
      </c>
      <c r="O1130" s="4">
        <f>IF(J1130&lt;=G1130,1,0)</f>
        <v/>
      </c>
      <c r="P1130" s="4">
        <f>MAX(0,I1130-H1130)</f>
        <v/>
      </c>
      <c r="Q1130" s="4">
        <f>MAX(0,J1130-G1130)</f>
        <v/>
      </c>
      <c r="R1130" s="4">
        <f>IF(AND(N1130=1,O1130=1),"On Track",IF(O1130=0,"Customer Delivery Late","Ship Late"))</f>
        <v/>
      </c>
    </row>
    <row r="1131">
      <c r="A1131" s="2" t="inlineStr">
        <is>
          <t>ORD-01130</t>
        </is>
      </c>
      <c r="B1131" s="2" t="inlineStr">
        <is>
          <t>Customer 04</t>
        </is>
      </c>
      <c r="C1131" s="2" t="inlineStr">
        <is>
          <t>Contactor</t>
        </is>
      </c>
      <c r="D1131" s="2" t="inlineStr">
        <is>
          <t>Plant B</t>
        </is>
      </c>
      <c r="E1131" s="2" t="inlineStr">
        <is>
          <t>Export</t>
        </is>
      </c>
      <c r="F1131" s="12" t="n">
        <v>46150</v>
      </c>
      <c r="G1131" s="12" t="n">
        <v>46168</v>
      </c>
      <c r="H1131" s="12" t="n">
        <v>46164</v>
      </c>
      <c r="I1131" s="12" t="n">
        <v>46162</v>
      </c>
      <c r="J1131" s="12" t="n">
        <v>46165</v>
      </c>
      <c r="K1131" s="2" t="n">
        <v>1254</v>
      </c>
      <c r="L1131" s="2" t="inlineStr">
        <is>
          <t>Air</t>
        </is>
      </c>
      <c r="M1131" s="2" t="inlineStr">
        <is>
          <t>No Delay</t>
        </is>
      </c>
      <c r="N1131" s="4">
        <f>IF(I1131&lt;=H1131,1,0)</f>
        <v/>
      </c>
      <c r="O1131" s="4">
        <f>IF(J1131&lt;=G1131,1,0)</f>
        <v/>
      </c>
      <c r="P1131" s="4">
        <f>MAX(0,I1131-H1131)</f>
        <v/>
      </c>
      <c r="Q1131" s="4">
        <f>MAX(0,J1131-G1131)</f>
        <v/>
      </c>
      <c r="R1131" s="4">
        <f>IF(AND(N1131=1,O1131=1),"On Track",IF(O1131=0,"Customer Delivery Late","Ship Late"))</f>
        <v/>
      </c>
    </row>
    <row r="1132">
      <c r="A1132" s="2" t="inlineStr">
        <is>
          <t>ORD-01131</t>
        </is>
      </c>
      <c r="B1132" s="2" t="inlineStr">
        <is>
          <t>Customer 06</t>
        </is>
      </c>
      <c r="C1132" s="2" t="inlineStr">
        <is>
          <t>Drive</t>
        </is>
      </c>
      <c r="D1132" s="2" t="inlineStr">
        <is>
          <t>Plant C</t>
        </is>
      </c>
      <c r="E1132" s="2" t="inlineStr">
        <is>
          <t>South</t>
        </is>
      </c>
      <c r="F1132" s="12" t="n">
        <v>46059</v>
      </c>
      <c r="G1132" s="12" t="n">
        <v>46071</v>
      </c>
      <c r="H1132" s="12" t="n">
        <v>46066</v>
      </c>
      <c r="I1132" s="12" t="n">
        <v>46064</v>
      </c>
      <c r="J1132" s="12" t="n">
        <v>46074</v>
      </c>
      <c r="K1132" s="2" t="n">
        <v>1410</v>
      </c>
      <c r="L1132" s="2" t="inlineStr">
        <is>
          <t>Sea</t>
        </is>
      </c>
      <c r="M1132" s="2" t="inlineStr">
        <is>
          <t>Customer Change</t>
        </is>
      </c>
      <c r="N1132" s="4">
        <f>IF(I1132&lt;=H1132,1,0)</f>
        <v/>
      </c>
      <c r="O1132" s="4">
        <f>IF(J1132&lt;=G1132,1,0)</f>
        <v/>
      </c>
      <c r="P1132" s="4">
        <f>MAX(0,I1132-H1132)</f>
        <v/>
      </c>
      <c r="Q1132" s="4">
        <f>MAX(0,J1132-G1132)</f>
        <v/>
      </c>
      <c r="R1132" s="4">
        <f>IF(AND(N1132=1,O1132=1),"On Track",IF(O1132=0,"Customer Delivery Late","Ship Late"))</f>
        <v/>
      </c>
    </row>
    <row r="1133">
      <c r="A1133" s="2" t="inlineStr">
        <is>
          <t>ORD-01132</t>
        </is>
      </c>
      <c r="B1133" s="2" t="inlineStr">
        <is>
          <t>Customer 26</t>
        </is>
      </c>
      <c r="C1133" s="2" t="inlineStr">
        <is>
          <t>Relay</t>
        </is>
      </c>
      <c r="D1133" s="2" t="inlineStr">
        <is>
          <t>Plant B</t>
        </is>
      </c>
      <c r="E1133" s="2" t="inlineStr">
        <is>
          <t>Export</t>
        </is>
      </c>
      <c r="F1133" s="12" t="n">
        <v>46132</v>
      </c>
      <c r="G1133" s="12" t="n">
        <v>46156</v>
      </c>
      <c r="H1133" s="12" t="n">
        <v>46155</v>
      </c>
      <c r="I1133" s="12" t="n">
        <v>46155</v>
      </c>
      <c r="J1133" s="12" t="n">
        <v>46156</v>
      </c>
      <c r="K1133" s="2" t="n">
        <v>139</v>
      </c>
      <c r="L1133" s="2" t="inlineStr">
        <is>
          <t>Road</t>
        </is>
      </c>
      <c r="M1133" s="2" t="inlineStr">
        <is>
          <t>No Delay</t>
        </is>
      </c>
      <c r="N1133" s="4">
        <f>IF(I1133&lt;=H1133,1,0)</f>
        <v/>
      </c>
      <c r="O1133" s="4">
        <f>IF(J1133&lt;=G1133,1,0)</f>
        <v/>
      </c>
      <c r="P1133" s="4">
        <f>MAX(0,I1133-H1133)</f>
        <v/>
      </c>
      <c r="Q1133" s="4">
        <f>MAX(0,J1133-G1133)</f>
        <v/>
      </c>
      <c r="R1133" s="4">
        <f>IF(AND(N1133=1,O1133=1),"On Track",IF(O1133=0,"Customer Delivery Late","Ship Late"))</f>
        <v/>
      </c>
    </row>
    <row r="1134">
      <c r="A1134" s="2" t="inlineStr">
        <is>
          <t>ORD-01133</t>
        </is>
      </c>
      <c r="B1134" s="2" t="inlineStr">
        <is>
          <t>Customer 29</t>
        </is>
      </c>
      <c r="C1134" s="2" t="inlineStr">
        <is>
          <t>Switchgear</t>
        </is>
      </c>
      <c r="D1134" s="2" t="inlineStr">
        <is>
          <t>Plant B</t>
        </is>
      </c>
      <c r="E1134" s="2" t="inlineStr">
        <is>
          <t>South</t>
        </is>
      </c>
      <c r="F1134" s="12" t="n">
        <v>46137</v>
      </c>
      <c r="G1134" s="12" t="n">
        <v>46153</v>
      </c>
      <c r="H1134" s="12" t="n">
        <v>46149</v>
      </c>
      <c r="I1134" s="12" t="n">
        <v>46148</v>
      </c>
      <c r="J1134" s="12" t="n">
        <v>46152</v>
      </c>
      <c r="K1134" s="2" t="n">
        <v>1192</v>
      </c>
      <c r="L1134" s="2" t="inlineStr">
        <is>
          <t>Air</t>
        </is>
      </c>
      <c r="M1134" s="2" t="inlineStr">
        <is>
          <t>No Delay</t>
        </is>
      </c>
      <c r="N1134" s="4">
        <f>IF(I1134&lt;=H1134,1,0)</f>
        <v/>
      </c>
      <c r="O1134" s="4">
        <f>IF(J1134&lt;=G1134,1,0)</f>
        <v/>
      </c>
      <c r="P1134" s="4">
        <f>MAX(0,I1134-H1134)</f>
        <v/>
      </c>
      <c r="Q1134" s="4">
        <f>MAX(0,J1134-G1134)</f>
        <v/>
      </c>
      <c r="R1134" s="4">
        <f>IF(AND(N1134=1,O1134=1),"On Track",IF(O1134=0,"Customer Delivery Late","Ship Late"))</f>
        <v/>
      </c>
    </row>
    <row r="1135">
      <c r="A1135" s="2" t="inlineStr">
        <is>
          <t>ORD-01134</t>
        </is>
      </c>
      <c r="B1135" s="2" t="inlineStr">
        <is>
          <t>Customer 29</t>
        </is>
      </c>
      <c r="C1135" s="2" t="inlineStr">
        <is>
          <t>Breaker</t>
        </is>
      </c>
      <c r="D1135" s="2" t="inlineStr">
        <is>
          <t>Plant B</t>
        </is>
      </c>
      <c r="E1135" s="2" t="inlineStr">
        <is>
          <t>North</t>
        </is>
      </c>
      <c r="F1135" s="12" t="n">
        <v>46201</v>
      </c>
      <c r="G1135" s="12" t="n">
        <v>46212</v>
      </c>
      <c r="H1135" s="12" t="n">
        <v>46210</v>
      </c>
      <c r="I1135" s="12" t="n">
        <v>46214</v>
      </c>
      <c r="J1135" s="12" t="n">
        <v>46216</v>
      </c>
      <c r="K1135" s="2" t="n">
        <v>796</v>
      </c>
      <c r="L1135" s="2" t="inlineStr">
        <is>
          <t>Road</t>
        </is>
      </c>
      <c r="M1135" s="2" t="inlineStr">
        <is>
          <t>Documentation Issue</t>
        </is>
      </c>
      <c r="N1135" s="4">
        <f>IF(I1135&lt;=H1135,1,0)</f>
        <v/>
      </c>
      <c r="O1135" s="4">
        <f>IF(J1135&lt;=G1135,1,0)</f>
        <v/>
      </c>
      <c r="P1135" s="4">
        <f>MAX(0,I1135-H1135)</f>
        <v/>
      </c>
      <c r="Q1135" s="4">
        <f>MAX(0,J1135-G1135)</f>
        <v/>
      </c>
      <c r="R1135" s="4">
        <f>IF(AND(N1135=1,O1135=1),"On Track",IF(O1135=0,"Customer Delivery Late","Ship Late"))</f>
        <v/>
      </c>
    </row>
    <row r="1136">
      <c r="A1136" s="2" t="inlineStr">
        <is>
          <t>ORD-01135</t>
        </is>
      </c>
      <c r="B1136" s="2" t="inlineStr">
        <is>
          <t>Customer 25</t>
        </is>
      </c>
      <c r="C1136" s="2" t="inlineStr">
        <is>
          <t>PLC</t>
        </is>
      </c>
      <c r="D1136" s="2" t="inlineStr">
        <is>
          <t>Plant B</t>
        </is>
      </c>
      <c r="E1136" s="2" t="inlineStr">
        <is>
          <t>Central</t>
        </is>
      </c>
      <c r="F1136" s="12" t="n">
        <v>46182</v>
      </c>
      <c r="G1136" s="12" t="n">
        <v>46197</v>
      </c>
      <c r="H1136" s="12" t="n">
        <v>46196</v>
      </c>
      <c r="I1136" s="12" t="n">
        <v>46195</v>
      </c>
      <c r="J1136" s="12" t="n">
        <v>46196</v>
      </c>
      <c r="K1136" s="2" t="n">
        <v>755</v>
      </c>
      <c r="L1136" s="2" t="inlineStr">
        <is>
          <t>Road</t>
        </is>
      </c>
      <c r="M1136" s="2" t="inlineStr">
        <is>
          <t>No Delay</t>
        </is>
      </c>
      <c r="N1136" s="4">
        <f>IF(I1136&lt;=H1136,1,0)</f>
        <v/>
      </c>
      <c r="O1136" s="4">
        <f>IF(J1136&lt;=G1136,1,0)</f>
        <v/>
      </c>
      <c r="P1136" s="4">
        <f>MAX(0,I1136-H1136)</f>
        <v/>
      </c>
      <c r="Q1136" s="4">
        <f>MAX(0,J1136-G1136)</f>
        <v/>
      </c>
      <c r="R1136" s="4">
        <f>IF(AND(N1136=1,O1136=1),"On Track",IF(O1136=0,"Customer Delivery Late","Ship Late"))</f>
        <v/>
      </c>
    </row>
    <row r="1137">
      <c r="A1137" s="2" t="inlineStr">
        <is>
          <t>ORD-01136</t>
        </is>
      </c>
      <c r="B1137" s="2" t="inlineStr">
        <is>
          <t>Customer 05</t>
        </is>
      </c>
      <c r="C1137" s="2" t="inlineStr">
        <is>
          <t>Sensor</t>
        </is>
      </c>
      <c r="D1137" s="2" t="inlineStr">
        <is>
          <t>Plant B</t>
        </is>
      </c>
      <c r="E1137" s="2" t="inlineStr">
        <is>
          <t>Export</t>
        </is>
      </c>
      <c r="F1137" s="12" t="n">
        <v>46144</v>
      </c>
      <c r="G1137" s="12" t="n">
        <v>46156</v>
      </c>
      <c r="H1137" s="12" t="n">
        <v>46154</v>
      </c>
      <c r="I1137" s="12" t="n">
        <v>46153</v>
      </c>
      <c r="J1137" s="12" t="n">
        <v>46156</v>
      </c>
      <c r="K1137" s="2" t="n">
        <v>653</v>
      </c>
      <c r="L1137" s="2" t="inlineStr">
        <is>
          <t>Sea</t>
        </is>
      </c>
      <c r="M1137" s="2" t="inlineStr">
        <is>
          <t>No Delay</t>
        </is>
      </c>
      <c r="N1137" s="4">
        <f>IF(I1137&lt;=H1137,1,0)</f>
        <v/>
      </c>
      <c r="O1137" s="4">
        <f>IF(J1137&lt;=G1137,1,0)</f>
        <v/>
      </c>
      <c r="P1137" s="4">
        <f>MAX(0,I1137-H1137)</f>
        <v/>
      </c>
      <c r="Q1137" s="4">
        <f>MAX(0,J1137-G1137)</f>
        <v/>
      </c>
      <c r="R1137" s="4">
        <f>IF(AND(N1137=1,O1137=1),"On Track",IF(O1137=0,"Customer Delivery Late","Ship Late"))</f>
        <v/>
      </c>
    </row>
    <row r="1138">
      <c r="A1138" s="2" t="inlineStr">
        <is>
          <t>ORD-01137</t>
        </is>
      </c>
      <c r="B1138" s="2" t="inlineStr">
        <is>
          <t>Customer 24</t>
        </is>
      </c>
      <c r="C1138" s="2" t="inlineStr">
        <is>
          <t>PLC</t>
        </is>
      </c>
      <c r="D1138" s="2" t="inlineStr">
        <is>
          <t>Plant C</t>
        </is>
      </c>
      <c r="E1138" s="2" t="inlineStr">
        <is>
          <t>South</t>
        </is>
      </c>
      <c r="F1138" s="12" t="n">
        <v>46160</v>
      </c>
      <c r="G1138" s="12" t="n">
        <v>46171</v>
      </c>
      <c r="H1138" s="12" t="n">
        <v>46169</v>
      </c>
      <c r="I1138" s="12" t="n">
        <v>46169</v>
      </c>
      <c r="J1138" s="12" t="n">
        <v>46171</v>
      </c>
      <c r="K1138" s="2" t="n">
        <v>518</v>
      </c>
      <c r="L1138" s="2" t="inlineStr">
        <is>
          <t>Air</t>
        </is>
      </c>
      <c r="M1138" s="2" t="inlineStr">
        <is>
          <t>No Delay</t>
        </is>
      </c>
      <c r="N1138" s="4">
        <f>IF(I1138&lt;=H1138,1,0)</f>
        <v/>
      </c>
      <c r="O1138" s="4">
        <f>IF(J1138&lt;=G1138,1,0)</f>
        <v/>
      </c>
      <c r="P1138" s="4">
        <f>MAX(0,I1138-H1138)</f>
        <v/>
      </c>
      <c r="Q1138" s="4">
        <f>MAX(0,J1138-G1138)</f>
        <v/>
      </c>
      <c r="R1138" s="4">
        <f>IF(AND(N1138=1,O1138=1),"On Track",IF(O1138=0,"Customer Delivery Late","Ship Late"))</f>
        <v/>
      </c>
    </row>
    <row r="1139">
      <c r="A1139" s="2" t="inlineStr">
        <is>
          <t>ORD-01138</t>
        </is>
      </c>
      <c r="B1139" s="2" t="inlineStr">
        <is>
          <t>Customer 21</t>
        </is>
      </c>
      <c r="C1139" s="2" t="inlineStr">
        <is>
          <t>Power Supply</t>
        </is>
      </c>
      <c r="D1139" s="2" t="inlineStr">
        <is>
          <t>Plant A</t>
        </is>
      </c>
      <c r="E1139" s="2" t="inlineStr">
        <is>
          <t>South</t>
        </is>
      </c>
      <c r="F1139" s="12" t="n">
        <v>46131</v>
      </c>
      <c r="G1139" s="12" t="n">
        <v>46136</v>
      </c>
      <c r="H1139" s="12" t="n">
        <v>46133</v>
      </c>
      <c r="I1139" s="12" t="n">
        <v>46131</v>
      </c>
      <c r="J1139" s="12" t="n">
        <v>46133</v>
      </c>
      <c r="K1139" s="2" t="n">
        <v>962</v>
      </c>
      <c r="L1139" s="2" t="inlineStr">
        <is>
          <t>Road</t>
        </is>
      </c>
      <c r="M1139" s="2" t="inlineStr">
        <is>
          <t>No Delay</t>
        </is>
      </c>
      <c r="N1139" s="4">
        <f>IF(I1139&lt;=H1139,1,0)</f>
        <v/>
      </c>
      <c r="O1139" s="4">
        <f>IF(J1139&lt;=G1139,1,0)</f>
        <v/>
      </c>
      <c r="P1139" s="4">
        <f>MAX(0,I1139-H1139)</f>
        <v/>
      </c>
      <c r="Q1139" s="4">
        <f>MAX(0,J1139-G1139)</f>
        <v/>
      </c>
      <c r="R1139" s="4">
        <f>IF(AND(N1139=1,O1139=1),"On Track",IF(O1139=0,"Customer Delivery Late","Ship Late"))</f>
        <v/>
      </c>
    </row>
    <row r="1140">
      <c r="A1140" s="2" t="inlineStr">
        <is>
          <t>ORD-01139</t>
        </is>
      </c>
      <c r="B1140" s="2" t="inlineStr">
        <is>
          <t>Customer 09</t>
        </is>
      </c>
      <c r="C1140" s="2" t="inlineStr">
        <is>
          <t>Switchgear</t>
        </is>
      </c>
      <c r="D1140" s="2" t="inlineStr">
        <is>
          <t>Plant B</t>
        </is>
      </c>
      <c r="E1140" s="2" t="inlineStr">
        <is>
          <t>Central</t>
        </is>
      </c>
      <c r="F1140" s="12" t="n">
        <v>46137</v>
      </c>
      <c r="G1140" s="12" t="n">
        <v>46162</v>
      </c>
      <c r="H1140" s="12" t="n">
        <v>46158</v>
      </c>
      <c r="I1140" s="12" t="n">
        <v>46158</v>
      </c>
      <c r="J1140" s="12" t="n">
        <v>46162</v>
      </c>
      <c r="K1140" s="2" t="n">
        <v>1456</v>
      </c>
      <c r="L1140" s="2" t="inlineStr">
        <is>
          <t>Sea</t>
        </is>
      </c>
      <c r="M1140" s="2" t="inlineStr">
        <is>
          <t>No Delay</t>
        </is>
      </c>
      <c r="N1140" s="4">
        <f>IF(I1140&lt;=H1140,1,0)</f>
        <v/>
      </c>
      <c r="O1140" s="4">
        <f>IF(J1140&lt;=G1140,1,0)</f>
        <v/>
      </c>
      <c r="P1140" s="4">
        <f>MAX(0,I1140-H1140)</f>
        <v/>
      </c>
      <c r="Q1140" s="4">
        <f>MAX(0,J1140-G1140)</f>
        <v/>
      </c>
      <c r="R1140" s="4">
        <f>IF(AND(N1140=1,O1140=1),"On Track",IF(O1140=0,"Customer Delivery Late","Ship Late"))</f>
        <v/>
      </c>
    </row>
    <row r="1141">
      <c r="A1141" s="2" t="inlineStr">
        <is>
          <t>ORD-01140</t>
        </is>
      </c>
      <c r="B1141" s="2" t="inlineStr">
        <is>
          <t>Customer 11</t>
        </is>
      </c>
      <c r="C1141" s="2" t="inlineStr">
        <is>
          <t>Switchgear</t>
        </is>
      </c>
      <c r="D1141" s="2" t="inlineStr">
        <is>
          <t>Plant B</t>
        </is>
      </c>
      <c r="E1141" s="2" t="inlineStr">
        <is>
          <t>Central</t>
        </is>
      </c>
      <c r="F1141" s="12" t="n">
        <v>46139</v>
      </c>
      <c r="G1141" s="12" t="n">
        <v>46153</v>
      </c>
      <c r="H1141" s="12" t="n">
        <v>46151</v>
      </c>
      <c r="I1141" s="12" t="n">
        <v>46150</v>
      </c>
      <c r="J1141" s="12" t="n">
        <v>46151</v>
      </c>
      <c r="K1141" s="2" t="n">
        <v>655</v>
      </c>
      <c r="L1141" s="2" t="inlineStr">
        <is>
          <t>Sea</t>
        </is>
      </c>
      <c r="M1141" s="2" t="inlineStr">
        <is>
          <t>No Delay</t>
        </is>
      </c>
      <c r="N1141" s="4">
        <f>IF(I1141&lt;=H1141,1,0)</f>
        <v/>
      </c>
      <c r="O1141" s="4">
        <f>IF(J1141&lt;=G1141,1,0)</f>
        <v/>
      </c>
      <c r="P1141" s="4">
        <f>MAX(0,I1141-H1141)</f>
        <v/>
      </c>
      <c r="Q1141" s="4">
        <f>MAX(0,J1141-G1141)</f>
        <v/>
      </c>
      <c r="R1141" s="4">
        <f>IF(AND(N1141=1,O1141=1),"On Track",IF(O1141=0,"Customer Delivery Late","Ship Late"))</f>
        <v/>
      </c>
    </row>
    <row r="1142">
      <c r="A1142" s="2" t="inlineStr">
        <is>
          <t>ORD-01141</t>
        </is>
      </c>
      <c r="B1142" s="2" t="inlineStr">
        <is>
          <t>Customer 20</t>
        </is>
      </c>
      <c r="C1142" s="2" t="inlineStr">
        <is>
          <t>Breaker</t>
        </is>
      </c>
      <c r="D1142" s="2" t="inlineStr">
        <is>
          <t>Plant C</t>
        </is>
      </c>
      <c r="E1142" s="2" t="inlineStr">
        <is>
          <t>South</t>
        </is>
      </c>
      <c r="F1142" s="12" t="n">
        <v>46119</v>
      </c>
      <c r="G1142" s="12" t="n">
        <v>46141</v>
      </c>
      <c r="H1142" s="12" t="n">
        <v>46140</v>
      </c>
      <c r="I1142" s="12" t="n">
        <v>46140</v>
      </c>
      <c r="J1142" s="12" t="n">
        <v>46141</v>
      </c>
      <c r="K1142" s="2" t="n">
        <v>673</v>
      </c>
      <c r="L1142" s="2" t="inlineStr">
        <is>
          <t>Sea</t>
        </is>
      </c>
      <c r="M1142" s="2" t="inlineStr">
        <is>
          <t>No Delay</t>
        </is>
      </c>
      <c r="N1142" s="4">
        <f>IF(I1142&lt;=H1142,1,0)</f>
        <v/>
      </c>
      <c r="O1142" s="4">
        <f>IF(J1142&lt;=G1142,1,0)</f>
        <v/>
      </c>
      <c r="P1142" s="4">
        <f>MAX(0,I1142-H1142)</f>
        <v/>
      </c>
      <c r="Q1142" s="4">
        <f>MAX(0,J1142-G1142)</f>
        <v/>
      </c>
      <c r="R1142" s="4">
        <f>IF(AND(N1142=1,O1142=1),"On Track",IF(O1142=0,"Customer Delivery Late","Ship Late"))</f>
        <v/>
      </c>
    </row>
    <row r="1143">
      <c r="A1143" s="2" t="inlineStr">
        <is>
          <t>ORD-01142</t>
        </is>
      </c>
      <c r="B1143" s="2" t="inlineStr">
        <is>
          <t>Customer 03</t>
        </is>
      </c>
      <c r="C1143" s="2" t="inlineStr">
        <is>
          <t>Relay</t>
        </is>
      </c>
      <c r="D1143" s="2" t="inlineStr">
        <is>
          <t>Plant A</t>
        </is>
      </c>
      <c r="E1143" s="2" t="inlineStr">
        <is>
          <t>North</t>
        </is>
      </c>
      <c r="F1143" s="12" t="n">
        <v>46168</v>
      </c>
      <c r="G1143" s="12" t="n">
        <v>46174</v>
      </c>
      <c r="H1143" s="12" t="n">
        <v>46169</v>
      </c>
      <c r="I1143" s="12" t="n">
        <v>46169</v>
      </c>
      <c r="J1143" s="12" t="n">
        <v>46174</v>
      </c>
      <c r="K1143" s="2" t="n">
        <v>1080</v>
      </c>
      <c r="L1143" s="2" t="inlineStr">
        <is>
          <t>Road</t>
        </is>
      </c>
      <c r="M1143" s="2" t="inlineStr">
        <is>
          <t>No Delay</t>
        </is>
      </c>
      <c r="N1143" s="4">
        <f>IF(I1143&lt;=H1143,1,0)</f>
        <v/>
      </c>
      <c r="O1143" s="4">
        <f>IF(J1143&lt;=G1143,1,0)</f>
        <v/>
      </c>
      <c r="P1143" s="4">
        <f>MAX(0,I1143-H1143)</f>
        <v/>
      </c>
      <c r="Q1143" s="4">
        <f>MAX(0,J1143-G1143)</f>
        <v/>
      </c>
      <c r="R1143" s="4">
        <f>IF(AND(N1143=1,O1143=1),"On Track",IF(O1143=0,"Customer Delivery Late","Ship Late"))</f>
        <v/>
      </c>
    </row>
    <row r="1144">
      <c r="A1144" s="2" t="inlineStr">
        <is>
          <t>ORD-01143</t>
        </is>
      </c>
      <c r="B1144" s="2" t="inlineStr">
        <is>
          <t>Customer 16</t>
        </is>
      </c>
      <c r="C1144" s="2" t="inlineStr">
        <is>
          <t>Power Supply</t>
        </is>
      </c>
      <c r="D1144" s="2" t="inlineStr">
        <is>
          <t>Plant C</t>
        </is>
      </c>
      <c r="E1144" s="2" t="inlineStr">
        <is>
          <t>North</t>
        </is>
      </c>
      <c r="F1144" s="12" t="n">
        <v>46083</v>
      </c>
      <c r="G1144" s="12" t="n">
        <v>46090</v>
      </c>
      <c r="H1144" s="12" t="n">
        <v>46087</v>
      </c>
      <c r="I1144" s="12" t="n">
        <v>46093</v>
      </c>
      <c r="J1144" s="12" t="n">
        <v>46096</v>
      </c>
      <c r="K1144" s="2" t="n">
        <v>1084</v>
      </c>
      <c r="L1144" s="2" t="inlineStr">
        <is>
          <t>Air</t>
        </is>
      </c>
      <c r="M1144" s="2" t="inlineStr">
        <is>
          <t>Material Shortage</t>
        </is>
      </c>
      <c r="N1144" s="4">
        <f>IF(I1144&lt;=H1144,1,0)</f>
        <v/>
      </c>
      <c r="O1144" s="4">
        <f>IF(J1144&lt;=G1144,1,0)</f>
        <v/>
      </c>
      <c r="P1144" s="4">
        <f>MAX(0,I1144-H1144)</f>
        <v/>
      </c>
      <c r="Q1144" s="4">
        <f>MAX(0,J1144-G1144)</f>
        <v/>
      </c>
      <c r="R1144" s="4">
        <f>IF(AND(N1144=1,O1144=1),"On Track",IF(O1144=0,"Customer Delivery Late","Ship Late"))</f>
        <v/>
      </c>
    </row>
    <row r="1145">
      <c r="A1145" s="2" t="inlineStr">
        <is>
          <t>ORD-01144</t>
        </is>
      </c>
      <c r="B1145" s="2" t="inlineStr">
        <is>
          <t>Customer 25</t>
        </is>
      </c>
      <c r="C1145" s="2" t="inlineStr">
        <is>
          <t>Sensor</t>
        </is>
      </c>
      <c r="D1145" s="2" t="inlineStr">
        <is>
          <t>Plant A</t>
        </is>
      </c>
      <c r="E1145" s="2" t="inlineStr">
        <is>
          <t>Central</t>
        </is>
      </c>
      <c r="F1145" s="12" t="n">
        <v>46187</v>
      </c>
      <c r="G1145" s="12" t="n">
        <v>46204</v>
      </c>
      <c r="H1145" s="12" t="n">
        <v>46202</v>
      </c>
      <c r="I1145" s="12" t="n">
        <v>46200</v>
      </c>
      <c r="J1145" s="12" t="n">
        <v>46202</v>
      </c>
      <c r="K1145" s="2" t="n">
        <v>125</v>
      </c>
      <c r="L1145" s="2" t="inlineStr">
        <is>
          <t>Sea</t>
        </is>
      </c>
      <c r="M1145" s="2" t="inlineStr">
        <is>
          <t>No Delay</t>
        </is>
      </c>
      <c r="N1145" s="4">
        <f>IF(I1145&lt;=H1145,1,0)</f>
        <v/>
      </c>
      <c r="O1145" s="4">
        <f>IF(J1145&lt;=G1145,1,0)</f>
        <v/>
      </c>
      <c r="P1145" s="4">
        <f>MAX(0,I1145-H1145)</f>
        <v/>
      </c>
      <c r="Q1145" s="4">
        <f>MAX(0,J1145-G1145)</f>
        <v/>
      </c>
      <c r="R1145" s="4">
        <f>IF(AND(N1145=1,O1145=1),"On Track",IF(O1145=0,"Customer Delivery Late","Ship Late"))</f>
        <v/>
      </c>
    </row>
    <row r="1146">
      <c r="A1146" s="2" t="inlineStr">
        <is>
          <t>ORD-01145</t>
        </is>
      </c>
      <c r="B1146" s="2" t="inlineStr">
        <is>
          <t>Customer 08</t>
        </is>
      </c>
      <c r="C1146" s="2" t="inlineStr">
        <is>
          <t>PLC</t>
        </is>
      </c>
      <c r="D1146" s="2" t="inlineStr">
        <is>
          <t>Plant A</t>
        </is>
      </c>
      <c r="E1146" s="2" t="inlineStr">
        <is>
          <t>Central</t>
        </is>
      </c>
      <c r="F1146" s="12" t="n">
        <v>46197</v>
      </c>
      <c r="G1146" s="12" t="n">
        <v>46219</v>
      </c>
      <c r="H1146" s="12" t="n">
        <v>46218</v>
      </c>
      <c r="I1146" s="12" t="n">
        <v>46218</v>
      </c>
      <c r="J1146" s="12" t="n">
        <v>46219</v>
      </c>
      <c r="K1146" s="2" t="n">
        <v>1035</v>
      </c>
      <c r="L1146" s="2" t="inlineStr">
        <is>
          <t>Air</t>
        </is>
      </c>
      <c r="M1146" s="2" t="inlineStr">
        <is>
          <t>No Delay</t>
        </is>
      </c>
      <c r="N1146" s="4">
        <f>IF(I1146&lt;=H1146,1,0)</f>
        <v/>
      </c>
      <c r="O1146" s="4">
        <f>IF(J1146&lt;=G1146,1,0)</f>
        <v/>
      </c>
      <c r="P1146" s="4">
        <f>MAX(0,I1146-H1146)</f>
        <v/>
      </c>
      <c r="Q1146" s="4">
        <f>MAX(0,J1146-G1146)</f>
        <v/>
      </c>
      <c r="R1146" s="4">
        <f>IF(AND(N1146=1,O1146=1),"On Track",IF(O1146=0,"Customer Delivery Late","Ship Late"))</f>
        <v/>
      </c>
    </row>
    <row r="1147">
      <c r="A1147" s="2" t="inlineStr">
        <is>
          <t>ORD-01146</t>
        </is>
      </c>
      <c r="B1147" s="2" t="inlineStr">
        <is>
          <t>Customer 23</t>
        </is>
      </c>
      <c r="C1147" s="2" t="inlineStr">
        <is>
          <t>Power Supply</t>
        </is>
      </c>
      <c r="D1147" s="2" t="inlineStr">
        <is>
          <t>Plant C</t>
        </is>
      </c>
      <c r="E1147" s="2" t="inlineStr">
        <is>
          <t>North</t>
        </is>
      </c>
      <c r="F1147" s="12" t="n">
        <v>46105</v>
      </c>
      <c r="G1147" s="12" t="n">
        <v>46122</v>
      </c>
      <c r="H1147" s="12" t="n">
        <v>46118</v>
      </c>
      <c r="I1147" s="12" t="n">
        <v>46117</v>
      </c>
      <c r="J1147" s="12" t="n">
        <v>46120</v>
      </c>
      <c r="K1147" s="2" t="n">
        <v>92</v>
      </c>
      <c r="L1147" s="2" t="inlineStr">
        <is>
          <t>Road</t>
        </is>
      </c>
      <c r="M1147" s="2" t="inlineStr">
        <is>
          <t>No Delay</t>
        </is>
      </c>
      <c r="N1147" s="4">
        <f>IF(I1147&lt;=H1147,1,0)</f>
        <v/>
      </c>
      <c r="O1147" s="4">
        <f>IF(J1147&lt;=G1147,1,0)</f>
        <v/>
      </c>
      <c r="P1147" s="4">
        <f>MAX(0,I1147-H1147)</f>
        <v/>
      </c>
      <c r="Q1147" s="4">
        <f>MAX(0,J1147-G1147)</f>
        <v/>
      </c>
      <c r="R1147" s="4">
        <f>IF(AND(N1147=1,O1147=1),"On Track",IF(O1147=0,"Customer Delivery Late","Ship Late"))</f>
        <v/>
      </c>
    </row>
    <row r="1148">
      <c r="A1148" s="2" t="inlineStr">
        <is>
          <t>ORD-01147</t>
        </is>
      </c>
      <c r="B1148" s="2" t="inlineStr">
        <is>
          <t>Customer 19</t>
        </is>
      </c>
      <c r="C1148" s="2" t="inlineStr">
        <is>
          <t>Drive</t>
        </is>
      </c>
      <c r="D1148" s="2" t="inlineStr">
        <is>
          <t>Plant C</t>
        </is>
      </c>
      <c r="E1148" s="2" t="inlineStr">
        <is>
          <t>Central</t>
        </is>
      </c>
      <c r="F1148" s="12" t="n">
        <v>46173</v>
      </c>
      <c r="G1148" s="12" t="n">
        <v>46179</v>
      </c>
      <c r="H1148" s="12" t="n">
        <v>46177</v>
      </c>
      <c r="I1148" s="12" t="n">
        <v>46176</v>
      </c>
      <c r="J1148" s="12" t="n">
        <v>46178</v>
      </c>
      <c r="K1148" s="2" t="n">
        <v>823</v>
      </c>
      <c r="L1148" s="2" t="inlineStr">
        <is>
          <t>Road</t>
        </is>
      </c>
      <c r="M1148" s="2" t="inlineStr">
        <is>
          <t>No Delay</t>
        </is>
      </c>
      <c r="N1148" s="4">
        <f>IF(I1148&lt;=H1148,1,0)</f>
        <v/>
      </c>
      <c r="O1148" s="4">
        <f>IF(J1148&lt;=G1148,1,0)</f>
        <v/>
      </c>
      <c r="P1148" s="4">
        <f>MAX(0,I1148-H1148)</f>
        <v/>
      </c>
      <c r="Q1148" s="4">
        <f>MAX(0,J1148-G1148)</f>
        <v/>
      </c>
      <c r="R1148" s="4">
        <f>IF(AND(N1148=1,O1148=1),"On Track",IF(O1148=0,"Customer Delivery Late","Ship Late"))</f>
        <v/>
      </c>
    </row>
    <row r="1149">
      <c r="A1149" s="2" t="inlineStr">
        <is>
          <t>ORD-01148</t>
        </is>
      </c>
      <c r="B1149" s="2" t="inlineStr">
        <is>
          <t>Customer 17</t>
        </is>
      </c>
      <c r="C1149" s="2" t="inlineStr">
        <is>
          <t>Power Supply</t>
        </is>
      </c>
      <c r="D1149" s="2" t="inlineStr">
        <is>
          <t>Plant A</t>
        </is>
      </c>
      <c r="E1149" s="2" t="inlineStr">
        <is>
          <t>Central</t>
        </is>
      </c>
      <c r="F1149" s="12" t="n">
        <v>46061</v>
      </c>
      <c r="G1149" s="12" t="n">
        <v>46083</v>
      </c>
      <c r="H1149" s="12" t="n">
        <v>46082</v>
      </c>
      <c r="I1149" s="12" t="n">
        <v>46082</v>
      </c>
      <c r="J1149" s="12" t="n">
        <v>46083</v>
      </c>
      <c r="K1149" s="2" t="n">
        <v>1254</v>
      </c>
      <c r="L1149" s="2" t="inlineStr">
        <is>
          <t>Air</t>
        </is>
      </c>
      <c r="M1149" s="2" t="inlineStr">
        <is>
          <t>No Delay</t>
        </is>
      </c>
      <c r="N1149" s="4">
        <f>IF(I1149&lt;=H1149,1,0)</f>
        <v/>
      </c>
      <c r="O1149" s="4">
        <f>IF(J1149&lt;=G1149,1,0)</f>
        <v/>
      </c>
      <c r="P1149" s="4">
        <f>MAX(0,I1149-H1149)</f>
        <v/>
      </c>
      <c r="Q1149" s="4">
        <f>MAX(0,J1149-G1149)</f>
        <v/>
      </c>
      <c r="R1149" s="4">
        <f>IF(AND(N1149=1,O1149=1),"On Track",IF(O1149=0,"Customer Delivery Late","Ship Late"))</f>
        <v/>
      </c>
    </row>
    <row r="1150">
      <c r="A1150" s="2" t="inlineStr">
        <is>
          <t>ORD-01149</t>
        </is>
      </c>
      <c r="B1150" s="2" t="inlineStr">
        <is>
          <t>Customer 15</t>
        </is>
      </c>
      <c r="C1150" s="2" t="inlineStr">
        <is>
          <t>Power Supply</t>
        </is>
      </c>
      <c r="D1150" s="2" t="inlineStr">
        <is>
          <t>Plant A</t>
        </is>
      </c>
      <c r="E1150" s="2" t="inlineStr">
        <is>
          <t>Central</t>
        </is>
      </c>
      <c r="F1150" s="12" t="n">
        <v>46108</v>
      </c>
      <c r="G1150" s="12" t="n">
        <v>46119</v>
      </c>
      <c r="H1150" s="12" t="n">
        <v>46116</v>
      </c>
      <c r="I1150" s="12" t="n">
        <v>46115</v>
      </c>
      <c r="J1150" s="12" t="n">
        <v>46118</v>
      </c>
      <c r="K1150" s="2" t="n">
        <v>240</v>
      </c>
      <c r="L1150" s="2" t="inlineStr">
        <is>
          <t>Road</t>
        </is>
      </c>
      <c r="M1150" s="2" t="inlineStr">
        <is>
          <t>No Delay</t>
        </is>
      </c>
      <c r="N1150" s="4">
        <f>IF(I1150&lt;=H1150,1,0)</f>
        <v/>
      </c>
      <c r="O1150" s="4">
        <f>IF(J1150&lt;=G1150,1,0)</f>
        <v/>
      </c>
      <c r="P1150" s="4">
        <f>MAX(0,I1150-H1150)</f>
        <v/>
      </c>
      <c r="Q1150" s="4">
        <f>MAX(0,J1150-G1150)</f>
        <v/>
      </c>
      <c r="R1150" s="4">
        <f>IF(AND(N1150=1,O1150=1),"On Track",IF(O1150=0,"Customer Delivery Late","Ship Late"))</f>
        <v/>
      </c>
    </row>
    <row r="1151">
      <c r="A1151" s="2" t="inlineStr">
        <is>
          <t>ORD-01150</t>
        </is>
      </c>
      <c r="B1151" s="2" t="inlineStr">
        <is>
          <t>Customer 27</t>
        </is>
      </c>
      <c r="C1151" s="2" t="inlineStr">
        <is>
          <t>Sensor</t>
        </is>
      </c>
      <c r="D1151" s="2" t="inlineStr">
        <is>
          <t>Plant B</t>
        </is>
      </c>
      <c r="E1151" s="2" t="inlineStr">
        <is>
          <t>Export</t>
        </is>
      </c>
      <c r="F1151" s="12" t="n">
        <v>46122</v>
      </c>
      <c r="G1151" s="12" t="n">
        <v>46130</v>
      </c>
      <c r="H1151" s="12" t="n">
        <v>46128</v>
      </c>
      <c r="I1151" s="12" t="n">
        <v>46128</v>
      </c>
      <c r="J1151" s="12" t="n">
        <v>46130</v>
      </c>
      <c r="K1151" s="2" t="n">
        <v>121</v>
      </c>
      <c r="L1151" s="2" t="inlineStr">
        <is>
          <t>Sea</t>
        </is>
      </c>
      <c r="M1151" s="2" t="inlineStr">
        <is>
          <t>No Delay</t>
        </is>
      </c>
      <c r="N1151" s="4">
        <f>IF(I1151&lt;=H1151,1,0)</f>
        <v/>
      </c>
      <c r="O1151" s="4">
        <f>IF(J1151&lt;=G1151,1,0)</f>
        <v/>
      </c>
      <c r="P1151" s="4">
        <f>MAX(0,I1151-H1151)</f>
        <v/>
      </c>
      <c r="Q1151" s="4">
        <f>MAX(0,J1151-G1151)</f>
        <v/>
      </c>
      <c r="R1151" s="4">
        <f>IF(AND(N1151=1,O1151=1),"On Track",IF(O1151=0,"Customer Delivery Late","Ship Late"))</f>
        <v/>
      </c>
    </row>
    <row r="1152">
      <c r="A1152" s="2" t="inlineStr">
        <is>
          <t>ORD-01151</t>
        </is>
      </c>
      <c r="B1152" s="2" t="inlineStr">
        <is>
          <t>Customer 01</t>
        </is>
      </c>
      <c r="C1152" s="2" t="inlineStr">
        <is>
          <t>PLC</t>
        </is>
      </c>
      <c r="D1152" s="2" t="inlineStr">
        <is>
          <t>Plant A</t>
        </is>
      </c>
      <c r="E1152" s="2" t="inlineStr">
        <is>
          <t>South</t>
        </is>
      </c>
      <c r="F1152" s="12" t="n">
        <v>46183</v>
      </c>
      <c r="G1152" s="12" t="n">
        <v>46195</v>
      </c>
      <c r="H1152" s="12" t="n">
        <v>46190</v>
      </c>
      <c r="I1152" s="12" t="n">
        <v>46189</v>
      </c>
      <c r="J1152" s="12" t="n">
        <v>46195</v>
      </c>
      <c r="K1152" s="2" t="n">
        <v>432</v>
      </c>
      <c r="L1152" s="2" t="inlineStr">
        <is>
          <t>Air</t>
        </is>
      </c>
      <c r="M1152" s="2" t="inlineStr">
        <is>
          <t>No Delay</t>
        </is>
      </c>
      <c r="N1152" s="4">
        <f>IF(I1152&lt;=H1152,1,0)</f>
        <v/>
      </c>
      <c r="O1152" s="4">
        <f>IF(J1152&lt;=G1152,1,0)</f>
        <v/>
      </c>
      <c r="P1152" s="4">
        <f>MAX(0,I1152-H1152)</f>
        <v/>
      </c>
      <c r="Q1152" s="4">
        <f>MAX(0,J1152-G1152)</f>
        <v/>
      </c>
      <c r="R1152" s="4">
        <f>IF(AND(N1152=1,O1152=1),"On Track",IF(O1152=0,"Customer Delivery Late","Ship Late"))</f>
        <v/>
      </c>
    </row>
    <row r="1153">
      <c r="A1153" s="2" t="inlineStr">
        <is>
          <t>ORD-01152</t>
        </is>
      </c>
      <c r="B1153" s="2" t="inlineStr">
        <is>
          <t>Customer 26</t>
        </is>
      </c>
      <c r="C1153" s="2" t="inlineStr">
        <is>
          <t>PLC</t>
        </is>
      </c>
      <c r="D1153" s="2" t="inlineStr">
        <is>
          <t>Plant A</t>
        </is>
      </c>
      <c r="E1153" s="2" t="inlineStr">
        <is>
          <t>North</t>
        </is>
      </c>
      <c r="F1153" s="12" t="n">
        <v>46122</v>
      </c>
      <c r="G1153" s="12" t="n">
        <v>46137</v>
      </c>
      <c r="H1153" s="12" t="n">
        <v>46133</v>
      </c>
      <c r="I1153" s="12" t="n">
        <v>46136</v>
      </c>
      <c r="J1153" s="12" t="n">
        <v>46140</v>
      </c>
      <c r="K1153" s="2" t="n">
        <v>10</v>
      </c>
      <c r="L1153" s="2" t="inlineStr">
        <is>
          <t>Road</t>
        </is>
      </c>
      <c r="M1153" s="2" t="inlineStr">
        <is>
          <t>Carrier Delay</t>
        </is>
      </c>
      <c r="N1153" s="4">
        <f>IF(I1153&lt;=H1153,1,0)</f>
        <v/>
      </c>
      <c r="O1153" s="4">
        <f>IF(J1153&lt;=G1153,1,0)</f>
        <v/>
      </c>
      <c r="P1153" s="4">
        <f>MAX(0,I1153-H1153)</f>
        <v/>
      </c>
      <c r="Q1153" s="4">
        <f>MAX(0,J1153-G1153)</f>
        <v/>
      </c>
      <c r="R1153" s="4">
        <f>IF(AND(N1153=1,O1153=1),"On Track",IF(O1153=0,"Customer Delivery Late","Ship Late"))</f>
        <v/>
      </c>
    </row>
    <row r="1154">
      <c r="A1154" s="2" t="inlineStr">
        <is>
          <t>ORD-01153</t>
        </is>
      </c>
      <c r="B1154" s="2" t="inlineStr">
        <is>
          <t>Customer 19</t>
        </is>
      </c>
      <c r="C1154" s="2" t="inlineStr">
        <is>
          <t>Relay</t>
        </is>
      </c>
      <c r="D1154" s="2" t="inlineStr">
        <is>
          <t>Plant A</t>
        </is>
      </c>
      <c r="E1154" s="2" t="inlineStr">
        <is>
          <t>North</t>
        </is>
      </c>
      <c r="F1154" s="12" t="n">
        <v>46181</v>
      </c>
      <c r="G1154" s="12" t="n">
        <v>46187</v>
      </c>
      <c r="H1154" s="12" t="n">
        <v>46186</v>
      </c>
      <c r="I1154" s="12" t="n">
        <v>46184</v>
      </c>
      <c r="J1154" s="12" t="n">
        <v>46185</v>
      </c>
      <c r="K1154" s="2" t="n">
        <v>763</v>
      </c>
      <c r="L1154" s="2" t="inlineStr">
        <is>
          <t>Road</t>
        </is>
      </c>
      <c r="M1154" s="2" t="inlineStr">
        <is>
          <t>No Delay</t>
        </is>
      </c>
      <c r="N1154" s="4">
        <f>IF(I1154&lt;=H1154,1,0)</f>
        <v/>
      </c>
      <c r="O1154" s="4">
        <f>IF(J1154&lt;=G1154,1,0)</f>
        <v/>
      </c>
      <c r="P1154" s="4">
        <f>MAX(0,I1154-H1154)</f>
        <v/>
      </c>
      <c r="Q1154" s="4">
        <f>MAX(0,J1154-G1154)</f>
        <v/>
      </c>
      <c r="R1154" s="4">
        <f>IF(AND(N1154=1,O1154=1),"On Track",IF(O1154=0,"Customer Delivery Late","Ship Late"))</f>
        <v/>
      </c>
    </row>
    <row r="1155">
      <c r="A1155" s="2" t="inlineStr">
        <is>
          <t>ORD-01154</t>
        </is>
      </c>
      <c r="B1155" s="2" t="inlineStr">
        <is>
          <t>Customer 01</t>
        </is>
      </c>
      <c r="C1155" s="2" t="inlineStr">
        <is>
          <t>Sensor</t>
        </is>
      </c>
      <c r="D1155" s="2" t="inlineStr">
        <is>
          <t>Plant A</t>
        </is>
      </c>
      <c r="E1155" s="2" t="inlineStr">
        <is>
          <t>North</t>
        </is>
      </c>
      <c r="F1155" s="12" t="n">
        <v>46188</v>
      </c>
      <c r="G1155" s="12" t="n">
        <v>46199</v>
      </c>
      <c r="H1155" s="12" t="n">
        <v>46195</v>
      </c>
      <c r="I1155" s="12" t="n">
        <v>46194</v>
      </c>
      <c r="J1155" s="12" t="n">
        <v>46198</v>
      </c>
      <c r="K1155" s="2" t="n">
        <v>628</v>
      </c>
      <c r="L1155" s="2" t="inlineStr">
        <is>
          <t>Road</t>
        </is>
      </c>
      <c r="M1155" s="2" t="inlineStr">
        <is>
          <t>No Delay</t>
        </is>
      </c>
      <c r="N1155" s="4">
        <f>IF(I1155&lt;=H1155,1,0)</f>
        <v/>
      </c>
      <c r="O1155" s="4">
        <f>IF(J1155&lt;=G1155,1,0)</f>
        <v/>
      </c>
      <c r="P1155" s="4">
        <f>MAX(0,I1155-H1155)</f>
        <v/>
      </c>
      <c r="Q1155" s="4">
        <f>MAX(0,J1155-G1155)</f>
        <v/>
      </c>
      <c r="R1155" s="4">
        <f>IF(AND(N1155=1,O1155=1),"On Track",IF(O1155=0,"Customer Delivery Late","Ship Late"))</f>
        <v/>
      </c>
    </row>
    <row r="1156">
      <c r="A1156" s="2" t="inlineStr">
        <is>
          <t>ORD-01155</t>
        </is>
      </c>
      <c r="B1156" s="2" t="inlineStr">
        <is>
          <t>Customer 04</t>
        </is>
      </c>
      <c r="C1156" s="2" t="inlineStr">
        <is>
          <t>Contactor</t>
        </is>
      </c>
      <c r="D1156" s="2" t="inlineStr">
        <is>
          <t>Plant C</t>
        </is>
      </c>
      <c r="E1156" s="2" t="inlineStr">
        <is>
          <t>Central</t>
        </is>
      </c>
      <c r="F1156" s="12" t="n">
        <v>46090</v>
      </c>
      <c r="G1156" s="12" t="n">
        <v>46109</v>
      </c>
      <c r="H1156" s="12" t="n">
        <v>46107</v>
      </c>
      <c r="I1156" s="12" t="n">
        <v>46107</v>
      </c>
      <c r="J1156" s="12" t="n">
        <v>46109</v>
      </c>
      <c r="K1156" s="2" t="n">
        <v>942</v>
      </c>
      <c r="L1156" s="2" t="inlineStr">
        <is>
          <t>Sea</t>
        </is>
      </c>
      <c r="M1156" s="2" t="inlineStr">
        <is>
          <t>No Delay</t>
        </is>
      </c>
      <c r="N1156" s="4">
        <f>IF(I1156&lt;=H1156,1,0)</f>
        <v/>
      </c>
      <c r="O1156" s="4">
        <f>IF(J1156&lt;=G1156,1,0)</f>
        <v/>
      </c>
      <c r="P1156" s="4">
        <f>MAX(0,I1156-H1156)</f>
        <v/>
      </c>
      <c r="Q1156" s="4">
        <f>MAX(0,J1156-G1156)</f>
        <v/>
      </c>
      <c r="R1156" s="4">
        <f>IF(AND(N1156=1,O1156=1),"On Track",IF(O1156=0,"Customer Delivery Late","Ship Late"))</f>
        <v/>
      </c>
    </row>
    <row r="1157">
      <c r="A1157" s="2" t="inlineStr">
        <is>
          <t>ORD-01156</t>
        </is>
      </c>
      <c r="B1157" s="2" t="inlineStr">
        <is>
          <t>Customer 05</t>
        </is>
      </c>
      <c r="C1157" s="2" t="inlineStr">
        <is>
          <t>PLC</t>
        </is>
      </c>
      <c r="D1157" s="2" t="inlineStr">
        <is>
          <t>Plant A</t>
        </is>
      </c>
      <c r="E1157" s="2" t="inlineStr">
        <is>
          <t>Export</t>
        </is>
      </c>
      <c r="F1157" s="12" t="n">
        <v>46200</v>
      </c>
      <c r="G1157" s="12" t="n">
        <v>46222</v>
      </c>
      <c r="H1157" s="12" t="n">
        <v>46219</v>
      </c>
      <c r="I1157" s="12" t="n">
        <v>46219</v>
      </c>
      <c r="J1157" s="12" t="n">
        <v>46221</v>
      </c>
      <c r="K1157" s="2" t="n">
        <v>1398</v>
      </c>
      <c r="L1157" s="2" t="inlineStr">
        <is>
          <t>Air</t>
        </is>
      </c>
      <c r="M1157" s="2" t="inlineStr">
        <is>
          <t>No Delay</t>
        </is>
      </c>
      <c r="N1157" s="4">
        <f>IF(I1157&lt;=H1157,1,0)</f>
        <v/>
      </c>
      <c r="O1157" s="4">
        <f>IF(J1157&lt;=G1157,1,0)</f>
        <v/>
      </c>
      <c r="P1157" s="4">
        <f>MAX(0,I1157-H1157)</f>
        <v/>
      </c>
      <c r="Q1157" s="4">
        <f>MAX(0,J1157-G1157)</f>
        <v/>
      </c>
      <c r="R1157" s="4">
        <f>IF(AND(N1157=1,O1157=1),"On Track",IF(O1157=0,"Customer Delivery Late","Ship Late"))</f>
        <v/>
      </c>
    </row>
    <row r="1158">
      <c r="A1158" s="2" t="inlineStr">
        <is>
          <t>ORD-01157</t>
        </is>
      </c>
      <c r="B1158" s="2" t="inlineStr">
        <is>
          <t>Customer 19</t>
        </is>
      </c>
      <c r="C1158" s="2" t="inlineStr">
        <is>
          <t>Breaker</t>
        </is>
      </c>
      <c r="D1158" s="2" t="inlineStr">
        <is>
          <t>Plant C</t>
        </is>
      </c>
      <c r="E1158" s="2" t="inlineStr">
        <is>
          <t>North</t>
        </is>
      </c>
      <c r="F1158" s="12" t="n">
        <v>46030</v>
      </c>
      <c r="G1158" s="12" t="n">
        <v>46036</v>
      </c>
      <c r="H1158" s="12" t="n">
        <v>46032</v>
      </c>
      <c r="I1158" s="12" t="n">
        <v>46031</v>
      </c>
      <c r="J1158" s="12" t="n">
        <v>46035</v>
      </c>
      <c r="K1158" s="2" t="n">
        <v>585</v>
      </c>
      <c r="L1158" s="2" t="inlineStr">
        <is>
          <t>Sea</t>
        </is>
      </c>
      <c r="M1158" s="2" t="inlineStr">
        <is>
          <t>No Delay</t>
        </is>
      </c>
      <c r="N1158" s="4">
        <f>IF(I1158&lt;=H1158,1,0)</f>
        <v/>
      </c>
      <c r="O1158" s="4">
        <f>IF(J1158&lt;=G1158,1,0)</f>
        <v/>
      </c>
      <c r="P1158" s="4">
        <f>MAX(0,I1158-H1158)</f>
        <v/>
      </c>
      <c r="Q1158" s="4">
        <f>MAX(0,J1158-G1158)</f>
        <v/>
      </c>
      <c r="R1158" s="4">
        <f>IF(AND(N1158=1,O1158=1),"On Track",IF(O1158=0,"Customer Delivery Late","Ship Late"))</f>
        <v/>
      </c>
    </row>
    <row r="1159">
      <c r="A1159" s="2" t="inlineStr">
        <is>
          <t>ORD-01158</t>
        </is>
      </c>
      <c r="B1159" s="2" t="inlineStr">
        <is>
          <t>Customer 15</t>
        </is>
      </c>
      <c r="C1159" s="2" t="inlineStr">
        <is>
          <t>Breaker</t>
        </is>
      </c>
      <c r="D1159" s="2" t="inlineStr">
        <is>
          <t>Plant C</t>
        </is>
      </c>
      <c r="E1159" s="2" t="inlineStr">
        <is>
          <t>North</t>
        </is>
      </c>
      <c r="F1159" s="12" t="n">
        <v>46095</v>
      </c>
      <c r="G1159" s="12" t="n">
        <v>46115</v>
      </c>
      <c r="H1159" s="12" t="n">
        <v>46113</v>
      </c>
      <c r="I1159" s="12" t="n">
        <v>46111</v>
      </c>
      <c r="J1159" s="12" t="n">
        <v>46113</v>
      </c>
      <c r="K1159" s="2" t="n">
        <v>1163</v>
      </c>
      <c r="L1159" s="2" t="inlineStr">
        <is>
          <t>Air</t>
        </is>
      </c>
      <c r="M1159" s="2" t="inlineStr">
        <is>
          <t>No Delay</t>
        </is>
      </c>
      <c r="N1159" s="4">
        <f>IF(I1159&lt;=H1159,1,0)</f>
        <v/>
      </c>
      <c r="O1159" s="4">
        <f>IF(J1159&lt;=G1159,1,0)</f>
        <v/>
      </c>
      <c r="P1159" s="4">
        <f>MAX(0,I1159-H1159)</f>
        <v/>
      </c>
      <c r="Q1159" s="4">
        <f>MAX(0,J1159-G1159)</f>
        <v/>
      </c>
      <c r="R1159" s="4">
        <f>IF(AND(N1159=1,O1159=1),"On Track",IF(O1159=0,"Customer Delivery Late","Ship Late"))</f>
        <v/>
      </c>
    </row>
    <row r="1160">
      <c r="A1160" s="2" t="inlineStr">
        <is>
          <t>ORD-01159</t>
        </is>
      </c>
      <c r="B1160" s="2" t="inlineStr">
        <is>
          <t>Customer 20</t>
        </is>
      </c>
      <c r="C1160" s="2" t="inlineStr">
        <is>
          <t>Drive</t>
        </is>
      </c>
      <c r="D1160" s="2" t="inlineStr">
        <is>
          <t>Plant B</t>
        </is>
      </c>
      <c r="E1160" s="2" t="inlineStr">
        <is>
          <t>Export</t>
        </is>
      </c>
      <c r="F1160" s="12" t="n">
        <v>46166</v>
      </c>
      <c r="G1160" s="12" t="n">
        <v>46186</v>
      </c>
      <c r="H1160" s="12" t="n">
        <v>46184</v>
      </c>
      <c r="I1160" s="12" t="n">
        <v>46184</v>
      </c>
      <c r="J1160" s="12" t="n">
        <v>46186</v>
      </c>
      <c r="K1160" s="2" t="n">
        <v>1125</v>
      </c>
      <c r="L1160" s="2" t="inlineStr">
        <is>
          <t>Road</t>
        </is>
      </c>
      <c r="M1160" s="2" t="inlineStr">
        <is>
          <t>No Delay</t>
        </is>
      </c>
      <c r="N1160" s="4">
        <f>IF(I1160&lt;=H1160,1,0)</f>
        <v/>
      </c>
      <c r="O1160" s="4">
        <f>IF(J1160&lt;=G1160,1,0)</f>
        <v/>
      </c>
      <c r="P1160" s="4">
        <f>MAX(0,I1160-H1160)</f>
        <v/>
      </c>
      <c r="Q1160" s="4">
        <f>MAX(0,J1160-G1160)</f>
        <v/>
      </c>
      <c r="R1160" s="4">
        <f>IF(AND(N1160=1,O1160=1),"On Track",IF(O1160=0,"Customer Delivery Late","Ship Late"))</f>
        <v/>
      </c>
    </row>
    <row r="1161">
      <c r="A1161" s="2" t="inlineStr">
        <is>
          <t>ORD-01160</t>
        </is>
      </c>
      <c r="B1161" s="2" t="inlineStr">
        <is>
          <t>Customer 13</t>
        </is>
      </c>
      <c r="C1161" s="2" t="inlineStr">
        <is>
          <t>Drive</t>
        </is>
      </c>
      <c r="D1161" s="2" t="inlineStr">
        <is>
          <t>Plant B</t>
        </is>
      </c>
      <c r="E1161" s="2" t="inlineStr">
        <is>
          <t>South</t>
        </is>
      </c>
      <c r="F1161" s="12" t="n">
        <v>46118</v>
      </c>
      <c r="G1161" s="12" t="n">
        <v>46134</v>
      </c>
      <c r="H1161" s="12" t="n">
        <v>46129</v>
      </c>
      <c r="I1161" s="12" t="n">
        <v>46128</v>
      </c>
      <c r="J1161" s="12" t="n">
        <v>46133</v>
      </c>
      <c r="K1161" s="2" t="n">
        <v>608</v>
      </c>
      <c r="L1161" s="2" t="inlineStr">
        <is>
          <t>Road</t>
        </is>
      </c>
      <c r="M1161" s="2" t="inlineStr">
        <is>
          <t>No Delay</t>
        </is>
      </c>
      <c r="N1161" s="4">
        <f>IF(I1161&lt;=H1161,1,0)</f>
        <v/>
      </c>
      <c r="O1161" s="4">
        <f>IF(J1161&lt;=G1161,1,0)</f>
        <v/>
      </c>
      <c r="P1161" s="4">
        <f>MAX(0,I1161-H1161)</f>
        <v/>
      </c>
      <c r="Q1161" s="4">
        <f>MAX(0,J1161-G1161)</f>
        <v/>
      </c>
      <c r="R1161" s="4">
        <f>IF(AND(N1161=1,O1161=1),"On Track",IF(O1161=0,"Customer Delivery Late","Ship Late"))</f>
        <v/>
      </c>
    </row>
    <row r="1162">
      <c r="A1162" s="2" t="inlineStr">
        <is>
          <t>ORD-01161</t>
        </is>
      </c>
      <c r="B1162" s="2" t="inlineStr">
        <is>
          <t>Customer 05</t>
        </is>
      </c>
      <c r="C1162" s="2" t="inlineStr">
        <is>
          <t>Drive</t>
        </is>
      </c>
      <c r="D1162" s="2" t="inlineStr">
        <is>
          <t>Plant B</t>
        </is>
      </c>
      <c r="E1162" s="2" t="inlineStr">
        <is>
          <t>Export</t>
        </is>
      </c>
      <c r="F1162" s="12" t="n">
        <v>46195</v>
      </c>
      <c r="G1162" s="12" t="n">
        <v>46215</v>
      </c>
      <c r="H1162" s="12" t="n">
        <v>46210</v>
      </c>
      <c r="I1162" s="12" t="n">
        <v>46209</v>
      </c>
      <c r="J1162" s="12" t="n">
        <v>46215</v>
      </c>
      <c r="K1162" s="2" t="n">
        <v>933</v>
      </c>
      <c r="L1162" s="2" t="inlineStr">
        <is>
          <t>Sea</t>
        </is>
      </c>
      <c r="M1162" s="2" t="inlineStr">
        <is>
          <t>No Delay</t>
        </is>
      </c>
      <c r="N1162" s="4">
        <f>IF(I1162&lt;=H1162,1,0)</f>
        <v/>
      </c>
      <c r="O1162" s="4">
        <f>IF(J1162&lt;=G1162,1,0)</f>
        <v/>
      </c>
      <c r="P1162" s="4">
        <f>MAX(0,I1162-H1162)</f>
        <v/>
      </c>
      <c r="Q1162" s="4">
        <f>MAX(0,J1162-G1162)</f>
        <v/>
      </c>
      <c r="R1162" s="4">
        <f>IF(AND(N1162=1,O1162=1),"On Track",IF(O1162=0,"Customer Delivery Late","Ship Late"))</f>
        <v/>
      </c>
    </row>
    <row r="1163">
      <c r="A1163" s="2" t="inlineStr">
        <is>
          <t>ORD-01162</t>
        </is>
      </c>
      <c r="B1163" s="2" t="inlineStr">
        <is>
          <t>Customer 27</t>
        </is>
      </c>
      <c r="C1163" s="2" t="inlineStr">
        <is>
          <t>Relay</t>
        </is>
      </c>
      <c r="D1163" s="2" t="inlineStr">
        <is>
          <t>Plant C</t>
        </is>
      </c>
      <c r="E1163" s="2" t="inlineStr">
        <is>
          <t>Central</t>
        </is>
      </c>
      <c r="F1163" s="12" t="n">
        <v>46197</v>
      </c>
      <c r="G1163" s="12" t="n">
        <v>46207</v>
      </c>
      <c r="H1163" s="12" t="n">
        <v>46206</v>
      </c>
      <c r="I1163" s="12" t="n">
        <v>46206</v>
      </c>
      <c r="J1163" s="12" t="n">
        <v>46208</v>
      </c>
      <c r="K1163" s="2" t="n">
        <v>431</v>
      </c>
      <c r="L1163" s="2" t="inlineStr">
        <is>
          <t>Sea</t>
        </is>
      </c>
      <c r="M1163" s="2" t="inlineStr">
        <is>
          <t>Customer Change</t>
        </is>
      </c>
      <c r="N1163" s="4">
        <f>IF(I1163&lt;=H1163,1,0)</f>
        <v/>
      </c>
      <c r="O1163" s="4">
        <f>IF(J1163&lt;=G1163,1,0)</f>
        <v/>
      </c>
      <c r="P1163" s="4">
        <f>MAX(0,I1163-H1163)</f>
        <v/>
      </c>
      <c r="Q1163" s="4">
        <f>MAX(0,J1163-G1163)</f>
        <v/>
      </c>
      <c r="R1163" s="4">
        <f>IF(AND(N1163=1,O1163=1),"On Track",IF(O1163=0,"Customer Delivery Late","Ship Late"))</f>
        <v/>
      </c>
    </row>
    <row r="1164">
      <c r="A1164" s="2" t="inlineStr">
        <is>
          <t>ORD-01163</t>
        </is>
      </c>
      <c r="B1164" s="2" t="inlineStr">
        <is>
          <t>Customer 09</t>
        </is>
      </c>
      <c r="C1164" s="2" t="inlineStr">
        <is>
          <t>Relay</t>
        </is>
      </c>
      <c r="D1164" s="2" t="inlineStr">
        <is>
          <t>Plant C</t>
        </is>
      </c>
      <c r="E1164" s="2" t="inlineStr">
        <is>
          <t>Central</t>
        </is>
      </c>
      <c r="F1164" s="12" t="n">
        <v>46124</v>
      </c>
      <c r="G1164" s="12" t="n">
        <v>46131</v>
      </c>
      <c r="H1164" s="12" t="n">
        <v>46127</v>
      </c>
      <c r="I1164" s="12" t="n">
        <v>46127</v>
      </c>
      <c r="J1164" s="12" t="n">
        <v>46132</v>
      </c>
      <c r="K1164" s="2" t="n">
        <v>1410</v>
      </c>
      <c r="L1164" s="2" t="inlineStr">
        <is>
          <t>Sea</t>
        </is>
      </c>
      <c r="M1164" s="2" t="inlineStr">
        <is>
          <t>Material Shortage</t>
        </is>
      </c>
      <c r="N1164" s="4">
        <f>IF(I1164&lt;=H1164,1,0)</f>
        <v/>
      </c>
      <c r="O1164" s="4">
        <f>IF(J1164&lt;=G1164,1,0)</f>
        <v/>
      </c>
      <c r="P1164" s="4">
        <f>MAX(0,I1164-H1164)</f>
        <v/>
      </c>
      <c r="Q1164" s="4">
        <f>MAX(0,J1164-G1164)</f>
        <v/>
      </c>
      <c r="R1164" s="4">
        <f>IF(AND(N1164=1,O1164=1),"On Track",IF(O1164=0,"Customer Delivery Late","Ship Late"))</f>
        <v/>
      </c>
    </row>
    <row r="1165">
      <c r="A1165" s="2" t="inlineStr">
        <is>
          <t>ORD-01164</t>
        </is>
      </c>
      <c r="B1165" s="2" t="inlineStr">
        <is>
          <t>Customer 13</t>
        </is>
      </c>
      <c r="C1165" s="2" t="inlineStr">
        <is>
          <t>PLC</t>
        </is>
      </c>
      <c r="D1165" s="2" t="inlineStr">
        <is>
          <t>Plant C</t>
        </is>
      </c>
      <c r="E1165" s="2" t="inlineStr">
        <is>
          <t>South</t>
        </is>
      </c>
      <c r="F1165" s="12" t="n">
        <v>46108</v>
      </c>
      <c r="G1165" s="12" t="n">
        <v>46128</v>
      </c>
      <c r="H1165" s="12" t="n">
        <v>46127</v>
      </c>
      <c r="I1165" s="12" t="n">
        <v>46126</v>
      </c>
      <c r="J1165" s="12" t="n">
        <v>46128</v>
      </c>
      <c r="K1165" s="2" t="n">
        <v>845</v>
      </c>
      <c r="L1165" s="2" t="inlineStr">
        <is>
          <t>Sea</t>
        </is>
      </c>
      <c r="M1165" s="2" t="inlineStr">
        <is>
          <t>No Delay</t>
        </is>
      </c>
      <c r="N1165" s="4">
        <f>IF(I1165&lt;=H1165,1,0)</f>
        <v/>
      </c>
      <c r="O1165" s="4">
        <f>IF(J1165&lt;=G1165,1,0)</f>
        <v/>
      </c>
      <c r="P1165" s="4">
        <f>MAX(0,I1165-H1165)</f>
        <v/>
      </c>
      <c r="Q1165" s="4">
        <f>MAX(0,J1165-G1165)</f>
        <v/>
      </c>
      <c r="R1165" s="4">
        <f>IF(AND(N1165=1,O1165=1),"On Track",IF(O1165=0,"Customer Delivery Late","Ship Late"))</f>
        <v/>
      </c>
    </row>
    <row r="1166">
      <c r="A1166" s="2" t="inlineStr">
        <is>
          <t>ORD-01165</t>
        </is>
      </c>
      <c r="B1166" s="2" t="inlineStr">
        <is>
          <t>Customer 17</t>
        </is>
      </c>
      <c r="C1166" s="2" t="inlineStr">
        <is>
          <t>Contactor</t>
        </is>
      </c>
      <c r="D1166" s="2" t="inlineStr">
        <is>
          <t>Plant B</t>
        </is>
      </c>
      <c r="E1166" s="2" t="inlineStr">
        <is>
          <t>Central</t>
        </is>
      </c>
      <c r="F1166" s="12" t="n">
        <v>46050</v>
      </c>
      <c r="G1166" s="12" t="n">
        <v>46062</v>
      </c>
      <c r="H1166" s="12" t="n">
        <v>46058</v>
      </c>
      <c r="I1166" s="12" t="n">
        <v>46058</v>
      </c>
      <c r="J1166" s="12" t="n">
        <v>46061</v>
      </c>
      <c r="K1166" s="2" t="n">
        <v>157</v>
      </c>
      <c r="L1166" s="2" t="inlineStr">
        <is>
          <t>Sea</t>
        </is>
      </c>
      <c r="M1166" s="2" t="inlineStr">
        <is>
          <t>No Delay</t>
        </is>
      </c>
      <c r="N1166" s="4">
        <f>IF(I1166&lt;=H1166,1,0)</f>
        <v/>
      </c>
      <c r="O1166" s="4">
        <f>IF(J1166&lt;=G1166,1,0)</f>
        <v/>
      </c>
      <c r="P1166" s="4">
        <f>MAX(0,I1166-H1166)</f>
        <v/>
      </c>
      <c r="Q1166" s="4">
        <f>MAX(0,J1166-G1166)</f>
        <v/>
      </c>
      <c r="R1166" s="4">
        <f>IF(AND(N1166=1,O1166=1),"On Track",IF(O1166=0,"Customer Delivery Late","Ship Late"))</f>
        <v/>
      </c>
    </row>
    <row r="1167">
      <c r="A1167" s="2" t="inlineStr">
        <is>
          <t>ORD-01166</t>
        </is>
      </c>
      <c r="B1167" s="2" t="inlineStr">
        <is>
          <t>Customer 01</t>
        </is>
      </c>
      <c r="C1167" s="2" t="inlineStr">
        <is>
          <t>Sensor</t>
        </is>
      </c>
      <c r="D1167" s="2" t="inlineStr">
        <is>
          <t>Plant A</t>
        </is>
      </c>
      <c r="E1167" s="2" t="inlineStr">
        <is>
          <t>Central</t>
        </is>
      </c>
      <c r="F1167" s="12" t="n">
        <v>46101</v>
      </c>
      <c r="G1167" s="12" t="n">
        <v>46113</v>
      </c>
      <c r="H1167" s="12" t="n">
        <v>46109</v>
      </c>
      <c r="I1167" s="12" t="n">
        <v>46107</v>
      </c>
      <c r="J1167" s="12" t="n">
        <v>46111</v>
      </c>
      <c r="K1167" s="2" t="n">
        <v>390</v>
      </c>
      <c r="L1167" s="2" t="inlineStr">
        <is>
          <t>Sea</t>
        </is>
      </c>
      <c r="M1167" s="2" t="inlineStr">
        <is>
          <t>No Delay</t>
        </is>
      </c>
      <c r="N1167" s="4">
        <f>IF(I1167&lt;=H1167,1,0)</f>
        <v/>
      </c>
      <c r="O1167" s="4">
        <f>IF(J1167&lt;=G1167,1,0)</f>
        <v/>
      </c>
      <c r="P1167" s="4">
        <f>MAX(0,I1167-H1167)</f>
        <v/>
      </c>
      <c r="Q1167" s="4">
        <f>MAX(0,J1167-G1167)</f>
        <v/>
      </c>
      <c r="R1167" s="4">
        <f>IF(AND(N1167=1,O1167=1),"On Track",IF(O1167=0,"Customer Delivery Late","Ship Late"))</f>
        <v/>
      </c>
    </row>
    <row r="1168">
      <c r="A1168" s="2" t="inlineStr">
        <is>
          <t>ORD-01167</t>
        </is>
      </c>
      <c r="B1168" s="2" t="inlineStr">
        <is>
          <t>Customer 01</t>
        </is>
      </c>
      <c r="C1168" s="2" t="inlineStr">
        <is>
          <t>Sensor</t>
        </is>
      </c>
      <c r="D1168" s="2" t="inlineStr">
        <is>
          <t>Plant B</t>
        </is>
      </c>
      <c r="E1168" s="2" t="inlineStr">
        <is>
          <t>Export</t>
        </is>
      </c>
      <c r="F1168" s="12" t="n">
        <v>46041</v>
      </c>
      <c r="G1168" s="12" t="n">
        <v>46048</v>
      </c>
      <c r="H1168" s="12" t="n">
        <v>46045</v>
      </c>
      <c r="I1168" s="12" t="n">
        <v>46043</v>
      </c>
      <c r="J1168" s="12" t="n">
        <v>46046</v>
      </c>
      <c r="K1168" s="2" t="n">
        <v>777</v>
      </c>
      <c r="L1168" s="2" t="inlineStr">
        <is>
          <t>Road</t>
        </is>
      </c>
      <c r="M1168" s="2" t="inlineStr">
        <is>
          <t>No Delay</t>
        </is>
      </c>
      <c r="N1168" s="4">
        <f>IF(I1168&lt;=H1168,1,0)</f>
        <v/>
      </c>
      <c r="O1168" s="4">
        <f>IF(J1168&lt;=G1168,1,0)</f>
        <v/>
      </c>
      <c r="P1168" s="4">
        <f>MAX(0,I1168-H1168)</f>
        <v/>
      </c>
      <c r="Q1168" s="4">
        <f>MAX(0,J1168-G1168)</f>
        <v/>
      </c>
      <c r="R1168" s="4">
        <f>IF(AND(N1168=1,O1168=1),"On Track",IF(O1168=0,"Customer Delivery Late","Ship Late"))</f>
        <v/>
      </c>
    </row>
    <row r="1169">
      <c r="A1169" s="2" t="inlineStr">
        <is>
          <t>ORD-01168</t>
        </is>
      </c>
      <c r="B1169" s="2" t="inlineStr">
        <is>
          <t>Customer 16</t>
        </is>
      </c>
      <c r="C1169" s="2" t="inlineStr">
        <is>
          <t>Drive</t>
        </is>
      </c>
      <c r="D1169" s="2" t="inlineStr">
        <is>
          <t>Plant B</t>
        </is>
      </c>
      <c r="E1169" s="2" t="inlineStr">
        <is>
          <t>North</t>
        </is>
      </c>
      <c r="F1169" s="12" t="n">
        <v>46100</v>
      </c>
      <c r="G1169" s="12" t="n">
        <v>46118</v>
      </c>
      <c r="H1169" s="12" t="n">
        <v>46113</v>
      </c>
      <c r="I1169" s="12" t="n">
        <v>46112</v>
      </c>
      <c r="J1169" s="12" t="n">
        <v>46117</v>
      </c>
      <c r="K1169" s="2" t="n">
        <v>533</v>
      </c>
      <c r="L1169" s="2" t="inlineStr">
        <is>
          <t>Sea</t>
        </is>
      </c>
      <c r="M1169" s="2" t="inlineStr">
        <is>
          <t>No Delay</t>
        </is>
      </c>
      <c r="N1169" s="4">
        <f>IF(I1169&lt;=H1169,1,0)</f>
        <v/>
      </c>
      <c r="O1169" s="4">
        <f>IF(J1169&lt;=G1169,1,0)</f>
        <v/>
      </c>
      <c r="P1169" s="4">
        <f>MAX(0,I1169-H1169)</f>
        <v/>
      </c>
      <c r="Q1169" s="4">
        <f>MAX(0,J1169-G1169)</f>
        <v/>
      </c>
      <c r="R1169" s="4">
        <f>IF(AND(N1169=1,O1169=1),"On Track",IF(O1169=0,"Customer Delivery Late","Ship Late"))</f>
        <v/>
      </c>
    </row>
    <row r="1170">
      <c r="A1170" s="2" t="inlineStr">
        <is>
          <t>ORD-01169</t>
        </is>
      </c>
      <c r="B1170" s="2" t="inlineStr">
        <is>
          <t>Customer 13</t>
        </is>
      </c>
      <c r="C1170" s="2" t="inlineStr">
        <is>
          <t>Breaker</t>
        </is>
      </c>
      <c r="D1170" s="2" t="inlineStr">
        <is>
          <t>Plant B</t>
        </is>
      </c>
      <c r="E1170" s="2" t="inlineStr">
        <is>
          <t>North</t>
        </is>
      </c>
      <c r="F1170" s="12" t="n">
        <v>46144</v>
      </c>
      <c r="G1170" s="12" t="n">
        <v>46161</v>
      </c>
      <c r="H1170" s="12" t="n">
        <v>46156</v>
      </c>
      <c r="I1170" s="12" t="n">
        <v>46155</v>
      </c>
      <c r="J1170" s="12" t="n">
        <v>46160</v>
      </c>
      <c r="K1170" s="2" t="n">
        <v>982</v>
      </c>
      <c r="L1170" s="2" t="inlineStr">
        <is>
          <t>Air</t>
        </is>
      </c>
      <c r="M1170" s="2" t="inlineStr">
        <is>
          <t>No Delay</t>
        </is>
      </c>
      <c r="N1170" s="4">
        <f>IF(I1170&lt;=H1170,1,0)</f>
        <v/>
      </c>
      <c r="O1170" s="4">
        <f>IF(J1170&lt;=G1170,1,0)</f>
        <v/>
      </c>
      <c r="P1170" s="4">
        <f>MAX(0,I1170-H1170)</f>
        <v/>
      </c>
      <c r="Q1170" s="4">
        <f>MAX(0,J1170-G1170)</f>
        <v/>
      </c>
      <c r="R1170" s="4">
        <f>IF(AND(N1170=1,O1170=1),"On Track",IF(O1170=0,"Customer Delivery Late","Ship Late"))</f>
        <v/>
      </c>
    </row>
    <row r="1171">
      <c r="A1171" s="2" t="inlineStr">
        <is>
          <t>ORD-01170</t>
        </is>
      </c>
      <c r="B1171" s="2" t="inlineStr">
        <is>
          <t>Customer 11</t>
        </is>
      </c>
      <c r="C1171" s="2" t="inlineStr">
        <is>
          <t>PLC</t>
        </is>
      </c>
      <c r="D1171" s="2" t="inlineStr">
        <is>
          <t>Plant C</t>
        </is>
      </c>
      <c r="E1171" s="2" t="inlineStr">
        <is>
          <t>Export</t>
        </is>
      </c>
      <c r="F1171" s="12" t="n">
        <v>46162</v>
      </c>
      <c r="G1171" s="12" t="n">
        <v>46169</v>
      </c>
      <c r="H1171" s="12" t="n">
        <v>46168</v>
      </c>
      <c r="I1171" s="12" t="n">
        <v>46168</v>
      </c>
      <c r="J1171" s="12" t="n">
        <v>46169</v>
      </c>
      <c r="K1171" s="2" t="n">
        <v>80</v>
      </c>
      <c r="L1171" s="2" t="inlineStr">
        <is>
          <t>Air</t>
        </is>
      </c>
      <c r="M1171" s="2" t="inlineStr">
        <is>
          <t>No Delay</t>
        </is>
      </c>
      <c r="N1171" s="4">
        <f>IF(I1171&lt;=H1171,1,0)</f>
        <v/>
      </c>
      <c r="O1171" s="4">
        <f>IF(J1171&lt;=G1171,1,0)</f>
        <v/>
      </c>
      <c r="P1171" s="4">
        <f>MAX(0,I1171-H1171)</f>
        <v/>
      </c>
      <c r="Q1171" s="4">
        <f>MAX(0,J1171-G1171)</f>
        <v/>
      </c>
      <c r="R1171" s="4">
        <f>IF(AND(N1171=1,O1171=1),"On Track",IF(O1171=0,"Customer Delivery Late","Ship Late"))</f>
        <v/>
      </c>
    </row>
    <row r="1172">
      <c r="A1172" s="2" t="inlineStr">
        <is>
          <t>ORD-01171</t>
        </is>
      </c>
      <c r="B1172" s="2" t="inlineStr">
        <is>
          <t>Customer 19</t>
        </is>
      </c>
      <c r="C1172" s="2" t="inlineStr">
        <is>
          <t>Breaker</t>
        </is>
      </c>
      <c r="D1172" s="2" t="inlineStr">
        <is>
          <t>Plant C</t>
        </is>
      </c>
      <c r="E1172" s="2" t="inlineStr">
        <is>
          <t>Export</t>
        </is>
      </c>
      <c r="F1172" s="12" t="n">
        <v>46102</v>
      </c>
      <c r="G1172" s="12" t="n">
        <v>46124</v>
      </c>
      <c r="H1172" s="12" t="n">
        <v>46120</v>
      </c>
      <c r="I1172" s="12" t="n">
        <v>46119</v>
      </c>
      <c r="J1172" s="12" t="n">
        <v>46122</v>
      </c>
      <c r="K1172" s="2" t="n">
        <v>151</v>
      </c>
      <c r="L1172" s="2" t="inlineStr">
        <is>
          <t>Sea</t>
        </is>
      </c>
      <c r="M1172" s="2" t="inlineStr">
        <is>
          <t>No Delay</t>
        </is>
      </c>
      <c r="N1172" s="4">
        <f>IF(I1172&lt;=H1172,1,0)</f>
        <v/>
      </c>
      <c r="O1172" s="4">
        <f>IF(J1172&lt;=G1172,1,0)</f>
        <v/>
      </c>
      <c r="P1172" s="4">
        <f>MAX(0,I1172-H1172)</f>
        <v/>
      </c>
      <c r="Q1172" s="4">
        <f>MAX(0,J1172-G1172)</f>
        <v/>
      </c>
      <c r="R1172" s="4">
        <f>IF(AND(N1172=1,O1172=1),"On Track",IF(O1172=0,"Customer Delivery Late","Ship Late"))</f>
        <v/>
      </c>
    </row>
    <row r="1173">
      <c r="A1173" s="2" t="inlineStr">
        <is>
          <t>ORD-01172</t>
        </is>
      </c>
      <c r="B1173" s="2" t="inlineStr">
        <is>
          <t>Customer 23</t>
        </is>
      </c>
      <c r="C1173" s="2" t="inlineStr">
        <is>
          <t>Switchgear</t>
        </is>
      </c>
      <c r="D1173" s="2" t="inlineStr">
        <is>
          <t>Plant A</t>
        </is>
      </c>
      <c r="E1173" s="2" t="inlineStr">
        <is>
          <t>Export</t>
        </is>
      </c>
      <c r="F1173" s="12" t="n">
        <v>46069</v>
      </c>
      <c r="G1173" s="12" t="n">
        <v>46088</v>
      </c>
      <c r="H1173" s="12" t="n">
        <v>46085</v>
      </c>
      <c r="I1173" s="12" t="n">
        <v>46084</v>
      </c>
      <c r="J1173" s="12" t="n">
        <v>46087</v>
      </c>
      <c r="K1173" s="2" t="n">
        <v>610</v>
      </c>
      <c r="L1173" s="2" t="inlineStr">
        <is>
          <t>Road</t>
        </is>
      </c>
      <c r="M1173" s="2" t="inlineStr">
        <is>
          <t>No Delay</t>
        </is>
      </c>
      <c r="N1173" s="4">
        <f>IF(I1173&lt;=H1173,1,0)</f>
        <v/>
      </c>
      <c r="O1173" s="4">
        <f>IF(J1173&lt;=G1173,1,0)</f>
        <v/>
      </c>
      <c r="P1173" s="4">
        <f>MAX(0,I1173-H1173)</f>
        <v/>
      </c>
      <c r="Q1173" s="4">
        <f>MAX(0,J1173-G1173)</f>
        <v/>
      </c>
      <c r="R1173" s="4">
        <f>IF(AND(N1173=1,O1173=1),"On Track",IF(O1173=0,"Customer Delivery Late","Ship Late"))</f>
        <v/>
      </c>
    </row>
    <row r="1174">
      <c r="A1174" s="2" t="inlineStr">
        <is>
          <t>ORD-01173</t>
        </is>
      </c>
      <c r="B1174" s="2" t="inlineStr">
        <is>
          <t>Customer 16</t>
        </is>
      </c>
      <c r="C1174" s="2" t="inlineStr">
        <is>
          <t>PLC</t>
        </is>
      </c>
      <c r="D1174" s="2" t="inlineStr">
        <is>
          <t>Plant A</t>
        </is>
      </c>
      <c r="E1174" s="2" t="inlineStr">
        <is>
          <t>Export</t>
        </is>
      </c>
      <c r="F1174" s="12" t="n">
        <v>46033</v>
      </c>
      <c r="G1174" s="12" t="n">
        <v>46047</v>
      </c>
      <c r="H1174" s="12" t="n">
        <v>46042</v>
      </c>
      <c r="I1174" s="12" t="n">
        <v>46040</v>
      </c>
      <c r="J1174" s="12" t="n">
        <v>46044</v>
      </c>
      <c r="K1174" s="2" t="n">
        <v>1349</v>
      </c>
      <c r="L1174" s="2" t="inlineStr">
        <is>
          <t>Road</t>
        </is>
      </c>
      <c r="M1174" s="2" t="inlineStr">
        <is>
          <t>No Delay</t>
        </is>
      </c>
      <c r="N1174" s="4">
        <f>IF(I1174&lt;=H1174,1,0)</f>
        <v/>
      </c>
      <c r="O1174" s="4">
        <f>IF(J1174&lt;=G1174,1,0)</f>
        <v/>
      </c>
      <c r="P1174" s="4">
        <f>MAX(0,I1174-H1174)</f>
        <v/>
      </c>
      <c r="Q1174" s="4">
        <f>MAX(0,J1174-G1174)</f>
        <v/>
      </c>
      <c r="R1174" s="4">
        <f>IF(AND(N1174=1,O1174=1),"On Track",IF(O1174=0,"Customer Delivery Late","Ship Late"))</f>
        <v/>
      </c>
    </row>
    <row r="1175">
      <c r="A1175" s="2" t="inlineStr">
        <is>
          <t>ORD-01174</t>
        </is>
      </c>
      <c r="B1175" s="2" t="inlineStr">
        <is>
          <t>Customer 26</t>
        </is>
      </c>
      <c r="C1175" s="2" t="inlineStr">
        <is>
          <t>Contactor</t>
        </is>
      </c>
      <c r="D1175" s="2" t="inlineStr">
        <is>
          <t>Plant A</t>
        </is>
      </c>
      <c r="E1175" s="2" t="inlineStr">
        <is>
          <t>Central</t>
        </is>
      </c>
      <c r="F1175" s="12" t="n">
        <v>46119</v>
      </c>
      <c r="G1175" s="12" t="n">
        <v>46125</v>
      </c>
      <c r="H1175" s="12" t="n">
        <v>46122</v>
      </c>
      <c r="I1175" s="12" t="n">
        <v>46121</v>
      </c>
      <c r="J1175" s="12" t="n">
        <v>46124</v>
      </c>
      <c r="K1175" s="2" t="n">
        <v>295</v>
      </c>
      <c r="L1175" s="2" t="inlineStr">
        <is>
          <t>Road</t>
        </is>
      </c>
      <c r="M1175" s="2" t="inlineStr">
        <is>
          <t>No Delay</t>
        </is>
      </c>
      <c r="N1175" s="4">
        <f>IF(I1175&lt;=H1175,1,0)</f>
        <v/>
      </c>
      <c r="O1175" s="4">
        <f>IF(J1175&lt;=G1175,1,0)</f>
        <v/>
      </c>
      <c r="P1175" s="4">
        <f>MAX(0,I1175-H1175)</f>
        <v/>
      </c>
      <c r="Q1175" s="4">
        <f>MAX(0,J1175-G1175)</f>
        <v/>
      </c>
      <c r="R1175" s="4">
        <f>IF(AND(N1175=1,O1175=1),"On Track",IF(O1175=0,"Customer Delivery Late","Ship Late"))</f>
        <v/>
      </c>
    </row>
    <row r="1176">
      <c r="A1176" s="2" t="inlineStr">
        <is>
          <t>ORD-01175</t>
        </is>
      </c>
      <c r="B1176" s="2" t="inlineStr">
        <is>
          <t>Customer 29</t>
        </is>
      </c>
      <c r="C1176" s="2" t="inlineStr">
        <is>
          <t>Drive</t>
        </is>
      </c>
      <c r="D1176" s="2" t="inlineStr">
        <is>
          <t>Plant C</t>
        </is>
      </c>
      <c r="E1176" s="2" t="inlineStr">
        <is>
          <t>North</t>
        </is>
      </c>
      <c r="F1176" s="12" t="n">
        <v>46177</v>
      </c>
      <c r="G1176" s="12" t="n">
        <v>46200</v>
      </c>
      <c r="H1176" s="12" t="n">
        <v>46199</v>
      </c>
      <c r="I1176" s="12" t="n">
        <v>46198</v>
      </c>
      <c r="J1176" s="12" t="n">
        <v>46199</v>
      </c>
      <c r="K1176" s="2" t="n">
        <v>867</v>
      </c>
      <c r="L1176" s="2" t="inlineStr">
        <is>
          <t>Air</t>
        </is>
      </c>
      <c r="M1176" s="2" t="inlineStr">
        <is>
          <t>No Delay</t>
        </is>
      </c>
      <c r="N1176" s="4">
        <f>IF(I1176&lt;=H1176,1,0)</f>
        <v/>
      </c>
      <c r="O1176" s="4">
        <f>IF(J1176&lt;=G1176,1,0)</f>
        <v/>
      </c>
      <c r="P1176" s="4">
        <f>MAX(0,I1176-H1176)</f>
        <v/>
      </c>
      <c r="Q1176" s="4">
        <f>MAX(0,J1176-G1176)</f>
        <v/>
      </c>
      <c r="R1176" s="4">
        <f>IF(AND(N1176=1,O1176=1),"On Track",IF(O1176=0,"Customer Delivery Late","Ship Late"))</f>
        <v/>
      </c>
    </row>
    <row r="1177">
      <c r="A1177" s="2" t="inlineStr">
        <is>
          <t>ORD-01176</t>
        </is>
      </c>
      <c r="B1177" s="2" t="inlineStr">
        <is>
          <t>Customer 29</t>
        </is>
      </c>
      <c r="C1177" s="2" t="inlineStr">
        <is>
          <t>Drive</t>
        </is>
      </c>
      <c r="D1177" s="2" t="inlineStr">
        <is>
          <t>Plant B</t>
        </is>
      </c>
      <c r="E1177" s="2" t="inlineStr">
        <is>
          <t>Export</t>
        </is>
      </c>
      <c r="F1177" s="12" t="n">
        <v>46031</v>
      </c>
      <c r="G1177" s="12" t="n">
        <v>46044</v>
      </c>
      <c r="H1177" s="12" t="n">
        <v>46040</v>
      </c>
      <c r="I1177" s="12" t="n">
        <v>46039</v>
      </c>
      <c r="J1177" s="12" t="n">
        <v>46042</v>
      </c>
      <c r="K1177" s="2" t="n">
        <v>1048</v>
      </c>
      <c r="L1177" s="2" t="inlineStr">
        <is>
          <t>Road</t>
        </is>
      </c>
      <c r="M1177" s="2" t="inlineStr">
        <is>
          <t>No Delay</t>
        </is>
      </c>
      <c r="N1177" s="4">
        <f>IF(I1177&lt;=H1177,1,0)</f>
        <v/>
      </c>
      <c r="O1177" s="4">
        <f>IF(J1177&lt;=G1177,1,0)</f>
        <v/>
      </c>
      <c r="P1177" s="4">
        <f>MAX(0,I1177-H1177)</f>
        <v/>
      </c>
      <c r="Q1177" s="4">
        <f>MAX(0,J1177-G1177)</f>
        <v/>
      </c>
      <c r="R1177" s="4">
        <f>IF(AND(N1177=1,O1177=1),"On Track",IF(O1177=0,"Customer Delivery Late","Ship Late"))</f>
        <v/>
      </c>
    </row>
    <row r="1178">
      <c r="A1178" s="2" t="inlineStr">
        <is>
          <t>ORD-01177</t>
        </is>
      </c>
      <c r="B1178" s="2" t="inlineStr">
        <is>
          <t>Customer 18</t>
        </is>
      </c>
      <c r="C1178" s="2" t="inlineStr">
        <is>
          <t>Drive</t>
        </is>
      </c>
      <c r="D1178" s="2" t="inlineStr">
        <is>
          <t>Plant C</t>
        </is>
      </c>
      <c r="E1178" s="2" t="inlineStr">
        <is>
          <t>South</t>
        </is>
      </c>
      <c r="F1178" s="12" t="n">
        <v>46058</v>
      </c>
      <c r="G1178" s="12" t="n">
        <v>46066</v>
      </c>
      <c r="H1178" s="12" t="n">
        <v>46065</v>
      </c>
      <c r="I1178" s="12" t="n">
        <v>46065</v>
      </c>
      <c r="J1178" s="12" t="n">
        <v>46066</v>
      </c>
      <c r="K1178" s="2" t="n">
        <v>988</v>
      </c>
      <c r="L1178" s="2" t="inlineStr">
        <is>
          <t>Road</t>
        </is>
      </c>
      <c r="M1178" s="2" t="inlineStr">
        <is>
          <t>No Delay</t>
        </is>
      </c>
      <c r="N1178" s="4">
        <f>IF(I1178&lt;=H1178,1,0)</f>
        <v/>
      </c>
      <c r="O1178" s="4">
        <f>IF(J1178&lt;=G1178,1,0)</f>
        <v/>
      </c>
      <c r="P1178" s="4">
        <f>MAX(0,I1178-H1178)</f>
        <v/>
      </c>
      <c r="Q1178" s="4">
        <f>MAX(0,J1178-G1178)</f>
        <v/>
      </c>
      <c r="R1178" s="4">
        <f>IF(AND(N1178=1,O1178=1),"On Track",IF(O1178=0,"Customer Delivery Late","Ship Late"))</f>
        <v/>
      </c>
    </row>
    <row r="1179">
      <c r="A1179" s="2" t="inlineStr">
        <is>
          <t>ORD-01178</t>
        </is>
      </c>
      <c r="B1179" s="2" t="inlineStr">
        <is>
          <t>Customer 10</t>
        </is>
      </c>
      <c r="C1179" s="2" t="inlineStr">
        <is>
          <t>Relay</t>
        </is>
      </c>
      <c r="D1179" s="2" t="inlineStr">
        <is>
          <t>Plant C</t>
        </is>
      </c>
      <c r="E1179" s="2" t="inlineStr">
        <is>
          <t>Export</t>
        </is>
      </c>
      <c r="F1179" s="12" t="n">
        <v>46191</v>
      </c>
      <c r="G1179" s="12" t="n">
        <v>46201</v>
      </c>
      <c r="H1179" s="12" t="n">
        <v>46196</v>
      </c>
      <c r="I1179" s="12" t="n">
        <v>46196</v>
      </c>
      <c r="J1179" s="12" t="n">
        <v>46201</v>
      </c>
      <c r="K1179" s="2" t="n">
        <v>32</v>
      </c>
      <c r="L1179" s="2" t="inlineStr">
        <is>
          <t>Air</t>
        </is>
      </c>
      <c r="M1179" s="2" t="inlineStr">
        <is>
          <t>No Delay</t>
        </is>
      </c>
      <c r="N1179" s="4">
        <f>IF(I1179&lt;=H1179,1,0)</f>
        <v/>
      </c>
      <c r="O1179" s="4">
        <f>IF(J1179&lt;=G1179,1,0)</f>
        <v/>
      </c>
      <c r="P1179" s="4">
        <f>MAX(0,I1179-H1179)</f>
        <v/>
      </c>
      <c r="Q1179" s="4">
        <f>MAX(0,J1179-G1179)</f>
        <v/>
      </c>
      <c r="R1179" s="4">
        <f>IF(AND(N1179=1,O1179=1),"On Track",IF(O1179=0,"Customer Delivery Late","Ship Late"))</f>
        <v/>
      </c>
    </row>
    <row r="1180">
      <c r="A1180" s="2" t="inlineStr">
        <is>
          <t>ORD-01179</t>
        </is>
      </c>
      <c r="B1180" s="2" t="inlineStr">
        <is>
          <t>Customer 29</t>
        </is>
      </c>
      <c r="C1180" s="2" t="inlineStr">
        <is>
          <t>Relay</t>
        </is>
      </c>
      <c r="D1180" s="2" t="inlineStr">
        <is>
          <t>Plant B</t>
        </is>
      </c>
      <c r="E1180" s="2" t="inlineStr">
        <is>
          <t>Central</t>
        </is>
      </c>
      <c r="F1180" s="12" t="n">
        <v>46038</v>
      </c>
      <c r="G1180" s="12" t="n">
        <v>46059</v>
      </c>
      <c r="H1180" s="12" t="n">
        <v>46058</v>
      </c>
      <c r="I1180" s="12" t="n">
        <v>46058</v>
      </c>
      <c r="J1180" s="12" t="n">
        <v>46060</v>
      </c>
      <c r="K1180" s="2" t="n">
        <v>993</v>
      </c>
      <c r="L1180" s="2" t="inlineStr">
        <is>
          <t>Road</t>
        </is>
      </c>
      <c r="M1180" s="2" t="inlineStr">
        <is>
          <t>Carrier Delay</t>
        </is>
      </c>
      <c r="N1180" s="4">
        <f>IF(I1180&lt;=H1180,1,0)</f>
        <v/>
      </c>
      <c r="O1180" s="4">
        <f>IF(J1180&lt;=G1180,1,0)</f>
        <v/>
      </c>
      <c r="P1180" s="4">
        <f>MAX(0,I1180-H1180)</f>
        <v/>
      </c>
      <c r="Q1180" s="4">
        <f>MAX(0,J1180-G1180)</f>
        <v/>
      </c>
      <c r="R1180" s="4">
        <f>IF(AND(N1180=1,O1180=1),"On Track",IF(O1180=0,"Customer Delivery Late","Ship Late"))</f>
        <v/>
      </c>
    </row>
    <row r="1181">
      <c r="A1181" s="2" t="inlineStr">
        <is>
          <t>ORD-01180</t>
        </is>
      </c>
      <c r="B1181" s="2" t="inlineStr">
        <is>
          <t>Customer 21</t>
        </is>
      </c>
      <c r="C1181" s="2" t="inlineStr">
        <is>
          <t>Contactor</t>
        </is>
      </c>
      <c r="D1181" s="2" t="inlineStr">
        <is>
          <t>Plant A</t>
        </is>
      </c>
      <c r="E1181" s="2" t="inlineStr">
        <is>
          <t>Central</t>
        </is>
      </c>
      <c r="F1181" s="12" t="n">
        <v>46071</v>
      </c>
      <c r="G1181" s="12" t="n">
        <v>46091</v>
      </c>
      <c r="H1181" s="12" t="n">
        <v>46087</v>
      </c>
      <c r="I1181" s="12" t="n">
        <v>46085</v>
      </c>
      <c r="J1181" s="12" t="n">
        <v>46089</v>
      </c>
      <c r="K1181" s="2" t="n">
        <v>1054</v>
      </c>
      <c r="L1181" s="2" t="inlineStr">
        <is>
          <t>Road</t>
        </is>
      </c>
      <c r="M1181" s="2" t="inlineStr">
        <is>
          <t>No Delay</t>
        </is>
      </c>
      <c r="N1181" s="4">
        <f>IF(I1181&lt;=H1181,1,0)</f>
        <v/>
      </c>
      <c r="O1181" s="4">
        <f>IF(J1181&lt;=G1181,1,0)</f>
        <v/>
      </c>
      <c r="P1181" s="4">
        <f>MAX(0,I1181-H1181)</f>
        <v/>
      </c>
      <c r="Q1181" s="4">
        <f>MAX(0,J1181-G1181)</f>
        <v/>
      </c>
      <c r="R1181" s="4">
        <f>IF(AND(N1181=1,O1181=1),"On Track",IF(O1181=0,"Customer Delivery Late","Ship Late"))</f>
        <v/>
      </c>
    </row>
    <row r="1182">
      <c r="A1182" s="2" t="inlineStr">
        <is>
          <t>ORD-01181</t>
        </is>
      </c>
      <c r="B1182" s="2" t="inlineStr">
        <is>
          <t>Customer 27</t>
        </is>
      </c>
      <c r="C1182" s="2" t="inlineStr">
        <is>
          <t>Drive</t>
        </is>
      </c>
      <c r="D1182" s="2" t="inlineStr">
        <is>
          <t>Plant A</t>
        </is>
      </c>
      <c r="E1182" s="2" t="inlineStr">
        <is>
          <t>South</t>
        </is>
      </c>
      <c r="F1182" s="12" t="n">
        <v>46040</v>
      </c>
      <c r="G1182" s="12" t="n">
        <v>46060</v>
      </c>
      <c r="H1182" s="12" t="n">
        <v>46055</v>
      </c>
      <c r="I1182" s="12" t="n">
        <v>46057</v>
      </c>
      <c r="J1182" s="12" t="n">
        <v>46062</v>
      </c>
      <c r="K1182" s="2" t="n">
        <v>842</v>
      </c>
      <c r="L1182" s="2" t="inlineStr">
        <is>
          <t>Road</t>
        </is>
      </c>
      <c r="M1182" s="2" t="inlineStr">
        <is>
          <t>Documentation Issue</t>
        </is>
      </c>
      <c r="N1182" s="4">
        <f>IF(I1182&lt;=H1182,1,0)</f>
        <v/>
      </c>
      <c r="O1182" s="4">
        <f>IF(J1182&lt;=G1182,1,0)</f>
        <v/>
      </c>
      <c r="P1182" s="4">
        <f>MAX(0,I1182-H1182)</f>
        <v/>
      </c>
      <c r="Q1182" s="4">
        <f>MAX(0,J1182-G1182)</f>
        <v/>
      </c>
      <c r="R1182" s="4">
        <f>IF(AND(N1182=1,O1182=1),"On Track",IF(O1182=0,"Customer Delivery Late","Ship Late"))</f>
        <v/>
      </c>
    </row>
    <row r="1183">
      <c r="A1183" s="2" t="inlineStr">
        <is>
          <t>ORD-01182</t>
        </is>
      </c>
      <c r="B1183" s="2" t="inlineStr">
        <is>
          <t>Customer 20</t>
        </is>
      </c>
      <c r="C1183" s="2" t="inlineStr">
        <is>
          <t>PLC</t>
        </is>
      </c>
      <c r="D1183" s="2" t="inlineStr">
        <is>
          <t>Plant C</t>
        </is>
      </c>
      <c r="E1183" s="2" t="inlineStr">
        <is>
          <t>Central</t>
        </is>
      </c>
      <c r="F1183" s="12" t="n">
        <v>46133</v>
      </c>
      <c r="G1183" s="12" t="n">
        <v>46139</v>
      </c>
      <c r="H1183" s="12" t="n">
        <v>46136</v>
      </c>
      <c r="I1183" s="12" t="n">
        <v>46134</v>
      </c>
      <c r="J1183" s="12" t="n">
        <v>46137</v>
      </c>
      <c r="K1183" s="2" t="n">
        <v>991</v>
      </c>
      <c r="L1183" s="2" t="inlineStr">
        <is>
          <t>Sea</t>
        </is>
      </c>
      <c r="M1183" s="2" t="inlineStr">
        <is>
          <t>No Delay</t>
        </is>
      </c>
      <c r="N1183" s="4">
        <f>IF(I1183&lt;=H1183,1,0)</f>
        <v/>
      </c>
      <c r="O1183" s="4">
        <f>IF(J1183&lt;=G1183,1,0)</f>
        <v/>
      </c>
      <c r="P1183" s="4">
        <f>MAX(0,I1183-H1183)</f>
        <v/>
      </c>
      <c r="Q1183" s="4">
        <f>MAX(0,J1183-G1183)</f>
        <v/>
      </c>
      <c r="R1183" s="4">
        <f>IF(AND(N1183=1,O1183=1),"On Track",IF(O1183=0,"Customer Delivery Late","Ship Late"))</f>
        <v/>
      </c>
    </row>
    <row r="1184">
      <c r="A1184" s="2" t="inlineStr">
        <is>
          <t>ORD-01183</t>
        </is>
      </c>
      <c r="B1184" s="2" t="inlineStr">
        <is>
          <t>Customer 14</t>
        </is>
      </c>
      <c r="C1184" s="2" t="inlineStr">
        <is>
          <t>Breaker</t>
        </is>
      </c>
      <c r="D1184" s="2" t="inlineStr">
        <is>
          <t>Plant B</t>
        </is>
      </c>
      <c r="E1184" s="2" t="inlineStr">
        <is>
          <t>North</t>
        </is>
      </c>
      <c r="F1184" s="12" t="n">
        <v>46153</v>
      </c>
      <c r="G1184" s="12" t="n">
        <v>46171</v>
      </c>
      <c r="H1184" s="12" t="n">
        <v>46169</v>
      </c>
      <c r="I1184" s="12" t="n">
        <v>46169</v>
      </c>
      <c r="J1184" s="12" t="n">
        <v>46171</v>
      </c>
      <c r="K1184" s="2" t="n">
        <v>1160</v>
      </c>
      <c r="L1184" s="2" t="inlineStr">
        <is>
          <t>Road</t>
        </is>
      </c>
      <c r="M1184" s="2" t="inlineStr">
        <is>
          <t>No Delay</t>
        </is>
      </c>
      <c r="N1184" s="4">
        <f>IF(I1184&lt;=H1184,1,0)</f>
        <v/>
      </c>
      <c r="O1184" s="4">
        <f>IF(J1184&lt;=G1184,1,0)</f>
        <v/>
      </c>
      <c r="P1184" s="4">
        <f>MAX(0,I1184-H1184)</f>
        <v/>
      </c>
      <c r="Q1184" s="4">
        <f>MAX(0,J1184-G1184)</f>
        <v/>
      </c>
      <c r="R1184" s="4">
        <f>IF(AND(N1184=1,O1184=1),"On Track",IF(O1184=0,"Customer Delivery Late","Ship Late"))</f>
        <v/>
      </c>
    </row>
    <row r="1185">
      <c r="A1185" s="2" t="inlineStr">
        <is>
          <t>ORD-01184</t>
        </is>
      </c>
      <c r="B1185" s="2" t="inlineStr">
        <is>
          <t>Customer 30</t>
        </is>
      </c>
      <c r="C1185" s="2" t="inlineStr">
        <is>
          <t>Drive</t>
        </is>
      </c>
      <c r="D1185" s="2" t="inlineStr">
        <is>
          <t>Plant B</t>
        </is>
      </c>
      <c r="E1185" s="2" t="inlineStr">
        <is>
          <t>South</t>
        </is>
      </c>
      <c r="F1185" s="12" t="n">
        <v>46203</v>
      </c>
      <c r="G1185" s="12" t="n">
        <v>46212</v>
      </c>
      <c r="H1185" s="12" t="n">
        <v>46211</v>
      </c>
      <c r="I1185" s="12" t="n">
        <v>46210</v>
      </c>
      <c r="J1185" s="12" t="n">
        <v>46211</v>
      </c>
      <c r="K1185" s="2" t="n">
        <v>641</v>
      </c>
      <c r="L1185" s="2" t="inlineStr">
        <is>
          <t>Air</t>
        </is>
      </c>
      <c r="M1185" s="2" t="inlineStr">
        <is>
          <t>No Delay</t>
        </is>
      </c>
      <c r="N1185" s="4">
        <f>IF(I1185&lt;=H1185,1,0)</f>
        <v/>
      </c>
      <c r="O1185" s="4">
        <f>IF(J1185&lt;=G1185,1,0)</f>
        <v/>
      </c>
      <c r="P1185" s="4">
        <f>MAX(0,I1185-H1185)</f>
        <v/>
      </c>
      <c r="Q1185" s="4">
        <f>MAX(0,J1185-G1185)</f>
        <v/>
      </c>
      <c r="R1185" s="4">
        <f>IF(AND(N1185=1,O1185=1),"On Track",IF(O1185=0,"Customer Delivery Late","Ship Late"))</f>
        <v/>
      </c>
    </row>
    <row r="1186">
      <c r="A1186" s="2" t="inlineStr">
        <is>
          <t>ORD-01185</t>
        </is>
      </c>
      <c r="B1186" s="2" t="inlineStr">
        <is>
          <t>Customer 23</t>
        </is>
      </c>
      <c r="C1186" s="2" t="inlineStr">
        <is>
          <t>Switchgear</t>
        </is>
      </c>
      <c r="D1186" s="2" t="inlineStr">
        <is>
          <t>Plant B</t>
        </is>
      </c>
      <c r="E1186" s="2" t="inlineStr">
        <is>
          <t>North</t>
        </is>
      </c>
      <c r="F1186" s="12" t="n">
        <v>46153</v>
      </c>
      <c r="G1186" s="12" t="n">
        <v>46173</v>
      </c>
      <c r="H1186" s="12" t="n">
        <v>46169</v>
      </c>
      <c r="I1186" s="12" t="n">
        <v>46169</v>
      </c>
      <c r="J1186" s="12" t="n">
        <v>46173</v>
      </c>
      <c r="K1186" s="2" t="n">
        <v>525</v>
      </c>
      <c r="L1186" s="2" t="inlineStr">
        <is>
          <t>Sea</t>
        </is>
      </c>
      <c r="M1186" s="2" t="inlineStr">
        <is>
          <t>No Delay</t>
        </is>
      </c>
      <c r="N1186" s="4">
        <f>IF(I1186&lt;=H1186,1,0)</f>
        <v/>
      </c>
      <c r="O1186" s="4">
        <f>IF(J1186&lt;=G1186,1,0)</f>
        <v/>
      </c>
      <c r="P1186" s="4">
        <f>MAX(0,I1186-H1186)</f>
        <v/>
      </c>
      <c r="Q1186" s="4">
        <f>MAX(0,J1186-G1186)</f>
        <v/>
      </c>
      <c r="R1186" s="4">
        <f>IF(AND(N1186=1,O1186=1),"On Track",IF(O1186=0,"Customer Delivery Late","Ship Late"))</f>
        <v/>
      </c>
    </row>
    <row r="1187">
      <c r="A1187" s="2" t="inlineStr">
        <is>
          <t>ORD-01186</t>
        </is>
      </c>
      <c r="B1187" s="2" t="inlineStr">
        <is>
          <t>Customer 19</t>
        </is>
      </c>
      <c r="C1187" s="2" t="inlineStr">
        <is>
          <t>PLC</t>
        </is>
      </c>
      <c r="D1187" s="2" t="inlineStr">
        <is>
          <t>Plant B</t>
        </is>
      </c>
      <c r="E1187" s="2" t="inlineStr">
        <is>
          <t>South</t>
        </is>
      </c>
      <c r="F1187" s="12" t="n">
        <v>46091</v>
      </c>
      <c r="G1187" s="12" t="n">
        <v>46104</v>
      </c>
      <c r="H1187" s="12" t="n">
        <v>46101</v>
      </c>
      <c r="I1187" s="12" t="n">
        <v>46099</v>
      </c>
      <c r="J1187" s="12" t="n">
        <v>46102</v>
      </c>
      <c r="K1187" s="2" t="n">
        <v>402</v>
      </c>
      <c r="L1187" s="2" t="inlineStr">
        <is>
          <t>Air</t>
        </is>
      </c>
      <c r="M1187" s="2" t="inlineStr">
        <is>
          <t>No Delay</t>
        </is>
      </c>
      <c r="N1187" s="4">
        <f>IF(I1187&lt;=H1187,1,0)</f>
        <v/>
      </c>
      <c r="O1187" s="4">
        <f>IF(J1187&lt;=G1187,1,0)</f>
        <v/>
      </c>
      <c r="P1187" s="4">
        <f>MAX(0,I1187-H1187)</f>
        <v/>
      </c>
      <c r="Q1187" s="4">
        <f>MAX(0,J1187-G1187)</f>
        <v/>
      </c>
      <c r="R1187" s="4">
        <f>IF(AND(N1187=1,O1187=1),"On Track",IF(O1187=0,"Customer Delivery Late","Ship Late"))</f>
        <v/>
      </c>
    </row>
    <row r="1188">
      <c r="A1188" s="2" t="inlineStr">
        <is>
          <t>ORD-01187</t>
        </is>
      </c>
      <c r="B1188" s="2" t="inlineStr">
        <is>
          <t>Customer 05</t>
        </is>
      </c>
      <c r="C1188" s="2" t="inlineStr">
        <is>
          <t>Sensor</t>
        </is>
      </c>
      <c r="D1188" s="2" t="inlineStr">
        <is>
          <t>Plant A</t>
        </is>
      </c>
      <c r="E1188" s="2" t="inlineStr">
        <is>
          <t>South</t>
        </is>
      </c>
      <c r="F1188" s="12" t="n">
        <v>46155</v>
      </c>
      <c r="G1188" s="12" t="n">
        <v>46173</v>
      </c>
      <c r="H1188" s="12" t="n">
        <v>46170</v>
      </c>
      <c r="I1188" s="12" t="n">
        <v>46169</v>
      </c>
      <c r="J1188" s="12" t="n">
        <v>46173</v>
      </c>
      <c r="K1188" s="2" t="n">
        <v>1469</v>
      </c>
      <c r="L1188" s="2" t="inlineStr">
        <is>
          <t>Sea</t>
        </is>
      </c>
      <c r="M1188" s="2" t="inlineStr">
        <is>
          <t>No Delay</t>
        </is>
      </c>
      <c r="N1188" s="4">
        <f>IF(I1188&lt;=H1188,1,0)</f>
        <v/>
      </c>
      <c r="O1188" s="4">
        <f>IF(J1188&lt;=G1188,1,0)</f>
        <v/>
      </c>
      <c r="P1188" s="4">
        <f>MAX(0,I1188-H1188)</f>
        <v/>
      </c>
      <c r="Q1188" s="4">
        <f>MAX(0,J1188-G1188)</f>
        <v/>
      </c>
      <c r="R1188" s="4">
        <f>IF(AND(N1188=1,O1188=1),"On Track",IF(O1188=0,"Customer Delivery Late","Ship Late"))</f>
        <v/>
      </c>
    </row>
    <row r="1189">
      <c r="A1189" s="2" t="inlineStr">
        <is>
          <t>ORD-01188</t>
        </is>
      </c>
      <c r="B1189" s="2" t="inlineStr">
        <is>
          <t>Customer 29</t>
        </is>
      </c>
      <c r="C1189" s="2" t="inlineStr">
        <is>
          <t>Sensor</t>
        </is>
      </c>
      <c r="D1189" s="2" t="inlineStr">
        <is>
          <t>Plant C</t>
        </is>
      </c>
      <c r="E1189" s="2" t="inlineStr">
        <is>
          <t>Central</t>
        </is>
      </c>
      <c r="F1189" s="12" t="n">
        <v>46164</v>
      </c>
      <c r="G1189" s="12" t="n">
        <v>46179</v>
      </c>
      <c r="H1189" s="12" t="n">
        <v>46177</v>
      </c>
      <c r="I1189" s="12" t="n">
        <v>46177</v>
      </c>
      <c r="J1189" s="12" t="n">
        <v>46178</v>
      </c>
      <c r="K1189" s="2" t="n">
        <v>431</v>
      </c>
      <c r="L1189" s="2" t="inlineStr">
        <is>
          <t>Sea</t>
        </is>
      </c>
      <c r="M1189" s="2" t="inlineStr">
        <is>
          <t>No Delay</t>
        </is>
      </c>
      <c r="N1189" s="4">
        <f>IF(I1189&lt;=H1189,1,0)</f>
        <v/>
      </c>
      <c r="O1189" s="4">
        <f>IF(J1189&lt;=G1189,1,0)</f>
        <v/>
      </c>
      <c r="P1189" s="4">
        <f>MAX(0,I1189-H1189)</f>
        <v/>
      </c>
      <c r="Q1189" s="4">
        <f>MAX(0,J1189-G1189)</f>
        <v/>
      </c>
      <c r="R1189" s="4">
        <f>IF(AND(N1189=1,O1189=1),"On Track",IF(O1189=0,"Customer Delivery Late","Ship Late"))</f>
        <v/>
      </c>
    </row>
    <row r="1190">
      <c r="A1190" s="2" t="inlineStr">
        <is>
          <t>ORD-01189</t>
        </is>
      </c>
      <c r="B1190" s="2" t="inlineStr">
        <is>
          <t>Customer 23</t>
        </is>
      </c>
      <c r="C1190" s="2" t="inlineStr">
        <is>
          <t>Sensor</t>
        </is>
      </c>
      <c r="D1190" s="2" t="inlineStr">
        <is>
          <t>Plant C</t>
        </is>
      </c>
      <c r="E1190" s="2" t="inlineStr">
        <is>
          <t>Export</t>
        </is>
      </c>
      <c r="F1190" s="12" t="n">
        <v>46185</v>
      </c>
      <c r="G1190" s="12" t="n">
        <v>46200</v>
      </c>
      <c r="H1190" s="12" t="n">
        <v>46198</v>
      </c>
      <c r="I1190" s="12" t="n">
        <v>46197</v>
      </c>
      <c r="J1190" s="12" t="n">
        <v>46199</v>
      </c>
      <c r="K1190" s="2" t="n">
        <v>1110</v>
      </c>
      <c r="L1190" s="2" t="inlineStr">
        <is>
          <t>Air</t>
        </is>
      </c>
      <c r="M1190" s="2" t="inlineStr">
        <is>
          <t>No Delay</t>
        </is>
      </c>
      <c r="N1190" s="4">
        <f>IF(I1190&lt;=H1190,1,0)</f>
        <v/>
      </c>
      <c r="O1190" s="4">
        <f>IF(J1190&lt;=G1190,1,0)</f>
        <v/>
      </c>
      <c r="P1190" s="4">
        <f>MAX(0,I1190-H1190)</f>
        <v/>
      </c>
      <c r="Q1190" s="4">
        <f>MAX(0,J1190-G1190)</f>
        <v/>
      </c>
      <c r="R1190" s="4">
        <f>IF(AND(N1190=1,O1190=1),"On Track",IF(O1190=0,"Customer Delivery Late","Ship Late"))</f>
        <v/>
      </c>
    </row>
    <row r="1191">
      <c r="A1191" s="2" t="inlineStr">
        <is>
          <t>ORD-01190</t>
        </is>
      </c>
      <c r="B1191" s="2" t="inlineStr">
        <is>
          <t>Customer 01</t>
        </is>
      </c>
      <c r="C1191" s="2" t="inlineStr">
        <is>
          <t>Contactor</t>
        </is>
      </c>
      <c r="D1191" s="2" t="inlineStr">
        <is>
          <t>Plant A</t>
        </is>
      </c>
      <c r="E1191" s="2" t="inlineStr">
        <is>
          <t>South</t>
        </is>
      </c>
      <c r="F1191" s="12" t="n">
        <v>46060</v>
      </c>
      <c r="G1191" s="12" t="n">
        <v>46073</v>
      </c>
      <c r="H1191" s="12" t="n">
        <v>46068</v>
      </c>
      <c r="I1191" s="12" t="n">
        <v>46066</v>
      </c>
      <c r="J1191" s="12" t="n">
        <v>46072</v>
      </c>
      <c r="K1191" s="2" t="n">
        <v>1023</v>
      </c>
      <c r="L1191" s="2" t="inlineStr">
        <is>
          <t>Air</t>
        </is>
      </c>
      <c r="M1191" s="2" t="inlineStr">
        <is>
          <t>No Delay</t>
        </is>
      </c>
      <c r="N1191" s="4">
        <f>IF(I1191&lt;=H1191,1,0)</f>
        <v/>
      </c>
      <c r="O1191" s="4">
        <f>IF(J1191&lt;=G1191,1,0)</f>
        <v/>
      </c>
      <c r="P1191" s="4">
        <f>MAX(0,I1191-H1191)</f>
        <v/>
      </c>
      <c r="Q1191" s="4">
        <f>MAX(0,J1191-G1191)</f>
        <v/>
      </c>
      <c r="R1191" s="4">
        <f>IF(AND(N1191=1,O1191=1),"On Track",IF(O1191=0,"Customer Delivery Late","Ship Late"))</f>
        <v/>
      </c>
    </row>
    <row r="1192">
      <c r="A1192" s="2" t="inlineStr">
        <is>
          <t>ORD-01191</t>
        </is>
      </c>
      <c r="B1192" s="2" t="inlineStr">
        <is>
          <t>Customer 14</t>
        </is>
      </c>
      <c r="C1192" s="2" t="inlineStr">
        <is>
          <t>Switchgear</t>
        </is>
      </c>
      <c r="D1192" s="2" t="inlineStr">
        <is>
          <t>Plant C</t>
        </is>
      </c>
      <c r="E1192" s="2" t="inlineStr">
        <is>
          <t>North</t>
        </is>
      </c>
      <c r="F1192" s="12" t="n">
        <v>46163</v>
      </c>
      <c r="G1192" s="12" t="n">
        <v>46186</v>
      </c>
      <c r="H1192" s="12" t="n">
        <v>46183</v>
      </c>
      <c r="I1192" s="12" t="n">
        <v>46182</v>
      </c>
      <c r="J1192" s="12" t="n">
        <v>46185</v>
      </c>
      <c r="K1192" s="2" t="n">
        <v>985</v>
      </c>
      <c r="L1192" s="2" t="inlineStr">
        <is>
          <t>Air</t>
        </is>
      </c>
      <c r="M1192" s="2" t="inlineStr">
        <is>
          <t>No Delay</t>
        </is>
      </c>
      <c r="N1192" s="4">
        <f>IF(I1192&lt;=H1192,1,0)</f>
        <v/>
      </c>
      <c r="O1192" s="4">
        <f>IF(J1192&lt;=G1192,1,0)</f>
        <v/>
      </c>
      <c r="P1192" s="4">
        <f>MAX(0,I1192-H1192)</f>
        <v/>
      </c>
      <c r="Q1192" s="4">
        <f>MAX(0,J1192-G1192)</f>
        <v/>
      </c>
      <c r="R1192" s="4">
        <f>IF(AND(N1192=1,O1192=1),"On Track",IF(O1192=0,"Customer Delivery Late","Ship Late"))</f>
        <v/>
      </c>
    </row>
    <row r="1193">
      <c r="A1193" s="2" t="inlineStr">
        <is>
          <t>ORD-01192</t>
        </is>
      </c>
      <c r="B1193" s="2" t="inlineStr">
        <is>
          <t>Customer 03</t>
        </is>
      </c>
      <c r="C1193" s="2" t="inlineStr">
        <is>
          <t>Sensor</t>
        </is>
      </c>
      <c r="D1193" s="2" t="inlineStr">
        <is>
          <t>Plant A</t>
        </is>
      </c>
      <c r="E1193" s="2" t="inlineStr">
        <is>
          <t>South</t>
        </is>
      </c>
      <c r="F1193" s="12" t="n">
        <v>46122</v>
      </c>
      <c r="G1193" s="12" t="n">
        <v>46137</v>
      </c>
      <c r="H1193" s="12" t="n">
        <v>46136</v>
      </c>
      <c r="I1193" s="12" t="n">
        <v>46134</v>
      </c>
      <c r="J1193" s="12" t="n">
        <v>46135</v>
      </c>
      <c r="K1193" s="2" t="n">
        <v>270</v>
      </c>
      <c r="L1193" s="2" t="inlineStr">
        <is>
          <t>Road</t>
        </is>
      </c>
      <c r="M1193" s="2" t="inlineStr">
        <is>
          <t>No Delay</t>
        </is>
      </c>
      <c r="N1193" s="4">
        <f>IF(I1193&lt;=H1193,1,0)</f>
        <v/>
      </c>
      <c r="O1193" s="4">
        <f>IF(J1193&lt;=G1193,1,0)</f>
        <v/>
      </c>
      <c r="P1193" s="4">
        <f>MAX(0,I1193-H1193)</f>
        <v/>
      </c>
      <c r="Q1193" s="4">
        <f>MAX(0,J1193-G1193)</f>
        <v/>
      </c>
      <c r="R1193" s="4">
        <f>IF(AND(N1193=1,O1193=1),"On Track",IF(O1193=0,"Customer Delivery Late","Ship Late"))</f>
        <v/>
      </c>
    </row>
    <row r="1194">
      <c r="A1194" s="2" t="inlineStr">
        <is>
          <t>ORD-01193</t>
        </is>
      </c>
      <c r="B1194" s="2" t="inlineStr">
        <is>
          <t>Customer 20</t>
        </is>
      </c>
      <c r="C1194" s="2" t="inlineStr">
        <is>
          <t>Sensor</t>
        </is>
      </c>
      <c r="D1194" s="2" t="inlineStr">
        <is>
          <t>Plant B</t>
        </is>
      </c>
      <c r="E1194" s="2" t="inlineStr">
        <is>
          <t>Export</t>
        </is>
      </c>
      <c r="F1194" s="12" t="n">
        <v>46198</v>
      </c>
      <c r="G1194" s="12" t="n">
        <v>46216</v>
      </c>
      <c r="H1194" s="12" t="n">
        <v>46214</v>
      </c>
      <c r="I1194" s="12" t="n">
        <v>46214</v>
      </c>
      <c r="J1194" s="12" t="n">
        <v>46215</v>
      </c>
      <c r="K1194" s="2" t="n">
        <v>502</v>
      </c>
      <c r="L1194" s="2" t="inlineStr">
        <is>
          <t>Road</t>
        </is>
      </c>
      <c r="M1194" s="2" t="inlineStr">
        <is>
          <t>No Delay</t>
        </is>
      </c>
      <c r="N1194" s="4">
        <f>IF(I1194&lt;=H1194,1,0)</f>
        <v/>
      </c>
      <c r="O1194" s="4">
        <f>IF(J1194&lt;=G1194,1,0)</f>
        <v/>
      </c>
      <c r="P1194" s="4">
        <f>MAX(0,I1194-H1194)</f>
        <v/>
      </c>
      <c r="Q1194" s="4">
        <f>MAX(0,J1194-G1194)</f>
        <v/>
      </c>
      <c r="R1194" s="4">
        <f>IF(AND(N1194=1,O1194=1),"On Track",IF(O1194=0,"Customer Delivery Late","Ship Late"))</f>
        <v/>
      </c>
    </row>
    <row r="1195">
      <c r="A1195" s="2" t="inlineStr">
        <is>
          <t>ORD-01194</t>
        </is>
      </c>
      <c r="B1195" s="2" t="inlineStr">
        <is>
          <t>Customer 18</t>
        </is>
      </c>
      <c r="C1195" s="2" t="inlineStr">
        <is>
          <t>Drive</t>
        </is>
      </c>
      <c r="D1195" s="2" t="inlineStr">
        <is>
          <t>Plant A</t>
        </is>
      </c>
      <c r="E1195" s="2" t="inlineStr">
        <is>
          <t>Central</t>
        </is>
      </c>
      <c r="F1195" s="12" t="n">
        <v>46079</v>
      </c>
      <c r="G1195" s="12" t="n">
        <v>46103</v>
      </c>
      <c r="H1195" s="12" t="n">
        <v>46098</v>
      </c>
      <c r="I1195" s="12" t="n">
        <v>46097</v>
      </c>
      <c r="J1195" s="12" t="n">
        <v>46102</v>
      </c>
      <c r="K1195" s="2" t="n">
        <v>794</v>
      </c>
      <c r="L1195" s="2" t="inlineStr">
        <is>
          <t>Road</t>
        </is>
      </c>
      <c r="M1195" s="2" t="inlineStr">
        <is>
          <t>No Delay</t>
        </is>
      </c>
      <c r="N1195" s="4">
        <f>IF(I1195&lt;=H1195,1,0)</f>
        <v/>
      </c>
      <c r="O1195" s="4">
        <f>IF(J1195&lt;=G1195,1,0)</f>
        <v/>
      </c>
      <c r="P1195" s="4">
        <f>MAX(0,I1195-H1195)</f>
        <v/>
      </c>
      <c r="Q1195" s="4">
        <f>MAX(0,J1195-G1195)</f>
        <v/>
      </c>
      <c r="R1195" s="4">
        <f>IF(AND(N1195=1,O1195=1),"On Track",IF(O1195=0,"Customer Delivery Late","Ship Late"))</f>
        <v/>
      </c>
    </row>
    <row r="1196">
      <c r="A1196" s="2" t="inlineStr">
        <is>
          <t>ORD-01195</t>
        </is>
      </c>
      <c r="B1196" s="2" t="inlineStr">
        <is>
          <t>Customer 08</t>
        </is>
      </c>
      <c r="C1196" s="2" t="inlineStr">
        <is>
          <t>Power Supply</t>
        </is>
      </c>
      <c r="D1196" s="2" t="inlineStr">
        <is>
          <t>Plant A</t>
        </is>
      </c>
      <c r="E1196" s="2" t="inlineStr">
        <is>
          <t>Central</t>
        </is>
      </c>
      <c r="F1196" s="12" t="n">
        <v>46161</v>
      </c>
      <c r="G1196" s="12" t="n">
        <v>46185</v>
      </c>
      <c r="H1196" s="12" t="n">
        <v>46184</v>
      </c>
      <c r="I1196" s="12" t="n">
        <v>46182</v>
      </c>
      <c r="J1196" s="12" t="n">
        <v>46183</v>
      </c>
      <c r="K1196" s="2" t="n">
        <v>951</v>
      </c>
      <c r="L1196" s="2" t="inlineStr">
        <is>
          <t>Sea</t>
        </is>
      </c>
      <c r="M1196" s="2" t="inlineStr">
        <is>
          <t>No Delay</t>
        </is>
      </c>
      <c r="N1196" s="4">
        <f>IF(I1196&lt;=H1196,1,0)</f>
        <v/>
      </c>
      <c r="O1196" s="4">
        <f>IF(J1196&lt;=G1196,1,0)</f>
        <v/>
      </c>
      <c r="P1196" s="4">
        <f>MAX(0,I1196-H1196)</f>
        <v/>
      </c>
      <c r="Q1196" s="4">
        <f>MAX(0,J1196-G1196)</f>
        <v/>
      </c>
      <c r="R1196" s="4">
        <f>IF(AND(N1196=1,O1196=1),"On Track",IF(O1196=0,"Customer Delivery Late","Ship Late"))</f>
        <v/>
      </c>
    </row>
    <row r="1197">
      <c r="A1197" s="2" t="inlineStr">
        <is>
          <t>ORD-01196</t>
        </is>
      </c>
      <c r="B1197" s="2" t="inlineStr">
        <is>
          <t>Customer 28</t>
        </is>
      </c>
      <c r="C1197" s="2" t="inlineStr">
        <is>
          <t>Power Supply</t>
        </is>
      </c>
      <c r="D1197" s="2" t="inlineStr">
        <is>
          <t>Plant B</t>
        </is>
      </c>
      <c r="E1197" s="2" t="inlineStr">
        <is>
          <t>Central</t>
        </is>
      </c>
      <c r="F1197" s="12" t="n">
        <v>46065</v>
      </c>
      <c r="G1197" s="12" t="n">
        <v>46075</v>
      </c>
      <c r="H1197" s="12" t="n">
        <v>46073</v>
      </c>
      <c r="I1197" s="12" t="n">
        <v>46071</v>
      </c>
      <c r="J1197" s="12" t="n">
        <v>46073</v>
      </c>
      <c r="K1197" s="2" t="n">
        <v>485</v>
      </c>
      <c r="L1197" s="2" t="inlineStr">
        <is>
          <t>Road</t>
        </is>
      </c>
      <c r="M1197" s="2" t="inlineStr">
        <is>
          <t>No Delay</t>
        </is>
      </c>
      <c r="N1197" s="4">
        <f>IF(I1197&lt;=H1197,1,0)</f>
        <v/>
      </c>
      <c r="O1197" s="4">
        <f>IF(J1197&lt;=G1197,1,0)</f>
        <v/>
      </c>
      <c r="P1197" s="4">
        <f>MAX(0,I1197-H1197)</f>
        <v/>
      </c>
      <c r="Q1197" s="4">
        <f>MAX(0,J1197-G1197)</f>
        <v/>
      </c>
      <c r="R1197" s="4">
        <f>IF(AND(N1197=1,O1197=1),"On Track",IF(O1197=0,"Customer Delivery Late","Ship Late"))</f>
        <v/>
      </c>
    </row>
    <row r="1198">
      <c r="A1198" s="2" t="inlineStr">
        <is>
          <t>ORD-01197</t>
        </is>
      </c>
      <c r="B1198" s="2" t="inlineStr">
        <is>
          <t>Customer 18</t>
        </is>
      </c>
      <c r="C1198" s="2" t="inlineStr">
        <is>
          <t>Sensor</t>
        </is>
      </c>
      <c r="D1198" s="2" t="inlineStr">
        <is>
          <t>Plant A</t>
        </is>
      </c>
      <c r="E1198" s="2" t="inlineStr">
        <is>
          <t>Export</t>
        </is>
      </c>
      <c r="F1198" s="12" t="n">
        <v>46043</v>
      </c>
      <c r="G1198" s="12" t="n">
        <v>46061</v>
      </c>
      <c r="H1198" s="12" t="n">
        <v>46057</v>
      </c>
      <c r="I1198" s="12" t="n">
        <v>46057</v>
      </c>
      <c r="J1198" s="12" t="n">
        <v>46062</v>
      </c>
      <c r="K1198" s="2" t="n">
        <v>904</v>
      </c>
      <c r="L1198" s="2" t="inlineStr">
        <is>
          <t>Sea</t>
        </is>
      </c>
      <c r="M1198" s="2" t="inlineStr">
        <is>
          <t>Material Shortage</t>
        </is>
      </c>
      <c r="N1198" s="4">
        <f>IF(I1198&lt;=H1198,1,0)</f>
        <v/>
      </c>
      <c r="O1198" s="4">
        <f>IF(J1198&lt;=G1198,1,0)</f>
        <v/>
      </c>
      <c r="P1198" s="4">
        <f>MAX(0,I1198-H1198)</f>
        <v/>
      </c>
      <c r="Q1198" s="4">
        <f>MAX(0,J1198-G1198)</f>
        <v/>
      </c>
      <c r="R1198" s="4">
        <f>IF(AND(N1198=1,O1198=1),"On Track",IF(O1198=0,"Customer Delivery Late","Ship Late"))</f>
        <v/>
      </c>
    </row>
    <row r="1199">
      <c r="A1199" s="2" t="inlineStr">
        <is>
          <t>ORD-01198</t>
        </is>
      </c>
      <c r="B1199" s="2" t="inlineStr">
        <is>
          <t>Customer 12</t>
        </is>
      </c>
      <c r="C1199" s="2" t="inlineStr">
        <is>
          <t>Relay</t>
        </is>
      </c>
      <c r="D1199" s="2" t="inlineStr">
        <is>
          <t>Plant C</t>
        </is>
      </c>
      <c r="E1199" s="2" t="inlineStr">
        <is>
          <t>North</t>
        </is>
      </c>
      <c r="F1199" s="12" t="n">
        <v>46110</v>
      </c>
      <c r="G1199" s="12" t="n">
        <v>46125</v>
      </c>
      <c r="H1199" s="12" t="n">
        <v>46124</v>
      </c>
      <c r="I1199" s="12" t="n">
        <v>46124</v>
      </c>
      <c r="J1199" s="12" t="n">
        <v>46125</v>
      </c>
      <c r="K1199" s="2" t="n">
        <v>1240</v>
      </c>
      <c r="L1199" s="2" t="inlineStr">
        <is>
          <t>Sea</t>
        </is>
      </c>
      <c r="M1199" s="2" t="inlineStr">
        <is>
          <t>No Delay</t>
        </is>
      </c>
      <c r="N1199" s="4">
        <f>IF(I1199&lt;=H1199,1,0)</f>
        <v/>
      </c>
      <c r="O1199" s="4">
        <f>IF(J1199&lt;=G1199,1,0)</f>
        <v/>
      </c>
      <c r="P1199" s="4">
        <f>MAX(0,I1199-H1199)</f>
        <v/>
      </c>
      <c r="Q1199" s="4">
        <f>MAX(0,J1199-G1199)</f>
        <v/>
      </c>
      <c r="R1199" s="4">
        <f>IF(AND(N1199=1,O1199=1),"On Track",IF(O1199=0,"Customer Delivery Late","Ship Late"))</f>
        <v/>
      </c>
    </row>
    <row r="1200">
      <c r="A1200" s="2" t="inlineStr">
        <is>
          <t>ORD-01199</t>
        </is>
      </c>
      <c r="B1200" s="2" t="inlineStr">
        <is>
          <t>Customer 09</t>
        </is>
      </c>
      <c r="C1200" s="2" t="inlineStr">
        <is>
          <t>PLC</t>
        </is>
      </c>
      <c r="D1200" s="2" t="inlineStr">
        <is>
          <t>Plant C</t>
        </is>
      </c>
      <c r="E1200" s="2" t="inlineStr">
        <is>
          <t>South</t>
        </is>
      </c>
      <c r="F1200" s="12" t="n">
        <v>46197</v>
      </c>
      <c r="G1200" s="12" t="n">
        <v>46214</v>
      </c>
      <c r="H1200" s="12" t="n">
        <v>46212</v>
      </c>
      <c r="I1200" s="12" t="n">
        <v>46210</v>
      </c>
      <c r="J1200" s="12" t="n">
        <v>46212</v>
      </c>
      <c r="K1200" s="2" t="n">
        <v>482</v>
      </c>
      <c r="L1200" s="2" t="inlineStr">
        <is>
          <t>Air</t>
        </is>
      </c>
      <c r="M1200" s="2" t="inlineStr">
        <is>
          <t>No Delay</t>
        </is>
      </c>
      <c r="N1200" s="4">
        <f>IF(I1200&lt;=H1200,1,0)</f>
        <v/>
      </c>
      <c r="O1200" s="4">
        <f>IF(J1200&lt;=G1200,1,0)</f>
        <v/>
      </c>
      <c r="P1200" s="4">
        <f>MAX(0,I1200-H1200)</f>
        <v/>
      </c>
      <c r="Q1200" s="4">
        <f>MAX(0,J1200-G1200)</f>
        <v/>
      </c>
      <c r="R1200" s="4">
        <f>IF(AND(N1200=1,O1200=1),"On Track",IF(O1200=0,"Customer Delivery Late","Ship Late"))</f>
        <v/>
      </c>
    </row>
    <row r="1201">
      <c r="A1201" s="2" t="inlineStr">
        <is>
          <t>ORD-01200</t>
        </is>
      </c>
      <c r="B1201" s="2" t="inlineStr">
        <is>
          <t>Customer 26</t>
        </is>
      </c>
      <c r="C1201" s="2" t="inlineStr">
        <is>
          <t>Breaker</t>
        </is>
      </c>
      <c r="D1201" s="2" t="inlineStr">
        <is>
          <t>Plant B</t>
        </is>
      </c>
      <c r="E1201" s="2" t="inlineStr">
        <is>
          <t>South</t>
        </is>
      </c>
      <c r="F1201" s="12" t="n">
        <v>46176</v>
      </c>
      <c r="G1201" s="12" t="n">
        <v>46196</v>
      </c>
      <c r="H1201" s="12" t="n">
        <v>46195</v>
      </c>
      <c r="I1201" s="12" t="n">
        <v>46195</v>
      </c>
      <c r="J1201" s="12" t="n">
        <v>46196</v>
      </c>
      <c r="K1201" s="2" t="n">
        <v>746</v>
      </c>
      <c r="L1201" s="2" t="inlineStr">
        <is>
          <t>Air</t>
        </is>
      </c>
      <c r="M1201" s="2" t="inlineStr">
        <is>
          <t>No Delay</t>
        </is>
      </c>
      <c r="N1201" s="4">
        <f>IF(I1201&lt;=H1201,1,0)</f>
        <v/>
      </c>
      <c r="O1201" s="4">
        <f>IF(J1201&lt;=G1201,1,0)</f>
        <v/>
      </c>
      <c r="P1201" s="4">
        <f>MAX(0,I1201-H1201)</f>
        <v/>
      </c>
      <c r="Q1201" s="4">
        <f>MAX(0,J1201-G1201)</f>
        <v/>
      </c>
      <c r="R1201" s="4">
        <f>IF(AND(N1201=1,O1201=1),"On Track",IF(O1201=0,"Customer Delivery Late","Ship Late"))</f>
        <v/>
      </c>
    </row>
    <row r="1202">
      <c r="A1202" s="2" t="inlineStr">
        <is>
          <t>ORD-01201</t>
        </is>
      </c>
      <c r="B1202" s="2" t="inlineStr">
        <is>
          <t>Customer 08</t>
        </is>
      </c>
      <c r="C1202" s="2" t="inlineStr">
        <is>
          <t>Sensor</t>
        </is>
      </c>
      <c r="D1202" s="2" t="inlineStr">
        <is>
          <t>Plant B</t>
        </is>
      </c>
      <c r="E1202" s="2" t="inlineStr">
        <is>
          <t>South</t>
        </is>
      </c>
      <c r="F1202" s="12" t="n">
        <v>46028</v>
      </c>
      <c r="G1202" s="12" t="n">
        <v>46048</v>
      </c>
      <c r="H1202" s="12" t="n">
        <v>46044</v>
      </c>
      <c r="I1202" s="12" t="n">
        <v>46043</v>
      </c>
      <c r="J1202" s="12" t="n">
        <v>46047</v>
      </c>
      <c r="K1202" s="2" t="n">
        <v>990</v>
      </c>
      <c r="L1202" s="2" t="inlineStr">
        <is>
          <t>Road</t>
        </is>
      </c>
      <c r="M1202" s="2" t="inlineStr">
        <is>
          <t>No Delay</t>
        </is>
      </c>
      <c r="N1202" s="4">
        <f>IF(I1202&lt;=H1202,1,0)</f>
        <v/>
      </c>
      <c r="O1202" s="4">
        <f>IF(J1202&lt;=G1202,1,0)</f>
        <v/>
      </c>
      <c r="P1202" s="4">
        <f>MAX(0,I1202-H1202)</f>
        <v/>
      </c>
      <c r="Q1202" s="4">
        <f>MAX(0,J1202-G1202)</f>
        <v/>
      </c>
      <c r="R1202" s="4">
        <f>IF(AND(N1202=1,O1202=1),"On Track",IF(O1202=0,"Customer Delivery Late","Ship Late"))</f>
        <v/>
      </c>
    </row>
    <row r="1203">
      <c r="A1203" s="2" t="inlineStr">
        <is>
          <t>ORD-01202</t>
        </is>
      </c>
      <c r="B1203" s="2" t="inlineStr">
        <is>
          <t>Customer 12</t>
        </is>
      </c>
      <c r="C1203" s="2" t="inlineStr">
        <is>
          <t>Breaker</t>
        </is>
      </c>
      <c r="D1203" s="2" t="inlineStr">
        <is>
          <t>Plant A</t>
        </is>
      </c>
      <c r="E1203" s="2" t="inlineStr">
        <is>
          <t>North</t>
        </is>
      </c>
      <c r="F1203" s="12" t="n">
        <v>46066</v>
      </c>
      <c r="G1203" s="12" t="n">
        <v>46078</v>
      </c>
      <c r="H1203" s="12" t="n">
        <v>46073</v>
      </c>
      <c r="I1203" s="12" t="n">
        <v>46073</v>
      </c>
      <c r="J1203" s="12" t="n">
        <v>46077</v>
      </c>
      <c r="K1203" s="2" t="n">
        <v>1458</v>
      </c>
      <c r="L1203" s="2" t="inlineStr">
        <is>
          <t>Road</t>
        </is>
      </c>
      <c r="M1203" s="2" t="inlineStr">
        <is>
          <t>No Delay</t>
        </is>
      </c>
      <c r="N1203" s="4">
        <f>IF(I1203&lt;=H1203,1,0)</f>
        <v/>
      </c>
      <c r="O1203" s="4">
        <f>IF(J1203&lt;=G1203,1,0)</f>
        <v/>
      </c>
      <c r="P1203" s="4">
        <f>MAX(0,I1203-H1203)</f>
        <v/>
      </c>
      <c r="Q1203" s="4">
        <f>MAX(0,J1203-G1203)</f>
        <v/>
      </c>
      <c r="R1203" s="4">
        <f>IF(AND(N1203=1,O1203=1),"On Track",IF(O1203=0,"Customer Delivery Late","Ship Late"))</f>
        <v/>
      </c>
    </row>
    <row r="1204">
      <c r="A1204" s="2" t="inlineStr">
        <is>
          <t>ORD-01203</t>
        </is>
      </c>
      <c r="B1204" s="2" t="inlineStr">
        <is>
          <t>Customer 05</t>
        </is>
      </c>
      <c r="C1204" s="2" t="inlineStr">
        <is>
          <t>Power Supply</t>
        </is>
      </c>
      <c r="D1204" s="2" t="inlineStr">
        <is>
          <t>Plant B</t>
        </is>
      </c>
      <c r="E1204" s="2" t="inlineStr">
        <is>
          <t>Central</t>
        </is>
      </c>
      <c r="F1204" s="12" t="n">
        <v>46046</v>
      </c>
      <c r="G1204" s="12" t="n">
        <v>46070</v>
      </c>
      <c r="H1204" s="12" t="n">
        <v>46065</v>
      </c>
      <c r="I1204" s="12" t="n">
        <v>46063</v>
      </c>
      <c r="J1204" s="12" t="n">
        <v>46068</v>
      </c>
      <c r="K1204" s="2" t="n">
        <v>479</v>
      </c>
      <c r="L1204" s="2" t="inlineStr">
        <is>
          <t>Air</t>
        </is>
      </c>
      <c r="M1204" s="2" t="inlineStr">
        <is>
          <t>No Delay</t>
        </is>
      </c>
      <c r="N1204" s="4">
        <f>IF(I1204&lt;=H1204,1,0)</f>
        <v/>
      </c>
      <c r="O1204" s="4">
        <f>IF(J1204&lt;=G1204,1,0)</f>
        <v/>
      </c>
      <c r="P1204" s="4">
        <f>MAX(0,I1204-H1204)</f>
        <v/>
      </c>
      <c r="Q1204" s="4">
        <f>MAX(0,J1204-G1204)</f>
        <v/>
      </c>
      <c r="R1204" s="4">
        <f>IF(AND(N1204=1,O1204=1),"On Track",IF(O1204=0,"Customer Delivery Late","Ship Late"))</f>
        <v/>
      </c>
    </row>
    <row r="1205">
      <c r="A1205" s="2" t="inlineStr">
        <is>
          <t>ORD-01204</t>
        </is>
      </c>
      <c r="B1205" s="2" t="inlineStr">
        <is>
          <t>Customer 26</t>
        </is>
      </c>
      <c r="C1205" s="2" t="inlineStr">
        <is>
          <t>Relay</t>
        </is>
      </c>
      <c r="D1205" s="2" t="inlineStr">
        <is>
          <t>Plant B</t>
        </is>
      </c>
      <c r="E1205" s="2" t="inlineStr">
        <is>
          <t>Export</t>
        </is>
      </c>
      <c r="F1205" s="12" t="n">
        <v>46102</v>
      </c>
      <c r="G1205" s="12" t="n">
        <v>46112</v>
      </c>
      <c r="H1205" s="12" t="n">
        <v>46107</v>
      </c>
      <c r="I1205" s="12" t="n">
        <v>46105</v>
      </c>
      <c r="J1205" s="12" t="n">
        <v>46111</v>
      </c>
      <c r="K1205" s="2" t="n">
        <v>876</v>
      </c>
      <c r="L1205" s="2" t="inlineStr">
        <is>
          <t>Road</t>
        </is>
      </c>
      <c r="M1205" s="2" t="inlineStr">
        <is>
          <t>No Delay</t>
        </is>
      </c>
      <c r="N1205" s="4">
        <f>IF(I1205&lt;=H1205,1,0)</f>
        <v/>
      </c>
      <c r="O1205" s="4">
        <f>IF(J1205&lt;=G1205,1,0)</f>
        <v/>
      </c>
      <c r="P1205" s="4">
        <f>MAX(0,I1205-H1205)</f>
        <v/>
      </c>
      <c r="Q1205" s="4">
        <f>MAX(0,J1205-G1205)</f>
        <v/>
      </c>
      <c r="R1205" s="4">
        <f>IF(AND(N1205=1,O1205=1),"On Track",IF(O1205=0,"Customer Delivery Late","Ship Late"))</f>
        <v/>
      </c>
    </row>
    <row r="1206">
      <c r="A1206" s="2" t="inlineStr">
        <is>
          <t>ORD-01205</t>
        </is>
      </c>
      <c r="B1206" s="2" t="inlineStr">
        <is>
          <t>Customer 26</t>
        </is>
      </c>
      <c r="C1206" s="2" t="inlineStr">
        <is>
          <t>Relay</t>
        </is>
      </c>
      <c r="D1206" s="2" t="inlineStr">
        <is>
          <t>Plant C</t>
        </is>
      </c>
      <c r="E1206" s="2" t="inlineStr">
        <is>
          <t>North</t>
        </is>
      </c>
      <c r="F1206" s="12" t="n">
        <v>46083</v>
      </c>
      <c r="G1206" s="12" t="n">
        <v>46088</v>
      </c>
      <c r="H1206" s="12" t="n">
        <v>46086</v>
      </c>
      <c r="I1206" s="12" t="n">
        <v>46084</v>
      </c>
      <c r="J1206" s="12" t="n">
        <v>46085</v>
      </c>
      <c r="K1206" s="2" t="n">
        <v>957</v>
      </c>
      <c r="L1206" s="2" t="inlineStr">
        <is>
          <t>Sea</t>
        </is>
      </c>
      <c r="M1206" s="2" t="inlineStr">
        <is>
          <t>No Delay</t>
        </is>
      </c>
      <c r="N1206" s="4">
        <f>IF(I1206&lt;=H1206,1,0)</f>
        <v/>
      </c>
      <c r="O1206" s="4">
        <f>IF(J1206&lt;=G1206,1,0)</f>
        <v/>
      </c>
      <c r="P1206" s="4">
        <f>MAX(0,I1206-H1206)</f>
        <v/>
      </c>
      <c r="Q1206" s="4">
        <f>MAX(0,J1206-G1206)</f>
        <v/>
      </c>
      <c r="R1206" s="4">
        <f>IF(AND(N1206=1,O1206=1),"On Track",IF(O1206=0,"Customer Delivery Late","Ship Late"))</f>
        <v/>
      </c>
    </row>
    <row r="1207">
      <c r="A1207" s="2" t="inlineStr">
        <is>
          <t>ORD-01206</t>
        </is>
      </c>
      <c r="B1207" s="2" t="inlineStr">
        <is>
          <t>Customer 06</t>
        </is>
      </c>
      <c r="C1207" s="2" t="inlineStr">
        <is>
          <t>Sensor</t>
        </is>
      </c>
      <c r="D1207" s="2" t="inlineStr">
        <is>
          <t>Plant C</t>
        </is>
      </c>
      <c r="E1207" s="2" t="inlineStr">
        <is>
          <t>North</t>
        </is>
      </c>
      <c r="F1207" s="12" t="n">
        <v>46117</v>
      </c>
      <c r="G1207" s="12" t="n">
        <v>46127</v>
      </c>
      <c r="H1207" s="12" t="n">
        <v>46125</v>
      </c>
      <c r="I1207" s="12" t="n">
        <v>46123</v>
      </c>
      <c r="J1207" s="12" t="n">
        <v>46124</v>
      </c>
      <c r="K1207" s="2" t="n">
        <v>1035</v>
      </c>
      <c r="L1207" s="2" t="inlineStr">
        <is>
          <t>Sea</t>
        </is>
      </c>
      <c r="M1207" s="2" t="inlineStr">
        <is>
          <t>No Delay</t>
        </is>
      </c>
      <c r="N1207" s="4">
        <f>IF(I1207&lt;=H1207,1,0)</f>
        <v/>
      </c>
      <c r="O1207" s="4">
        <f>IF(J1207&lt;=G1207,1,0)</f>
        <v/>
      </c>
      <c r="P1207" s="4">
        <f>MAX(0,I1207-H1207)</f>
        <v/>
      </c>
      <c r="Q1207" s="4">
        <f>MAX(0,J1207-G1207)</f>
        <v/>
      </c>
      <c r="R1207" s="4">
        <f>IF(AND(N1207=1,O1207=1),"On Track",IF(O1207=0,"Customer Delivery Late","Ship Late"))</f>
        <v/>
      </c>
    </row>
    <row r="1208">
      <c r="A1208" s="2" t="inlineStr">
        <is>
          <t>ORD-01207</t>
        </is>
      </c>
      <c r="B1208" s="2" t="inlineStr">
        <is>
          <t>Customer 20</t>
        </is>
      </c>
      <c r="C1208" s="2" t="inlineStr">
        <is>
          <t>Drive</t>
        </is>
      </c>
      <c r="D1208" s="2" t="inlineStr">
        <is>
          <t>Plant C</t>
        </is>
      </c>
      <c r="E1208" s="2" t="inlineStr">
        <is>
          <t>South</t>
        </is>
      </c>
      <c r="F1208" s="12" t="n">
        <v>46037</v>
      </c>
      <c r="G1208" s="12" t="n">
        <v>46054</v>
      </c>
      <c r="H1208" s="12" t="n">
        <v>46052</v>
      </c>
      <c r="I1208" s="12" t="n">
        <v>46051</v>
      </c>
      <c r="J1208" s="12" t="n">
        <v>46053</v>
      </c>
      <c r="K1208" s="2" t="n">
        <v>957</v>
      </c>
      <c r="L1208" s="2" t="inlineStr">
        <is>
          <t>Road</t>
        </is>
      </c>
      <c r="M1208" s="2" t="inlineStr">
        <is>
          <t>No Delay</t>
        </is>
      </c>
      <c r="N1208" s="4">
        <f>IF(I1208&lt;=H1208,1,0)</f>
        <v/>
      </c>
      <c r="O1208" s="4">
        <f>IF(J1208&lt;=G1208,1,0)</f>
        <v/>
      </c>
      <c r="P1208" s="4">
        <f>MAX(0,I1208-H1208)</f>
        <v/>
      </c>
      <c r="Q1208" s="4">
        <f>MAX(0,J1208-G1208)</f>
        <v/>
      </c>
      <c r="R1208" s="4">
        <f>IF(AND(N1208=1,O1208=1),"On Track",IF(O1208=0,"Customer Delivery Late","Ship Late"))</f>
        <v/>
      </c>
    </row>
    <row r="1209">
      <c r="A1209" s="2" t="inlineStr">
        <is>
          <t>ORD-01208</t>
        </is>
      </c>
      <c r="B1209" s="2" t="inlineStr">
        <is>
          <t>Customer 05</t>
        </is>
      </c>
      <c r="C1209" s="2" t="inlineStr">
        <is>
          <t>Breaker</t>
        </is>
      </c>
      <c r="D1209" s="2" t="inlineStr">
        <is>
          <t>Plant B</t>
        </is>
      </c>
      <c r="E1209" s="2" t="inlineStr">
        <is>
          <t>Export</t>
        </is>
      </c>
      <c r="F1209" s="12" t="n">
        <v>46139</v>
      </c>
      <c r="G1209" s="12" t="n">
        <v>46149</v>
      </c>
      <c r="H1209" s="12" t="n">
        <v>46148</v>
      </c>
      <c r="I1209" s="12" t="n">
        <v>46146</v>
      </c>
      <c r="J1209" s="12" t="n">
        <v>46147</v>
      </c>
      <c r="K1209" s="2" t="n">
        <v>1093</v>
      </c>
      <c r="L1209" s="2" t="inlineStr">
        <is>
          <t>Air</t>
        </is>
      </c>
      <c r="M1209" s="2" t="inlineStr">
        <is>
          <t>No Delay</t>
        </is>
      </c>
      <c r="N1209" s="4">
        <f>IF(I1209&lt;=H1209,1,0)</f>
        <v/>
      </c>
      <c r="O1209" s="4">
        <f>IF(J1209&lt;=G1209,1,0)</f>
        <v/>
      </c>
      <c r="P1209" s="4">
        <f>MAX(0,I1209-H1209)</f>
        <v/>
      </c>
      <c r="Q1209" s="4">
        <f>MAX(0,J1209-G1209)</f>
        <v/>
      </c>
      <c r="R1209" s="4">
        <f>IF(AND(N1209=1,O1209=1),"On Track",IF(O1209=0,"Customer Delivery Late","Ship Late"))</f>
        <v/>
      </c>
    </row>
    <row r="1210">
      <c r="A1210" s="2" t="inlineStr">
        <is>
          <t>ORD-01209</t>
        </is>
      </c>
      <c r="B1210" s="2" t="inlineStr">
        <is>
          <t>Customer 20</t>
        </is>
      </c>
      <c r="C1210" s="2" t="inlineStr">
        <is>
          <t>Power Supply</t>
        </is>
      </c>
      <c r="D1210" s="2" t="inlineStr">
        <is>
          <t>Plant B</t>
        </is>
      </c>
      <c r="E1210" s="2" t="inlineStr">
        <is>
          <t>Export</t>
        </is>
      </c>
      <c r="F1210" s="12" t="n">
        <v>46196</v>
      </c>
      <c r="G1210" s="12" t="n">
        <v>46213</v>
      </c>
      <c r="H1210" s="12" t="n">
        <v>46208</v>
      </c>
      <c r="I1210" s="12" t="n">
        <v>46207</v>
      </c>
      <c r="J1210" s="12" t="n">
        <v>46213</v>
      </c>
      <c r="K1210" s="2" t="n">
        <v>351</v>
      </c>
      <c r="L1210" s="2" t="inlineStr">
        <is>
          <t>Sea</t>
        </is>
      </c>
      <c r="M1210" s="2" t="inlineStr">
        <is>
          <t>No Delay</t>
        </is>
      </c>
      <c r="N1210" s="4">
        <f>IF(I1210&lt;=H1210,1,0)</f>
        <v/>
      </c>
      <c r="O1210" s="4">
        <f>IF(J1210&lt;=G1210,1,0)</f>
        <v/>
      </c>
      <c r="P1210" s="4">
        <f>MAX(0,I1210-H1210)</f>
        <v/>
      </c>
      <c r="Q1210" s="4">
        <f>MAX(0,J1210-G1210)</f>
        <v/>
      </c>
      <c r="R1210" s="4">
        <f>IF(AND(N1210=1,O1210=1),"On Track",IF(O1210=0,"Customer Delivery Late","Ship Late"))</f>
        <v/>
      </c>
    </row>
    <row r="1211">
      <c r="A1211" s="2" t="inlineStr">
        <is>
          <t>ORD-01210</t>
        </is>
      </c>
      <c r="B1211" s="2" t="inlineStr">
        <is>
          <t>Customer 29</t>
        </is>
      </c>
      <c r="C1211" s="2" t="inlineStr">
        <is>
          <t>Power Supply</t>
        </is>
      </c>
      <c r="D1211" s="2" t="inlineStr">
        <is>
          <t>Plant B</t>
        </is>
      </c>
      <c r="E1211" s="2" t="inlineStr">
        <is>
          <t>Export</t>
        </is>
      </c>
      <c r="F1211" s="12" t="n">
        <v>46150</v>
      </c>
      <c r="G1211" s="12" t="n">
        <v>46159</v>
      </c>
      <c r="H1211" s="12" t="n">
        <v>46158</v>
      </c>
      <c r="I1211" s="12" t="n">
        <v>46158</v>
      </c>
      <c r="J1211" s="12" t="n">
        <v>46159</v>
      </c>
      <c r="K1211" s="2" t="n">
        <v>623</v>
      </c>
      <c r="L1211" s="2" t="inlineStr">
        <is>
          <t>Air</t>
        </is>
      </c>
      <c r="M1211" s="2" t="inlineStr">
        <is>
          <t>No Delay</t>
        </is>
      </c>
      <c r="N1211" s="4">
        <f>IF(I1211&lt;=H1211,1,0)</f>
        <v/>
      </c>
      <c r="O1211" s="4">
        <f>IF(J1211&lt;=G1211,1,0)</f>
        <v/>
      </c>
      <c r="P1211" s="4">
        <f>MAX(0,I1211-H1211)</f>
        <v/>
      </c>
      <c r="Q1211" s="4">
        <f>MAX(0,J1211-G1211)</f>
        <v/>
      </c>
      <c r="R1211" s="4">
        <f>IF(AND(N1211=1,O1211=1),"On Track",IF(O1211=0,"Customer Delivery Late","Ship Late"))</f>
        <v/>
      </c>
    </row>
    <row r="1212">
      <c r="A1212" s="2" t="inlineStr">
        <is>
          <t>ORD-01211</t>
        </is>
      </c>
      <c r="B1212" s="2" t="inlineStr">
        <is>
          <t>Customer 25</t>
        </is>
      </c>
      <c r="C1212" s="2" t="inlineStr">
        <is>
          <t>Relay</t>
        </is>
      </c>
      <c r="D1212" s="2" t="inlineStr">
        <is>
          <t>Plant B</t>
        </is>
      </c>
      <c r="E1212" s="2" t="inlineStr">
        <is>
          <t>Central</t>
        </is>
      </c>
      <c r="F1212" s="12" t="n">
        <v>46029</v>
      </c>
      <c r="G1212" s="12" t="n">
        <v>46044</v>
      </c>
      <c r="H1212" s="12" t="n">
        <v>46040</v>
      </c>
      <c r="I1212" s="12" t="n">
        <v>46038</v>
      </c>
      <c r="J1212" s="12" t="n">
        <v>46042</v>
      </c>
      <c r="K1212" s="2" t="n">
        <v>1339</v>
      </c>
      <c r="L1212" s="2" t="inlineStr">
        <is>
          <t>Air</t>
        </is>
      </c>
      <c r="M1212" s="2" t="inlineStr">
        <is>
          <t>No Delay</t>
        </is>
      </c>
      <c r="N1212" s="4">
        <f>IF(I1212&lt;=H1212,1,0)</f>
        <v/>
      </c>
      <c r="O1212" s="4">
        <f>IF(J1212&lt;=G1212,1,0)</f>
        <v/>
      </c>
      <c r="P1212" s="4">
        <f>MAX(0,I1212-H1212)</f>
        <v/>
      </c>
      <c r="Q1212" s="4">
        <f>MAX(0,J1212-G1212)</f>
        <v/>
      </c>
      <c r="R1212" s="4">
        <f>IF(AND(N1212=1,O1212=1),"On Track",IF(O1212=0,"Customer Delivery Late","Ship Late"))</f>
        <v/>
      </c>
    </row>
    <row r="1213">
      <c r="A1213" s="2" t="inlineStr">
        <is>
          <t>ORD-01212</t>
        </is>
      </c>
      <c r="B1213" s="2" t="inlineStr">
        <is>
          <t>Customer 15</t>
        </is>
      </c>
      <c r="C1213" s="2" t="inlineStr">
        <is>
          <t>Switchgear</t>
        </is>
      </c>
      <c r="D1213" s="2" t="inlineStr">
        <is>
          <t>Plant B</t>
        </is>
      </c>
      <c r="E1213" s="2" t="inlineStr">
        <is>
          <t>Central</t>
        </is>
      </c>
      <c r="F1213" s="12" t="n">
        <v>46124</v>
      </c>
      <c r="G1213" s="12" t="n">
        <v>46136</v>
      </c>
      <c r="H1213" s="12" t="n">
        <v>46134</v>
      </c>
      <c r="I1213" s="12" t="n">
        <v>46132</v>
      </c>
      <c r="J1213" s="12" t="n">
        <v>46134</v>
      </c>
      <c r="K1213" s="2" t="n">
        <v>958</v>
      </c>
      <c r="L1213" s="2" t="inlineStr">
        <is>
          <t>Road</t>
        </is>
      </c>
      <c r="M1213" s="2" t="inlineStr">
        <is>
          <t>No Delay</t>
        </is>
      </c>
      <c r="N1213" s="4">
        <f>IF(I1213&lt;=H1213,1,0)</f>
        <v/>
      </c>
      <c r="O1213" s="4">
        <f>IF(J1213&lt;=G1213,1,0)</f>
        <v/>
      </c>
      <c r="P1213" s="4">
        <f>MAX(0,I1213-H1213)</f>
        <v/>
      </c>
      <c r="Q1213" s="4">
        <f>MAX(0,J1213-G1213)</f>
        <v/>
      </c>
      <c r="R1213" s="4">
        <f>IF(AND(N1213=1,O1213=1),"On Track",IF(O1213=0,"Customer Delivery Late","Ship Late"))</f>
        <v/>
      </c>
    </row>
    <row r="1214">
      <c r="A1214" s="2" t="inlineStr">
        <is>
          <t>ORD-01213</t>
        </is>
      </c>
      <c r="B1214" s="2" t="inlineStr">
        <is>
          <t>Customer 12</t>
        </is>
      </c>
      <c r="C1214" s="2" t="inlineStr">
        <is>
          <t>Switchgear</t>
        </is>
      </c>
      <c r="D1214" s="2" t="inlineStr">
        <is>
          <t>Plant B</t>
        </is>
      </c>
      <c r="E1214" s="2" t="inlineStr">
        <is>
          <t>Export</t>
        </is>
      </c>
      <c r="F1214" s="12" t="n">
        <v>46129</v>
      </c>
      <c r="G1214" s="12" t="n">
        <v>46135</v>
      </c>
      <c r="H1214" s="12" t="n">
        <v>46133</v>
      </c>
      <c r="I1214" s="12" t="n">
        <v>46133</v>
      </c>
      <c r="J1214" s="12" t="n">
        <v>46135</v>
      </c>
      <c r="K1214" s="2" t="n">
        <v>169</v>
      </c>
      <c r="L1214" s="2" t="inlineStr">
        <is>
          <t>Sea</t>
        </is>
      </c>
      <c r="M1214" s="2" t="inlineStr">
        <is>
          <t>No Delay</t>
        </is>
      </c>
      <c r="N1214" s="4">
        <f>IF(I1214&lt;=H1214,1,0)</f>
        <v/>
      </c>
      <c r="O1214" s="4">
        <f>IF(J1214&lt;=G1214,1,0)</f>
        <v/>
      </c>
      <c r="P1214" s="4">
        <f>MAX(0,I1214-H1214)</f>
        <v/>
      </c>
      <c r="Q1214" s="4">
        <f>MAX(0,J1214-G1214)</f>
        <v/>
      </c>
      <c r="R1214" s="4">
        <f>IF(AND(N1214=1,O1214=1),"On Track",IF(O1214=0,"Customer Delivery Late","Ship Late"))</f>
        <v/>
      </c>
    </row>
    <row r="1215">
      <c r="A1215" s="2" t="inlineStr">
        <is>
          <t>ORD-01214</t>
        </is>
      </c>
      <c r="B1215" s="2" t="inlineStr">
        <is>
          <t>Customer 07</t>
        </is>
      </c>
      <c r="C1215" s="2" t="inlineStr">
        <is>
          <t>Sensor</t>
        </is>
      </c>
      <c r="D1215" s="2" t="inlineStr">
        <is>
          <t>Plant C</t>
        </is>
      </c>
      <c r="E1215" s="2" t="inlineStr">
        <is>
          <t>Central</t>
        </is>
      </c>
      <c r="F1215" s="12" t="n">
        <v>46098</v>
      </c>
      <c r="G1215" s="12" t="n">
        <v>46114</v>
      </c>
      <c r="H1215" s="12" t="n">
        <v>46109</v>
      </c>
      <c r="I1215" s="12" t="n">
        <v>46107</v>
      </c>
      <c r="J1215" s="12" t="n">
        <v>46111</v>
      </c>
      <c r="K1215" s="2" t="n">
        <v>32</v>
      </c>
      <c r="L1215" s="2" t="inlineStr">
        <is>
          <t>Road</t>
        </is>
      </c>
      <c r="M1215" s="2" t="inlineStr">
        <is>
          <t>No Delay</t>
        </is>
      </c>
      <c r="N1215" s="4">
        <f>IF(I1215&lt;=H1215,1,0)</f>
        <v/>
      </c>
      <c r="O1215" s="4">
        <f>IF(J1215&lt;=G1215,1,0)</f>
        <v/>
      </c>
      <c r="P1215" s="4">
        <f>MAX(0,I1215-H1215)</f>
        <v/>
      </c>
      <c r="Q1215" s="4">
        <f>MAX(0,J1215-G1215)</f>
        <v/>
      </c>
      <c r="R1215" s="4">
        <f>IF(AND(N1215=1,O1215=1),"On Track",IF(O1215=0,"Customer Delivery Late","Ship Late"))</f>
        <v/>
      </c>
    </row>
    <row r="1216">
      <c r="A1216" s="2" t="inlineStr">
        <is>
          <t>ORD-01215</t>
        </is>
      </c>
      <c r="B1216" s="2" t="inlineStr">
        <is>
          <t>Customer 13</t>
        </is>
      </c>
      <c r="C1216" s="2" t="inlineStr">
        <is>
          <t>Drive</t>
        </is>
      </c>
      <c r="D1216" s="2" t="inlineStr">
        <is>
          <t>Plant C</t>
        </is>
      </c>
      <c r="E1216" s="2" t="inlineStr">
        <is>
          <t>Export</t>
        </is>
      </c>
      <c r="F1216" s="12" t="n">
        <v>46060</v>
      </c>
      <c r="G1216" s="12" t="n">
        <v>46082</v>
      </c>
      <c r="H1216" s="12" t="n">
        <v>46079</v>
      </c>
      <c r="I1216" s="12" t="n">
        <v>46079</v>
      </c>
      <c r="J1216" s="12" t="n">
        <v>46083</v>
      </c>
      <c r="K1216" s="2" t="n">
        <v>720</v>
      </c>
      <c r="L1216" s="2" t="inlineStr">
        <is>
          <t>Sea</t>
        </is>
      </c>
      <c r="M1216" s="2" t="inlineStr">
        <is>
          <t>Documentation Issue</t>
        </is>
      </c>
      <c r="N1216" s="4">
        <f>IF(I1216&lt;=H1216,1,0)</f>
        <v/>
      </c>
      <c r="O1216" s="4">
        <f>IF(J1216&lt;=G1216,1,0)</f>
        <v/>
      </c>
      <c r="P1216" s="4">
        <f>MAX(0,I1216-H1216)</f>
        <v/>
      </c>
      <c r="Q1216" s="4">
        <f>MAX(0,J1216-G1216)</f>
        <v/>
      </c>
      <c r="R1216" s="4">
        <f>IF(AND(N1216=1,O1216=1),"On Track",IF(O1216=0,"Customer Delivery Late","Ship Late"))</f>
        <v/>
      </c>
    </row>
    <row r="1217">
      <c r="A1217" s="2" t="inlineStr">
        <is>
          <t>ORD-01216</t>
        </is>
      </c>
      <c r="B1217" s="2" t="inlineStr">
        <is>
          <t>Customer 14</t>
        </is>
      </c>
      <c r="C1217" s="2" t="inlineStr">
        <is>
          <t>Breaker</t>
        </is>
      </c>
      <c r="D1217" s="2" t="inlineStr">
        <is>
          <t>Plant C</t>
        </is>
      </c>
      <c r="E1217" s="2" t="inlineStr">
        <is>
          <t>North</t>
        </is>
      </c>
      <c r="F1217" s="12" t="n">
        <v>46106</v>
      </c>
      <c r="G1217" s="12" t="n">
        <v>46120</v>
      </c>
      <c r="H1217" s="12" t="n">
        <v>46117</v>
      </c>
      <c r="I1217" s="12" t="n">
        <v>46117</v>
      </c>
      <c r="J1217" s="12" t="n">
        <v>46120</v>
      </c>
      <c r="K1217" s="2" t="n">
        <v>324</v>
      </c>
      <c r="L1217" s="2" t="inlineStr">
        <is>
          <t>Air</t>
        </is>
      </c>
      <c r="M1217" s="2" t="inlineStr">
        <is>
          <t>No Delay</t>
        </is>
      </c>
      <c r="N1217" s="4">
        <f>IF(I1217&lt;=H1217,1,0)</f>
        <v/>
      </c>
      <c r="O1217" s="4">
        <f>IF(J1217&lt;=G1217,1,0)</f>
        <v/>
      </c>
      <c r="P1217" s="4">
        <f>MAX(0,I1217-H1217)</f>
        <v/>
      </c>
      <c r="Q1217" s="4">
        <f>MAX(0,J1217-G1217)</f>
        <v/>
      </c>
      <c r="R1217" s="4">
        <f>IF(AND(N1217=1,O1217=1),"On Track",IF(O1217=0,"Customer Delivery Late","Ship Late"))</f>
        <v/>
      </c>
    </row>
    <row r="1218">
      <c r="A1218" s="2" t="inlineStr">
        <is>
          <t>ORD-01217</t>
        </is>
      </c>
      <c r="B1218" s="2" t="inlineStr">
        <is>
          <t>Customer 13</t>
        </is>
      </c>
      <c r="C1218" s="2" t="inlineStr">
        <is>
          <t>PLC</t>
        </is>
      </c>
      <c r="D1218" s="2" t="inlineStr">
        <is>
          <t>Plant A</t>
        </is>
      </c>
      <c r="E1218" s="2" t="inlineStr">
        <is>
          <t>North</t>
        </is>
      </c>
      <c r="F1218" s="12" t="n">
        <v>46107</v>
      </c>
      <c r="G1218" s="12" t="n">
        <v>46126</v>
      </c>
      <c r="H1218" s="12" t="n">
        <v>46123</v>
      </c>
      <c r="I1218" s="12" t="n">
        <v>46121</v>
      </c>
      <c r="J1218" s="12" t="n">
        <v>46125</v>
      </c>
      <c r="K1218" s="2" t="n">
        <v>630</v>
      </c>
      <c r="L1218" s="2" t="inlineStr">
        <is>
          <t>Road</t>
        </is>
      </c>
      <c r="M1218" s="2" t="inlineStr">
        <is>
          <t>No Delay</t>
        </is>
      </c>
      <c r="N1218" s="4">
        <f>IF(I1218&lt;=H1218,1,0)</f>
        <v/>
      </c>
      <c r="O1218" s="4">
        <f>IF(J1218&lt;=G1218,1,0)</f>
        <v/>
      </c>
      <c r="P1218" s="4">
        <f>MAX(0,I1218-H1218)</f>
        <v/>
      </c>
      <c r="Q1218" s="4">
        <f>MAX(0,J1218-G1218)</f>
        <v/>
      </c>
      <c r="R1218" s="4">
        <f>IF(AND(N1218=1,O1218=1),"On Track",IF(O1218=0,"Customer Delivery Late","Ship Late"))</f>
        <v/>
      </c>
    </row>
    <row r="1219">
      <c r="A1219" s="2" t="inlineStr">
        <is>
          <t>ORD-01218</t>
        </is>
      </c>
      <c r="B1219" s="2" t="inlineStr">
        <is>
          <t>Customer 09</t>
        </is>
      </c>
      <c r="C1219" s="2" t="inlineStr">
        <is>
          <t>PLC</t>
        </is>
      </c>
      <c r="D1219" s="2" t="inlineStr">
        <is>
          <t>Plant A</t>
        </is>
      </c>
      <c r="E1219" s="2" t="inlineStr">
        <is>
          <t>North</t>
        </is>
      </c>
      <c r="F1219" s="12" t="n">
        <v>46057</v>
      </c>
      <c r="G1219" s="12" t="n">
        <v>46068</v>
      </c>
      <c r="H1219" s="12" t="n">
        <v>46064</v>
      </c>
      <c r="I1219" s="12" t="n">
        <v>46063</v>
      </c>
      <c r="J1219" s="12" t="n">
        <v>46067</v>
      </c>
      <c r="K1219" s="2" t="n">
        <v>344</v>
      </c>
      <c r="L1219" s="2" t="inlineStr">
        <is>
          <t>Road</t>
        </is>
      </c>
      <c r="M1219" s="2" t="inlineStr">
        <is>
          <t>No Delay</t>
        </is>
      </c>
      <c r="N1219" s="4">
        <f>IF(I1219&lt;=H1219,1,0)</f>
        <v/>
      </c>
      <c r="O1219" s="4">
        <f>IF(J1219&lt;=G1219,1,0)</f>
        <v/>
      </c>
      <c r="P1219" s="4">
        <f>MAX(0,I1219-H1219)</f>
        <v/>
      </c>
      <c r="Q1219" s="4">
        <f>MAX(0,J1219-G1219)</f>
        <v/>
      </c>
      <c r="R1219" s="4">
        <f>IF(AND(N1219=1,O1219=1),"On Track",IF(O1219=0,"Customer Delivery Late","Ship Late"))</f>
        <v/>
      </c>
    </row>
    <row r="1220">
      <c r="A1220" s="2" t="inlineStr">
        <is>
          <t>ORD-01219</t>
        </is>
      </c>
      <c r="B1220" s="2" t="inlineStr">
        <is>
          <t>Customer 15</t>
        </is>
      </c>
      <c r="C1220" s="2" t="inlineStr">
        <is>
          <t>Drive</t>
        </is>
      </c>
      <c r="D1220" s="2" t="inlineStr">
        <is>
          <t>Plant C</t>
        </is>
      </c>
      <c r="E1220" s="2" t="inlineStr">
        <is>
          <t>South</t>
        </is>
      </c>
      <c r="F1220" s="12" t="n">
        <v>46090</v>
      </c>
      <c r="G1220" s="12" t="n">
        <v>46110</v>
      </c>
      <c r="H1220" s="12" t="n">
        <v>46109</v>
      </c>
      <c r="I1220" s="12" t="n">
        <v>46107</v>
      </c>
      <c r="J1220" s="12" t="n">
        <v>46108</v>
      </c>
      <c r="K1220" s="2" t="n">
        <v>970</v>
      </c>
      <c r="L1220" s="2" t="inlineStr">
        <is>
          <t>Air</t>
        </is>
      </c>
      <c r="M1220" s="2" t="inlineStr">
        <is>
          <t>No Delay</t>
        </is>
      </c>
      <c r="N1220" s="4">
        <f>IF(I1220&lt;=H1220,1,0)</f>
        <v/>
      </c>
      <c r="O1220" s="4">
        <f>IF(J1220&lt;=G1220,1,0)</f>
        <v/>
      </c>
      <c r="P1220" s="4">
        <f>MAX(0,I1220-H1220)</f>
        <v/>
      </c>
      <c r="Q1220" s="4">
        <f>MAX(0,J1220-G1220)</f>
        <v/>
      </c>
      <c r="R1220" s="4">
        <f>IF(AND(N1220=1,O1220=1),"On Track",IF(O1220=0,"Customer Delivery Late","Ship Late"))</f>
        <v/>
      </c>
    </row>
    <row r="1221">
      <c r="A1221" s="2" t="inlineStr">
        <is>
          <t>ORD-01220</t>
        </is>
      </c>
      <c r="B1221" s="2" t="inlineStr">
        <is>
          <t>Customer 22</t>
        </is>
      </c>
      <c r="C1221" s="2" t="inlineStr">
        <is>
          <t>Sensor</t>
        </is>
      </c>
      <c r="D1221" s="2" t="inlineStr">
        <is>
          <t>Plant C</t>
        </is>
      </c>
      <c r="E1221" s="2" t="inlineStr">
        <is>
          <t>Central</t>
        </is>
      </c>
      <c r="F1221" s="12" t="n">
        <v>46170</v>
      </c>
      <c r="G1221" s="12" t="n">
        <v>46192</v>
      </c>
      <c r="H1221" s="12" t="n">
        <v>46187</v>
      </c>
      <c r="I1221" s="12" t="n">
        <v>46187</v>
      </c>
      <c r="J1221" s="12" t="n">
        <v>46192</v>
      </c>
      <c r="K1221" s="2" t="n">
        <v>473</v>
      </c>
      <c r="L1221" s="2" t="inlineStr">
        <is>
          <t>Road</t>
        </is>
      </c>
      <c r="M1221" s="2" t="inlineStr">
        <is>
          <t>No Delay</t>
        </is>
      </c>
      <c r="N1221" s="4">
        <f>IF(I1221&lt;=H1221,1,0)</f>
        <v/>
      </c>
      <c r="O1221" s="4">
        <f>IF(J1221&lt;=G1221,1,0)</f>
        <v/>
      </c>
      <c r="P1221" s="4">
        <f>MAX(0,I1221-H1221)</f>
        <v/>
      </c>
      <c r="Q1221" s="4">
        <f>MAX(0,J1221-G1221)</f>
        <v/>
      </c>
      <c r="R1221" s="4">
        <f>IF(AND(N1221=1,O1221=1),"On Track",IF(O1221=0,"Customer Delivery Late","Ship Late"))</f>
        <v/>
      </c>
    </row>
    <row r="1222">
      <c r="A1222" s="2" t="inlineStr">
        <is>
          <t>ORD-01221</t>
        </is>
      </c>
      <c r="B1222" s="2" t="inlineStr">
        <is>
          <t>Customer 13</t>
        </is>
      </c>
      <c r="C1222" s="2" t="inlineStr">
        <is>
          <t>Breaker</t>
        </is>
      </c>
      <c r="D1222" s="2" t="inlineStr">
        <is>
          <t>Plant C</t>
        </is>
      </c>
      <c r="E1222" s="2" t="inlineStr">
        <is>
          <t>South</t>
        </is>
      </c>
      <c r="F1222" s="12" t="n">
        <v>46134</v>
      </c>
      <c r="G1222" s="12" t="n">
        <v>46154</v>
      </c>
      <c r="H1222" s="12" t="n">
        <v>46151</v>
      </c>
      <c r="I1222" s="12" t="n">
        <v>46151</v>
      </c>
      <c r="J1222" s="12" t="n">
        <v>46154</v>
      </c>
      <c r="K1222" s="2" t="n">
        <v>537</v>
      </c>
      <c r="L1222" s="2" t="inlineStr">
        <is>
          <t>Road</t>
        </is>
      </c>
      <c r="M1222" s="2" t="inlineStr">
        <is>
          <t>No Delay</t>
        </is>
      </c>
      <c r="N1222" s="4">
        <f>IF(I1222&lt;=H1222,1,0)</f>
        <v/>
      </c>
      <c r="O1222" s="4">
        <f>IF(J1222&lt;=G1222,1,0)</f>
        <v/>
      </c>
      <c r="P1222" s="4">
        <f>MAX(0,I1222-H1222)</f>
        <v/>
      </c>
      <c r="Q1222" s="4">
        <f>MAX(0,J1222-G1222)</f>
        <v/>
      </c>
      <c r="R1222" s="4">
        <f>IF(AND(N1222=1,O1222=1),"On Track",IF(O1222=0,"Customer Delivery Late","Ship Late"))</f>
        <v/>
      </c>
    </row>
    <row r="1223">
      <c r="A1223" s="2" t="inlineStr">
        <is>
          <t>ORD-01222</t>
        </is>
      </c>
      <c r="B1223" s="2" t="inlineStr">
        <is>
          <t>Customer 30</t>
        </is>
      </c>
      <c r="C1223" s="2" t="inlineStr">
        <is>
          <t>Contactor</t>
        </is>
      </c>
      <c r="D1223" s="2" t="inlineStr">
        <is>
          <t>Plant C</t>
        </is>
      </c>
      <c r="E1223" s="2" t="inlineStr">
        <is>
          <t>South</t>
        </is>
      </c>
      <c r="F1223" s="12" t="n">
        <v>46060</v>
      </c>
      <c r="G1223" s="12" t="n">
        <v>46082</v>
      </c>
      <c r="H1223" s="12" t="n">
        <v>46080</v>
      </c>
      <c r="I1223" s="12" t="n">
        <v>46078</v>
      </c>
      <c r="J1223" s="12" t="n">
        <v>46080</v>
      </c>
      <c r="K1223" s="2" t="n">
        <v>855</v>
      </c>
      <c r="L1223" s="2" t="inlineStr">
        <is>
          <t>Sea</t>
        </is>
      </c>
      <c r="M1223" s="2" t="inlineStr">
        <is>
          <t>No Delay</t>
        </is>
      </c>
      <c r="N1223" s="4">
        <f>IF(I1223&lt;=H1223,1,0)</f>
        <v/>
      </c>
      <c r="O1223" s="4">
        <f>IF(J1223&lt;=G1223,1,0)</f>
        <v/>
      </c>
      <c r="P1223" s="4">
        <f>MAX(0,I1223-H1223)</f>
        <v/>
      </c>
      <c r="Q1223" s="4">
        <f>MAX(0,J1223-G1223)</f>
        <v/>
      </c>
      <c r="R1223" s="4">
        <f>IF(AND(N1223=1,O1223=1),"On Track",IF(O1223=0,"Customer Delivery Late","Ship Late"))</f>
        <v/>
      </c>
    </row>
    <row r="1224">
      <c r="A1224" s="2" t="inlineStr">
        <is>
          <t>ORD-01223</t>
        </is>
      </c>
      <c r="B1224" s="2" t="inlineStr">
        <is>
          <t>Customer 30</t>
        </is>
      </c>
      <c r="C1224" s="2" t="inlineStr">
        <is>
          <t>Contactor</t>
        </is>
      </c>
      <c r="D1224" s="2" t="inlineStr">
        <is>
          <t>Plant B</t>
        </is>
      </c>
      <c r="E1224" s="2" t="inlineStr">
        <is>
          <t>North</t>
        </is>
      </c>
      <c r="F1224" s="12" t="n">
        <v>46125</v>
      </c>
      <c r="G1224" s="12" t="n">
        <v>46143</v>
      </c>
      <c r="H1224" s="12" t="n">
        <v>46138</v>
      </c>
      <c r="I1224" s="12" t="n">
        <v>46136</v>
      </c>
      <c r="J1224" s="12" t="n">
        <v>46141</v>
      </c>
      <c r="K1224" s="2" t="n">
        <v>902</v>
      </c>
      <c r="L1224" s="2" t="inlineStr">
        <is>
          <t>Air</t>
        </is>
      </c>
      <c r="M1224" s="2" t="inlineStr">
        <is>
          <t>No Delay</t>
        </is>
      </c>
      <c r="N1224" s="4">
        <f>IF(I1224&lt;=H1224,1,0)</f>
        <v/>
      </c>
      <c r="O1224" s="4">
        <f>IF(J1224&lt;=G1224,1,0)</f>
        <v/>
      </c>
      <c r="P1224" s="4">
        <f>MAX(0,I1224-H1224)</f>
        <v/>
      </c>
      <c r="Q1224" s="4">
        <f>MAX(0,J1224-G1224)</f>
        <v/>
      </c>
      <c r="R1224" s="4">
        <f>IF(AND(N1224=1,O1224=1),"On Track",IF(O1224=0,"Customer Delivery Late","Ship Late"))</f>
        <v/>
      </c>
    </row>
    <row r="1225">
      <c r="A1225" s="2" t="inlineStr">
        <is>
          <t>ORD-01224</t>
        </is>
      </c>
      <c r="B1225" s="2" t="inlineStr">
        <is>
          <t>Customer 08</t>
        </is>
      </c>
      <c r="C1225" s="2" t="inlineStr">
        <is>
          <t>Switchgear</t>
        </is>
      </c>
      <c r="D1225" s="2" t="inlineStr">
        <is>
          <t>Plant B</t>
        </is>
      </c>
      <c r="E1225" s="2" t="inlineStr">
        <is>
          <t>Export</t>
        </is>
      </c>
      <c r="F1225" s="12" t="n">
        <v>46133</v>
      </c>
      <c r="G1225" s="12" t="n">
        <v>46142</v>
      </c>
      <c r="H1225" s="12" t="n">
        <v>46138</v>
      </c>
      <c r="I1225" s="12" t="n">
        <v>46136</v>
      </c>
      <c r="J1225" s="12" t="n">
        <v>46140</v>
      </c>
      <c r="K1225" s="2" t="n">
        <v>1215</v>
      </c>
      <c r="L1225" s="2" t="inlineStr">
        <is>
          <t>Road</t>
        </is>
      </c>
      <c r="M1225" s="2" t="inlineStr">
        <is>
          <t>No Delay</t>
        </is>
      </c>
      <c r="N1225" s="4">
        <f>IF(I1225&lt;=H1225,1,0)</f>
        <v/>
      </c>
      <c r="O1225" s="4">
        <f>IF(J1225&lt;=G1225,1,0)</f>
        <v/>
      </c>
      <c r="P1225" s="4">
        <f>MAX(0,I1225-H1225)</f>
        <v/>
      </c>
      <c r="Q1225" s="4">
        <f>MAX(0,J1225-G1225)</f>
        <v/>
      </c>
      <c r="R1225" s="4">
        <f>IF(AND(N1225=1,O1225=1),"On Track",IF(O1225=0,"Customer Delivery Late","Ship Late"))</f>
        <v/>
      </c>
    </row>
    <row r="1226">
      <c r="A1226" s="2" t="inlineStr">
        <is>
          <t>ORD-01225</t>
        </is>
      </c>
      <c r="B1226" s="2" t="inlineStr">
        <is>
          <t>Customer 11</t>
        </is>
      </c>
      <c r="C1226" s="2" t="inlineStr">
        <is>
          <t>Power Supply</t>
        </is>
      </c>
      <c r="D1226" s="2" t="inlineStr">
        <is>
          <t>Plant A</t>
        </is>
      </c>
      <c r="E1226" s="2" t="inlineStr">
        <is>
          <t>North</t>
        </is>
      </c>
      <c r="F1226" s="12" t="n">
        <v>46126</v>
      </c>
      <c r="G1226" s="12" t="n">
        <v>46144</v>
      </c>
      <c r="H1226" s="12" t="n">
        <v>46142</v>
      </c>
      <c r="I1226" s="12" t="n">
        <v>46142</v>
      </c>
      <c r="J1226" s="12" t="n">
        <v>46144</v>
      </c>
      <c r="K1226" s="2" t="n">
        <v>178</v>
      </c>
      <c r="L1226" s="2" t="inlineStr">
        <is>
          <t>Road</t>
        </is>
      </c>
      <c r="M1226" s="2" t="inlineStr">
        <is>
          <t>No Delay</t>
        </is>
      </c>
      <c r="N1226" s="4">
        <f>IF(I1226&lt;=H1226,1,0)</f>
        <v/>
      </c>
      <c r="O1226" s="4">
        <f>IF(J1226&lt;=G1226,1,0)</f>
        <v/>
      </c>
      <c r="P1226" s="4">
        <f>MAX(0,I1226-H1226)</f>
        <v/>
      </c>
      <c r="Q1226" s="4">
        <f>MAX(0,J1226-G1226)</f>
        <v/>
      </c>
      <c r="R1226" s="4">
        <f>IF(AND(N1226=1,O1226=1),"On Track",IF(O1226=0,"Customer Delivery Late","Ship Late"))</f>
        <v/>
      </c>
    </row>
    <row r="1227">
      <c r="A1227" s="2" t="inlineStr">
        <is>
          <t>ORD-01226</t>
        </is>
      </c>
      <c r="B1227" s="2" t="inlineStr">
        <is>
          <t>Customer 05</t>
        </is>
      </c>
      <c r="C1227" s="2" t="inlineStr">
        <is>
          <t>Sensor</t>
        </is>
      </c>
      <c r="D1227" s="2" t="inlineStr">
        <is>
          <t>Plant B</t>
        </is>
      </c>
      <c r="E1227" s="2" t="inlineStr">
        <is>
          <t>South</t>
        </is>
      </c>
      <c r="F1227" s="12" t="n">
        <v>46025</v>
      </c>
      <c r="G1227" s="12" t="n">
        <v>46034</v>
      </c>
      <c r="H1227" s="12" t="n">
        <v>46029</v>
      </c>
      <c r="I1227" s="12" t="n">
        <v>46027</v>
      </c>
      <c r="J1227" s="12" t="n">
        <v>46036</v>
      </c>
      <c r="K1227" s="2" t="n">
        <v>1374</v>
      </c>
      <c r="L1227" s="2" t="inlineStr">
        <is>
          <t>Sea</t>
        </is>
      </c>
      <c r="M1227" s="2" t="inlineStr">
        <is>
          <t>Material Shortage</t>
        </is>
      </c>
      <c r="N1227" s="4">
        <f>IF(I1227&lt;=H1227,1,0)</f>
        <v/>
      </c>
      <c r="O1227" s="4">
        <f>IF(J1227&lt;=G1227,1,0)</f>
        <v/>
      </c>
      <c r="P1227" s="4">
        <f>MAX(0,I1227-H1227)</f>
        <v/>
      </c>
      <c r="Q1227" s="4">
        <f>MAX(0,J1227-G1227)</f>
        <v/>
      </c>
      <c r="R1227" s="4">
        <f>IF(AND(N1227=1,O1227=1),"On Track",IF(O1227=0,"Customer Delivery Late","Ship Late"))</f>
        <v/>
      </c>
    </row>
    <row r="1228">
      <c r="A1228" s="2" t="inlineStr">
        <is>
          <t>ORD-01227</t>
        </is>
      </c>
      <c r="B1228" s="2" t="inlineStr">
        <is>
          <t>Customer 03</t>
        </is>
      </c>
      <c r="C1228" s="2" t="inlineStr">
        <is>
          <t>Breaker</t>
        </is>
      </c>
      <c r="D1228" s="2" t="inlineStr">
        <is>
          <t>Plant C</t>
        </is>
      </c>
      <c r="E1228" s="2" t="inlineStr">
        <is>
          <t>North</t>
        </is>
      </c>
      <c r="F1228" s="12" t="n">
        <v>46045</v>
      </c>
      <c r="G1228" s="12" t="n">
        <v>46051</v>
      </c>
      <c r="H1228" s="12" t="n">
        <v>46049</v>
      </c>
      <c r="I1228" s="12" t="n">
        <v>46048</v>
      </c>
      <c r="J1228" s="12" t="n">
        <v>46049</v>
      </c>
      <c r="K1228" s="2" t="n">
        <v>403</v>
      </c>
      <c r="L1228" s="2" t="inlineStr">
        <is>
          <t>Road</t>
        </is>
      </c>
      <c r="M1228" s="2" t="inlineStr">
        <is>
          <t>No Delay</t>
        </is>
      </c>
      <c r="N1228" s="4">
        <f>IF(I1228&lt;=H1228,1,0)</f>
        <v/>
      </c>
      <c r="O1228" s="4">
        <f>IF(J1228&lt;=G1228,1,0)</f>
        <v/>
      </c>
      <c r="P1228" s="4">
        <f>MAX(0,I1228-H1228)</f>
        <v/>
      </c>
      <c r="Q1228" s="4">
        <f>MAX(0,J1228-G1228)</f>
        <v/>
      </c>
      <c r="R1228" s="4">
        <f>IF(AND(N1228=1,O1228=1),"On Track",IF(O1228=0,"Customer Delivery Late","Ship Late"))</f>
        <v/>
      </c>
    </row>
    <row r="1229">
      <c r="A1229" s="2" t="inlineStr">
        <is>
          <t>ORD-01228</t>
        </is>
      </c>
      <c r="B1229" s="2" t="inlineStr">
        <is>
          <t>Customer 03</t>
        </is>
      </c>
      <c r="C1229" s="2" t="inlineStr">
        <is>
          <t>Switchgear</t>
        </is>
      </c>
      <c r="D1229" s="2" t="inlineStr">
        <is>
          <t>Plant C</t>
        </is>
      </c>
      <c r="E1229" s="2" t="inlineStr">
        <is>
          <t>South</t>
        </is>
      </c>
      <c r="F1229" s="12" t="n">
        <v>46123</v>
      </c>
      <c r="G1229" s="12" t="n">
        <v>46143</v>
      </c>
      <c r="H1229" s="12" t="n">
        <v>46142</v>
      </c>
      <c r="I1229" s="12" t="n">
        <v>46141</v>
      </c>
      <c r="J1229" s="12" t="n">
        <v>46143</v>
      </c>
      <c r="K1229" s="2" t="n">
        <v>332</v>
      </c>
      <c r="L1229" s="2" t="inlineStr">
        <is>
          <t>Sea</t>
        </is>
      </c>
      <c r="M1229" s="2" t="inlineStr">
        <is>
          <t>No Delay</t>
        </is>
      </c>
      <c r="N1229" s="4">
        <f>IF(I1229&lt;=H1229,1,0)</f>
        <v/>
      </c>
      <c r="O1229" s="4">
        <f>IF(J1229&lt;=G1229,1,0)</f>
        <v/>
      </c>
      <c r="P1229" s="4">
        <f>MAX(0,I1229-H1229)</f>
        <v/>
      </c>
      <c r="Q1229" s="4">
        <f>MAX(0,J1229-G1229)</f>
        <v/>
      </c>
      <c r="R1229" s="4">
        <f>IF(AND(N1229=1,O1229=1),"On Track",IF(O1229=0,"Customer Delivery Late","Ship Late"))</f>
        <v/>
      </c>
    </row>
    <row r="1230">
      <c r="A1230" s="2" t="inlineStr">
        <is>
          <t>ORD-01229</t>
        </is>
      </c>
      <c r="B1230" s="2" t="inlineStr">
        <is>
          <t>Customer 11</t>
        </is>
      </c>
      <c r="C1230" s="2" t="inlineStr">
        <is>
          <t>Relay</t>
        </is>
      </c>
      <c r="D1230" s="2" t="inlineStr">
        <is>
          <t>Plant C</t>
        </is>
      </c>
      <c r="E1230" s="2" t="inlineStr">
        <is>
          <t>Export</t>
        </is>
      </c>
      <c r="F1230" s="12" t="n">
        <v>46202</v>
      </c>
      <c r="G1230" s="12" t="n">
        <v>46223</v>
      </c>
      <c r="H1230" s="12" t="n">
        <v>46222</v>
      </c>
      <c r="I1230" s="12" t="n">
        <v>46220</v>
      </c>
      <c r="J1230" s="12" t="n">
        <v>46221</v>
      </c>
      <c r="K1230" s="2" t="n">
        <v>936</v>
      </c>
      <c r="L1230" s="2" t="inlineStr">
        <is>
          <t>Air</t>
        </is>
      </c>
      <c r="M1230" s="2" t="inlineStr">
        <is>
          <t>No Delay</t>
        </is>
      </c>
      <c r="N1230" s="4">
        <f>IF(I1230&lt;=H1230,1,0)</f>
        <v/>
      </c>
      <c r="O1230" s="4">
        <f>IF(J1230&lt;=G1230,1,0)</f>
        <v/>
      </c>
      <c r="P1230" s="4">
        <f>MAX(0,I1230-H1230)</f>
        <v/>
      </c>
      <c r="Q1230" s="4">
        <f>MAX(0,J1230-G1230)</f>
        <v/>
      </c>
      <c r="R1230" s="4">
        <f>IF(AND(N1230=1,O1230=1),"On Track",IF(O1230=0,"Customer Delivery Late","Ship Late"))</f>
        <v/>
      </c>
    </row>
    <row r="1231">
      <c r="A1231" s="2" t="inlineStr">
        <is>
          <t>ORD-01230</t>
        </is>
      </c>
      <c r="B1231" s="2" t="inlineStr">
        <is>
          <t>Customer 28</t>
        </is>
      </c>
      <c r="C1231" s="2" t="inlineStr">
        <is>
          <t>Sensor</t>
        </is>
      </c>
      <c r="D1231" s="2" t="inlineStr">
        <is>
          <t>Plant C</t>
        </is>
      </c>
      <c r="E1231" s="2" t="inlineStr">
        <is>
          <t>South</t>
        </is>
      </c>
      <c r="F1231" s="12" t="n">
        <v>46153</v>
      </c>
      <c r="G1231" s="12" t="n">
        <v>46167</v>
      </c>
      <c r="H1231" s="12" t="n">
        <v>46164</v>
      </c>
      <c r="I1231" s="12" t="n">
        <v>46163</v>
      </c>
      <c r="J1231" s="12" t="n">
        <v>46166</v>
      </c>
      <c r="K1231" s="2" t="n">
        <v>441</v>
      </c>
      <c r="L1231" s="2" t="inlineStr">
        <is>
          <t>Road</t>
        </is>
      </c>
      <c r="M1231" s="2" t="inlineStr">
        <is>
          <t>No Delay</t>
        </is>
      </c>
      <c r="N1231" s="4">
        <f>IF(I1231&lt;=H1231,1,0)</f>
        <v/>
      </c>
      <c r="O1231" s="4">
        <f>IF(J1231&lt;=G1231,1,0)</f>
        <v/>
      </c>
      <c r="P1231" s="4">
        <f>MAX(0,I1231-H1231)</f>
        <v/>
      </c>
      <c r="Q1231" s="4">
        <f>MAX(0,J1231-G1231)</f>
        <v/>
      </c>
      <c r="R1231" s="4">
        <f>IF(AND(N1231=1,O1231=1),"On Track",IF(O1231=0,"Customer Delivery Late","Ship Late"))</f>
        <v/>
      </c>
    </row>
    <row r="1232">
      <c r="A1232" s="2" t="inlineStr">
        <is>
          <t>ORD-01231</t>
        </is>
      </c>
      <c r="B1232" s="2" t="inlineStr">
        <is>
          <t>Customer 15</t>
        </is>
      </c>
      <c r="C1232" s="2" t="inlineStr">
        <is>
          <t>Relay</t>
        </is>
      </c>
      <c r="D1232" s="2" t="inlineStr">
        <is>
          <t>Plant A</t>
        </is>
      </c>
      <c r="E1232" s="2" t="inlineStr">
        <is>
          <t>North</t>
        </is>
      </c>
      <c r="F1232" s="12" t="n">
        <v>46141</v>
      </c>
      <c r="G1232" s="12" t="n">
        <v>46150</v>
      </c>
      <c r="H1232" s="12" t="n">
        <v>46148</v>
      </c>
      <c r="I1232" s="12" t="n">
        <v>46146</v>
      </c>
      <c r="J1232" s="12" t="n">
        <v>46148</v>
      </c>
      <c r="K1232" s="2" t="n">
        <v>588</v>
      </c>
      <c r="L1232" s="2" t="inlineStr">
        <is>
          <t>Air</t>
        </is>
      </c>
      <c r="M1232" s="2" t="inlineStr">
        <is>
          <t>No Delay</t>
        </is>
      </c>
      <c r="N1232" s="4">
        <f>IF(I1232&lt;=H1232,1,0)</f>
        <v/>
      </c>
      <c r="O1232" s="4">
        <f>IF(J1232&lt;=G1232,1,0)</f>
        <v/>
      </c>
      <c r="P1232" s="4">
        <f>MAX(0,I1232-H1232)</f>
        <v/>
      </c>
      <c r="Q1232" s="4">
        <f>MAX(0,J1232-G1232)</f>
        <v/>
      </c>
      <c r="R1232" s="4">
        <f>IF(AND(N1232=1,O1232=1),"On Track",IF(O1232=0,"Customer Delivery Late","Ship Late"))</f>
        <v/>
      </c>
    </row>
    <row r="1233">
      <c r="A1233" s="2" t="inlineStr">
        <is>
          <t>ORD-01232</t>
        </is>
      </c>
      <c r="B1233" s="2" t="inlineStr">
        <is>
          <t>Customer 21</t>
        </is>
      </c>
      <c r="C1233" s="2" t="inlineStr">
        <is>
          <t>Sensor</t>
        </is>
      </c>
      <c r="D1233" s="2" t="inlineStr">
        <is>
          <t>Plant C</t>
        </is>
      </c>
      <c r="E1233" s="2" t="inlineStr">
        <is>
          <t>Central</t>
        </is>
      </c>
      <c r="F1233" s="12" t="n">
        <v>46199</v>
      </c>
      <c r="G1233" s="12" t="n">
        <v>46214</v>
      </c>
      <c r="H1233" s="12" t="n">
        <v>46209</v>
      </c>
      <c r="I1233" s="12" t="n">
        <v>46208</v>
      </c>
      <c r="J1233" s="12" t="n">
        <v>46213</v>
      </c>
      <c r="K1233" s="2" t="n">
        <v>979</v>
      </c>
      <c r="L1233" s="2" t="inlineStr">
        <is>
          <t>Sea</t>
        </is>
      </c>
      <c r="M1233" s="2" t="inlineStr">
        <is>
          <t>No Delay</t>
        </is>
      </c>
      <c r="N1233" s="4">
        <f>IF(I1233&lt;=H1233,1,0)</f>
        <v/>
      </c>
      <c r="O1233" s="4">
        <f>IF(J1233&lt;=G1233,1,0)</f>
        <v/>
      </c>
      <c r="P1233" s="4">
        <f>MAX(0,I1233-H1233)</f>
        <v/>
      </c>
      <c r="Q1233" s="4">
        <f>MAX(0,J1233-G1233)</f>
        <v/>
      </c>
      <c r="R1233" s="4">
        <f>IF(AND(N1233=1,O1233=1),"On Track",IF(O1233=0,"Customer Delivery Late","Ship Late"))</f>
        <v/>
      </c>
    </row>
    <row r="1234">
      <c r="A1234" s="2" t="inlineStr">
        <is>
          <t>ORD-01233</t>
        </is>
      </c>
      <c r="B1234" s="2" t="inlineStr">
        <is>
          <t>Customer 28</t>
        </is>
      </c>
      <c r="C1234" s="2" t="inlineStr">
        <is>
          <t>Sensor</t>
        </is>
      </c>
      <c r="D1234" s="2" t="inlineStr">
        <is>
          <t>Plant B</t>
        </is>
      </c>
      <c r="E1234" s="2" t="inlineStr">
        <is>
          <t>Central</t>
        </is>
      </c>
      <c r="F1234" s="12" t="n">
        <v>46031</v>
      </c>
      <c r="G1234" s="12" t="n">
        <v>46047</v>
      </c>
      <c r="H1234" s="12" t="n">
        <v>46045</v>
      </c>
      <c r="I1234" s="12" t="n">
        <v>46044</v>
      </c>
      <c r="J1234" s="12" t="n">
        <v>46045</v>
      </c>
      <c r="K1234" s="2" t="n">
        <v>1029</v>
      </c>
      <c r="L1234" s="2" t="inlineStr">
        <is>
          <t>Air</t>
        </is>
      </c>
      <c r="M1234" s="2" t="inlineStr">
        <is>
          <t>No Delay</t>
        </is>
      </c>
      <c r="N1234" s="4">
        <f>IF(I1234&lt;=H1234,1,0)</f>
        <v/>
      </c>
      <c r="O1234" s="4">
        <f>IF(J1234&lt;=G1234,1,0)</f>
        <v/>
      </c>
      <c r="P1234" s="4">
        <f>MAX(0,I1234-H1234)</f>
        <v/>
      </c>
      <c r="Q1234" s="4">
        <f>MAX(0,J1234-G1234)</f>
        <v/>
      </c>
      <c r="R1234" s="4">
        <f>IF(AND(N1234=1,O1234=1),"On Track",IF(O1234=0,"Customer Delivery Late","Ship Late"))</f>
        <v/>
      </c>
    </row>
    <row r="1235">
      <c r="A1235" s="2" t="inlineStr">
        <is>
          <t>ORD-01234</t>
        </is>
      </c>
      <c r="B1235" s="2" t="inlineStr">
        <is>
          <t>Customer 25</t>
        </is>
      </c>
      <c r="C1235" s="2" t="inlineStr">
        <is>
          <t>Relay</t>
        </is>
      </c>
      <c r="D1235" s="2" t="inlineStr">
        <is>
          <t>Plant A</t>
        </is>
      </c>
      <c r="E1235" s="2" t="inlineStr">
        <is>
          <t>Central</t>
        </is>
      </c>
      <c r="F1235" s="12" t="n">
        <v>46191</v>
      </c>
      <c r="G1235" s="12" t="n">
        <v>46208</v>
      </c>
      <c r="H1235" s="12" t="n">
        <v>46205</v>
      </c>
      <c r="I1235" s="12" t="n">
        <v>46204</v>
      </c>
      <c r="J1235" s="12" t="n">
        <v>46207</v>
      </c>
      <c r="K1235" s="2" t="n">
        <v>523</v>
      </c>
      <c r="L1235" s="2" t="inlineStr">
        <is>
          <t>Air</t>
        </is>
      </c>
      <c r="M1235" s="2" t="inlineStr">
        <is>
          <t>No Delay</t>
        </is>
      </c>
      <c r="N1235" s="4">
        <f>IF(I1235&lt;=H1235,1,0)</f>
        <v/>
      </c>
      <c r="O1235" s="4">
        <f>IF(J1235&lt;=G1235,1,0)</f>
        <v/>
      </c>
      <c r="P1235" s="4">
        <f>MAX(0,I1235-H1235)</f>
        <v/>
      </c>
      <c r="Q1235" s="4">
        <f>MAX(0,J1235-G1235)</f>
        <v/>
      </c>
      <c r="R1235" s="4">
        <f>IF(AND(N1235=1,O1235=1),"On Track",IF(O1235=0,"Customer Delivery Late","Ship Late"))</f>
        <v/>
      </c>
    </row>
    <row r="1236">
      <c r="A1236" s="2" t="inlineStr">
        <is>
          <t>ORD-01235</t>
        </is>
      </c>
      <c r="B1236" s="2" t="inlineStr">
        <is>
          <t>Customer 09</t>
        </is>
      </c>
      <c r="C1236" s="2" t="inlineStr">
        <is>
          <t>PLC</t>
        </is>
      </c>
      <c r="D1236" s="2" t="inlineStr">
        <is>
          <t>Plant C</t>
        </is>
      </c>
      <c r="E1236" s="2" t="inlineStr">
        <is>
          <t>Central</t>
        </is>
      </c>
      <c r="F1236" s="12" t="n">
        <v>46046</v>
      </c>
      <c r="G1236" s="12" t="n">
        <v>46066</v>
      </c>
      <c r="H1236" s="12" t="n">
        <v>46063</v>
      </c>
      <c r="I1236" s="12" t="n">
        <v>46061</v>
      </c>
      <c r="J1236" s="12" t="n">
        <v>46065</v>
      </c>
      <c r="K1236" s="2" t="n">
        <v>865</v>
      </c>
      <c r="L1236" s="2" t="inlineStr">
        <is>
          <t>Road</t>
        </is>
      </c>
      <c r="M1236" s="2" t="inlineStr">
        <is>
          <t>No Delay</t>
        </is>
      </c>
      <c r="N1236" s="4">
        <f>IF(I1236&lt;=H1236,1,0)</f>
        <v/>
      </c>
      <c r="O1236" s="4">
        <f>IF(J1236&lt;=G1236,1,0)</f>
        <v/>
      </c>
      <c r="P1236" s="4">
        <f>MAX(0,I1236-H1236)</f>
        <v/>
      </c>
      <c r="Q1236" s="4">
        <f>MAX(0,J1236-G1236)</f>
        <v/>
      </c>
      <c r="R1236" s="4">
        <f>IF(AND(N1236=1,O1236=1),"On Track",IF(O1236=0,"Customer Delivery Late","Ship Late"))</f>
        <v/>
      </c>
    </row>
    <row r="1237">
      <c r="A1237" s="2" t="inlineStr">
        <is>
          <t>ORD-01236</t>
        </is>
      </c>
      <c r="B1237" s="2" t="inlineStr">
        <is>
          <t>Customer 07</t>
        </is>
      </c>
      <c r="C1237" s="2" t="inlineStr">
        <is>
          <t>PLC</t>
        </is>
      </c>
      <c r="D1237" s="2" t="inlineStr">
        <is>
          <t>Plant A</t>
        </is>
      </c>
      <c r="E1237" s="2" t="inlineStr">
        <is>
          <t>South</t>
        </is>
      </c>
      <c r="F1237" s="12" t="n">
        <v>46025</v>
      </c>
      <c r="G1237" s="12" t="n">
        <v>46050</v>
      </c>
      <c r="H1237" s="12" t="n">
        <v>46047</v>
      </c>
      <c r="I1237" s="12" t="n">
        <v>46047</v>
      </c>
      <c r="J1237" s="12" t="n">
        <v>46054</v>
      </c>
      <c r="K1237" s="2" t="n">
        <v>1403</v>
      </c>
      <c r="L1237" s="2" t="inlineStr">
        <is>
          <t>Sea</t>
        </is>
      </c>
      <c r="M1237" s="2" t="inlineStr">
        <is>
          <t>Capacity Constraint</t>
        </is>
      </c>
      <c r="N1237" s="4">
        <f>IF(I1237&lt;=H1237,1,0)</f>
        <v/>
      </c>
      <c r="O1237" s="4">
        <f>IF(J1237&lt;=G1237,1,0)</f>
        <v/>
      </c>
      <c r="P1237" s="4">
        <f>MAX(0,I1237-H1237)</f>
        <v/>
      </c>
      <c r="Q1237" s="4">
        <f>MAX(0,J1237-G1237)</f>
        <v/>
      </c>
      <c r="R1237" s="4">
        <f>IF(AND(N1237=1,O1237=1),"On Track",IF(O1237=0,"Customer Delivery Late","Ship Late"))</f>
        <v/>
      </c>
    </row>
    <row r="1238">
      <c r="A1238" s="2" t="inlineStr">
        <is>
          <t>ORD-01237</t>
        </is>
      </c>
      <c r="B1238" s="2" t="inlineStr">
        <is>
          <t>Customer 24</t>
        </is>
      </c>
      <c r="C1238" s="2" t="inlineStr">
        <is>
          <t>Breaker</t>
        </is>
      </c>
      <c r="D1238" s="2" t="inlineStr">
        <is>
          <t>Plant B</t>
        </is>
      </c>
      <c r="E1238" s="2" t="inlineStr">
        <is>
          <t>South</t>
        </is>
      </c>
      <c r="F1238" s="12" t="n">
        <v>46152</v>
      </c>
      <c r="G1238" s="12" t="n">
        <v>46165</v>
      </c>
      <c r="H1238" s="12" t="n">
        <v>46160</v>
      </c>
      <c r="I1238" s="12" t="n">
        <v>46160</v>
      </c>
      <c r="J1238" s="12" t="n">
        <v>46165</v>
      </c>
      <c r="K1238" s="2" t="n">
        <v>1113</v>
      </c>
      <c r="L1238" s="2" t="inlineStr">
        <is>
          <t>Air</t>
        </is>
      </c>
      <c r="M1238" s="2" t="inlineStr">
        <is>
          <t>No Delay</t>
        </is>
      </c>
      <c r="N1238" s="4">
        <f>IF(I1238&lt;=H1238,1,0)</f>
        <v/>
      </c>
      <c r="O1238" s="4">
        <f>IF(J1238&lt;=G1238,1,0)</f>
        <v/>
      </c>
      <c r="P1238" s="4">
        <f>MAX(0,I1238-H1238)</f>
        <v/>
      </c>
      <c r="Q1238" s="4">
        <f>MAX(0,J1238-G1238)</f>
        <v/>
      </c>
      <c r="R1238" s="4">
        <f>IF(AND(N1238=1,O1238=1),"On Track",IF(O1238=0,"Customer Delivery Late","Ship Late"))</f>
        <v/>
      </c>
    </row>
    <row r="1239">
      <c r="A1239" s="2" t="inlineStr">
        <is>
          <t>ORD-01238</t>
        </is>
      </c>
      <c r="B1239" s="2" t="inlineStr">
        <is>
          <t>Customer 14</t>
        </is>
      </c>
      <c r="C1239" s="2" t="inlineStr">
        <is>
          <t>Switchgear</t>
        </is>
      </c>
      <c r="D1239" s="2" t="inlineStr">
        <is>
          <t>Plant C</t>
        </is>
      </c>
      <c r="E1239" s="2" t="inlineStr">
        <is>
          <t>Central</t>
        </is>
      </c>
      <c r="F1239" s="12" t="n">
        <v>46034</v>
      </c>
      <c r="G1239" s="12" t="n">
        <v>46048</v>
      </c>
      <c r="H1239" s="12" t="n">
        <v>46045</v>
      </c>
      <c r="I1239" s="12" t="n">
        <v>46045</v>
      </c>
      <c r="J1239" s="12" t="n">
        <v>46048</v>
      </c>
      <c r="K1239" s="2" t="n">
        <v>655</v>
      </c>
      <c r="L1239" s="2" t="inlineStr">
        <is>
          <t>Sea</t>
        </is>
      </c>
      <c r="M1239" s="2" t="inlineStr">
        <is>
          <t>No Delay</t>
        </is>
      </c>
      <c r="N1239" s="4">
        <f>IF(I1239&lt;=H1239,1,0)</f>
        <v/>
      </c>
      <c r="O1239" s="4">
        <f>IF(J1239&lt;=G1239,1,0)</f>
        <v/>
      </c>
      <c r="P1239" s="4">
        <f>MAX(0,I1239-H1239)</f>
        <v/>
      </c>
      <c r="Q1239" s="4">
        <f>MAX(0,J1239-G1239)</f>
        <v/>
      </c>
      <c r="R1239" s="4">
        <f>IF(AND(N1239=1,O1239=1),"On Track",IF(O1239=0,"Customer Delivery Late","Ship Late"))</f>
        <v/>
      </c>
    </row>
    <row r="1240">
      <c r="A1240" s="2" t="inlineStr">
        <is>
          <t>ORD-01239</t>
        </is>
      </c>
      <c r="B1240" s="2" t="inlineStr">
        <is>
          <t>Customer 19</t>
        </is>
      </c>
      <c r="C1240" s="2" t="inlineStr">
        <is>
          <t>Sensor</t>
        </is>
      </c>
      <c r="D1240" s="2" t="inlineStr">
        <is>
          <t>Plant B</t>
        </is>
      </c>
      <c r="E1240" s="2" t="inlineStr">
        <is>
          <t>South</t>
        </is>
      </c>
      <c r="F1240" s="12" t="n">
        <v>46080</v>
      </c>
      <c r="G1240" s="12" t="n">
        <v>46099</v>
      </c>
      <c r="H1240" s="12" t="n">
        <v>46096</v>
      </c>
      <c r="I1240" s="12" t="n">
        <v>46096</v>
      </c>
      <c r="J1240" s="12" t="n">
        <v>46099</v>
      </c>
      <c r="K1240" s="2" t="n">
        <v>18</v>
      </c>
      <c r="L1240" s="2" t="inlineStr">
        <is>
          <t>Sea</t>
        </is>
      </c>
      <c r="M1240" s="2" t="inlineStr">
        <is>
          <t>No Delay</t>
        </is>
      </c>
      <c r="N1240" s="4">
        <f>IF(I1240&lt;=H1240,1,0)</f>
        <v/>
      </c>
      <c r="O1240" s="4">
        <f>IF(J1240&lt;=G1240,1,0)</f>
        <v/>
      </c>
      <c r="P1240" s="4">
        <f>MAX(0,I1240-H1240)</f>
        <v/>
      </c>
      <c r="Q1240" s="4">
        <f>MAX(0,J1240-G1240)</f>
        <v/>
      </c>
      <c r="R1240" s="4">
        <f>IF(AND(N1240=1,O1240=1),"On Track",IF(O1240=0,"Customer Delivery Late","Ship Late"))</f>
        <v/>
      </c>
    </row>
    <row r="1241">
      <c r="A1241" s="2" t="inlineStr">
        <is>
          <t>ORD-01240</t>
        </is>
      </c>
      <c r="B1241" s="2" t="inlineStr">
        <is>
          <t>Customer 26</t>
        </is>
      </c>
      <c r="C1241" s="2" t="inlineStr">
        <is>
          <t>Sensor</t>
        </is>
      </c>
      <c r="D1241" s="2" t="inlineStr">
        <is>
          <t>Plant C</t>
        </is>
      </c>
      <c r="E1241" s="2" t="inlineStr">
        <is>
          <t>Export</t>
        </is>
      </c>
      <c r="F1241" s="12" t="n">
        <v>46081</v>
      </c>
      <c r="G1241" s="12" t="n">
        <v>46087</v>
      </c>
      <c r="H1241" s="12" t="n">
        <v>46085</v>
      </c>
      <c r="I1241" s="12" t="n">
        <v>46084</v>
      </c>
      <c r="J1241" s="12" t="n">
        <v>46088</v>
      </c>
      <c r="K1241" s="2" t="n">
        <v>43</v>
      </c>
      <c r="L1241" s="2" t="inlineStr">
        <is>
          <t>Sea</t>
        </is>
      </c>
      <c r="M1241" s="2" t="inlineStr">
        <is>
          <t>Material Shortage</t>
        </is>
      </c>
      <c r="N1241" s="4">
        <f>IF(I1241&lt;=H1241,1,0)</f>
        <v/>
      </c>
      <c r="O1241" s="4">
        <f>IF(J1241&lt;=G1241,1,0)</f>
        <v/>
      </c>
      <c r="P1241" s="4">
        <f>MAX(0,I1241-H1241)</f>
        <v/>
      </c>
      <c r="Q1241" s="4">
        <f>MAX(0,J1241-G1241)</f>
        <v/>
      </c>
      <c r="R1241" s="4">
        <f>IF(AND(N1241=1,O1241=1),"On Track",IF(O1241=0,"Customer Delivery Late","Ship Late"))</f>
        <v/>
      </c>
    </row>
    <row r="1242">
      <c r="A1242" s="2" t="inlineStr">
        <is>
          <t>ORD-01241</t>
        </is>
      </c>
      <c r="B1242" s="2" t="inlineStr">
        <is>
          <t>Customer 10</t>
        </is>
      </c>
      <c r="C1242" s="2" t="inlineStr">
        <is>
          <t>Contactor</t>
        </is>
      </c>
      <c r="D1242" s="2" t="inlineStr">
        <is>
          <t>Plant A</t>
        </is>
      </c>
      <c r="E1242" s="2" t="inlineStr">
        <is>
          <t>Export</t>
        </is>
      </c>
      <c r="F1242" s="12" t="n">
        <v>46186</v>
      </c>
      <c r="G1242" s="12" t="n">
        <v>46200</v>
      </c>
      <c r="H1242" s="12" t="n">
        <v>46195</v>
      </c>
      <c r="I1242" s="12" t="n">
        <v>46194</v>
      </c>
      <c r="J1242" s="12" t="n">
        <v>46200</v>
      </c>
      <c r="K1242" s="2" t="n">
        <v>1158</v>
      </c>
      <c r="L1242" s="2" t="inlineStr">
        <is>
          <t>Sea</t>
        </is>
      </c>
      <c r="M1242" s="2" t="inlineStr">
        <is>
          <t>No Delay</t>
        </is>
      </c>
      <c r="N1242" s="4">
        <f>IF(I1242&lt;=H1242,1,0)</f>
        <v/>
      </c>
      <c r="O1242" s="4">
        <f>IF(J1242&lt;=G1242,1,0)</f>
        <v/>
      </c>
      <c r="P1242" s="4">
        <f>MAX(0,I1242-H1242)</f>
        <v/>
      </c>
      <c r="Q1242" s="4">
        <f>MAX(0,J1242-G1242)</f>
        <v/>
      </c>
      <c r="R1242" s="4">
        <f>IF(AND(N1242=1,O1242=1),"On Track",IF(O1242=0,"Customer Delivery Late","Ship Late"))</f>
        <v/>
      </c>
    </row>
    <row r="1243">
      <c r="A1243" s="2" t="inlineStr">
        <is>
          <t>ORD-01242</t>
        </is>
      </c>
      <c r="B1243" s="2" t="inlineStr">
        <is>
          <t>Customer 08</t>
        </is>
      </c>
      <c r="C1243" s="2" t="inlineStr">
        <is>
          <t>Switchgear</t>
        </is>
      </c>
      <c r="D1243" s="2" t="inlineStr">
        <is>
          <t>Plant A</t>
        </is>
      </c>
      <c r="E1243" s="2" t="inlineStr">
        <is>
          <t>North</t>
        </is>
      </c>
      <c r="F1243" s="12" t="n">
        <v>46107</v>
      </c>
      <c r="G1243" s="12" t="n">
        <v>46117</v>
      </c>
      <c r="H1243" s="12" t="n">
        <v>46112</v>
      </c>
      <c r="I1243" s="12" t="n">
        <v>46110</v>
      </c>
      <c r="J1243" s="12" t="n">
        <v>46114</v>
      </c>
      <c r="K1243" s="2" t="n">
        <v>275</v>
      </c>
      <c r="L1243" s="2" t="inlineStr">
        <is>
          <t>Sea</t>
        </is>
      </c>
      <c r="M1243" s="2" t="inlineStr">
        <is>
          <t>No Delay</t>
        </is>
      </c>
      <c r="N1243" s="4">
        <f>IF(I1243&lt;=H1243,1,0)</f>
        <v/>
      </c>
      <c r="O1243" s="4">
        <f>IF(J1243&lt;=G1243,1,0)</f>
        <v/>
      </c>
      <c r="P1243" s="4">
        <f>MAX(0,I1243-H1243)</f>
        <v/>
      </c>
      <c r="Q1243" s="4">
        <f>MAX(0,J1243-G1243)</f>
        <v/>
      </c>
      <c r="R1243" s="4">
        <f>IF(AND(N1243=1,O1243=1),"On Track",IF(O1243=0,"Customer Delivery Late","Ship Late"))</f>
        <v/>
      </c>
    </row>
    <row r="1244">
      <c r="A1244" s="2" t="inlineStr">
        <is>
          <t>ORD-01243</t>
        </is>
      </c>
      <c r="B1244" s="2" t="inlineStr">
        <is>
          <t>Customer 06</t>
        </is>
      </c>
      <c r="C1244" s="2" t="inlineStr">
        <is>
          <t>Drive</t>
        </is>
      </c>
      <c r="D1244" s="2" t="inlineStr">
        <is>
          <t>Plant A</t>
        </is>
      </c>
      <c r="E1244" s="2" t="inlineStr">
        <is>
          <t>South</t>
        </is>
      </c>
      <c r="F1244" s="12" t="n">
        <v>46089</v>
      </c>
      <c r="G1244" s="12" t="n">
        <v>46099</v>
      </c>
      <c r="H1244" s="12" t="n">
        <v>46096</v>
      </c>
      <c r="I1244" s="12" t="n">
        <v>46095</v>
      </c>
      <c r="J1244" s="12" t="n">
        <v>46098</v>
      </c>
      <c r="K1244" s="2" t="n">
        <v>643</v>
      </c>
      <c r="L1244" s="2" t="inlineStr">
        <is>
          <t>Sea</t>
        </is>
      </c>
      <c r="M1244" s="2" t="inlineStr">
        <is>
          <t>No Delay</t>
        </is>
      </c>
      <c r="N1244" s="4">
        <f>IF(I1244&lt;=H1244,1,0)</f>
        <v/>
      </c>
      <c r="O1244" s="4">
        <f>IF(J1244&lt;=G1244,1,0)</f>
        <v/>
      </c>
      <c r="P1244" s="4">
        <f>MAX(0,I1244-H1244)</f>
        <v/>
      </c>
      <c r="Q1244" s="4">
        <f>MAX(0,J1244-G1244)</f>
        <v/>
      </c>
      <c r="R1244" s="4">
        <f>IF(AND(N1244=1,O1244=1),"On Track",IF(O1244=0,"Customer Delivery Late","Ship Late"))</f>
        <v/>
      </c>
    </row>
    <row r="1245">
      <c r="A1245" s="2" t="inlineStr">
        <is>
          <t>ORD-01244</t>
        </is>
      </c>
      <c r="B1245" s="2" t="inlineStr">
        <is>
          <t>Customer 03</t>
        </is>
      </c>
      <c r="C1245" s="2" t="inlineStr">
        <is>
          <t>Sensor</t>
        </is>
      </c>
      <c r="D1245" s="2" t="inlineStr">
        <is>
          <t>Plant A</t>
        </is>
      </c>
      <c r="E1245" s="2" t="inlineStr">
        <is>
          <t>North</t>
        </is>
      </c>
      <c r="F1245" s="12" t="n">
        <v>46200</v>
      </c>
      <c r="G1245" s="12" t="n">
        <v>46222</v>
      </c>
      <c r="H1245" s="12" t="n">
        <v>46221</v>
      </c>
      <c r="I1245" s="12" t="n">
        <v>46219</v>
      </c>
      <c r="J1245" s="12" t="n">
        <v>46220</v>
      </c>
      <c r="K1245" s="2" t="n">
        <v>934</v>
      </c>
      <c r="L1245" s="2" t="inlineStr">
        <is>
          <t>Air</t>
        </is>
      </c>
      <c r="M1245" s="2" t="inlineStr">
        <is>
          <t>No Delay</t>
        </is>
      </c>
      <c r="N1245" s="4">
        <f>IF(I1245&lt;=H1245,1,0)</f>
        <v/>
      </c>
      <c r="O1245" s="4">
        <f>IF(J1245&lt;=G1245,1,0)</f>
        <v/>
      </c>
      <c r="P1245" s="4">
        <f>MAX(0,I1245-H1245)</f>
        <v/>
      </c>
      <c r="Q1245" s="4">
        <f>MAX(0,J1245-G1245)</f>
        <v/>
      </c>
      <c r="R1245" s="4">
        <f>IF(AND(N1245=1,O1245=1),"On Track",IF(O1245=0,"Customer Delivery Late","Ship Late"))</f>
        <v/>
      </c>
    </row>
    <row r="1246">
      <c r="A1246" s="2" t="inlineStr">
        <is>
          <t>ORD-01245</t>
        </is>
      </c>
      <c r="B1246" s="2" t="inlineStr">
        <is>
          <t>Customer 03</t>
        </is>
      </c>
      <c r="C1246" s="2" t="inlineStr">
        <is>
          <t>Drive</t>
        </is>
      </c>
      <c r="D1246" s="2" t="inlineStr">
        <is>
          <t>Plant A</t>
        </is>
      </c>
      <c r="E1246" s="2" t="inlineStr">
        <is>
          <t>South</t>
        </is>
      </c>
      <c r="F1246" s="12" t="n">
        <v>46054</v>
      </c>
      <c r="G1246" s="12" t="n">
        <v>46075</v>
      </c>
      <c r="H1246" s="12" t="n">
        <v>46070</v>
      </c>
      <c r="I1246" s="12" t="n">
        <v>46068</v>
      </c>
      <c r="J1246" s="12" t="n">
        <v>46074</v>
      </c>
      <c r="K1246" s="2" t="n">
        <v>371</v>
      </c>
      <c r="L1246" s="2" t="inlineStr">
        <is>
          <t>Air</t>
        </is>
      </c>
      <c r="M1246" s="2" t="inlineStr">
        <is>
          <t>No Delay</t>
        </is>
      </c>
      <c r="N1246" s="4">
        <f>IF(I1246&lt;=H1246,1,0)</f>
        <v/>
      </c>
      <c r="O1246" s="4">
        <f>IF(J1246&lt;=G1246,1,0)</f>
        <v/>
      </c>
      <c r="P1246" s="4">
        <f>MAX(0,I1246-H1246)</f>
        <v/>
      </c>
      <c r="Q1246" s="4">
        <f>MAX(0,J1246-G1246)</f>
        <v/>
      </c>
      <c r="R1246" s="4">
        <f>IF(AND(N1246=1,O1246=1),"On Track",IF(O1246=0,"Customer Delivery Late","Ship Late"))</f>
        <v/>
      </c>
    </row>
    <row r="1247">
      <c r="A1247" s="2" t="inlineStr">
        <is>
          <t>ORD-01246</t>
        </is>
      </c>
      <c r="B1247" s="2" t="inlineStr">
        <is>
          <t>Customer 11</t>
        </is>
      </c>
      <c r="C1247" s="2" t="inlineStr">
        <is>
          <t>Relay</t>
        </is>
      </c>
      <c r="D1247" s="2" t="inlineStr">
        <is>
          <t>Plant C</t>
        </is>
      </c>
      <c r="E1247" s="2" t="inlineStr">
        <is>
          <t>Central</t>
        </is>
      </c>
      <c r="F1247" s="12" t="n">
        <v>46071</v>
      </c>
      <c r="G1247" s="12" t="n">
        <v>46093</v>
      </c>
      <c r="H1247" s="12" t="n">
        <v>46090</v>
      </c>
      <c r="I1247" s="12" t="n">
        <v>46090</v>
      </c>
      <c r="J1247" s="12" t="n">
        <v>46092</v>
      </c>
      <c r="K1247" s="2" t="n">
        <v>990</v>
      </c>
      <c r="L1247" s="2" t="inlineStr">
        <is>
          <t>Sea</t>
        </is>
      </c>
      <c r="M1247" s="2" t="inlineStr">
        <is>
          <t>No Delay</t>
        </is>
      </c>
      <c r="N1247" s="4">
        <f>IF(I1247&lt;=H1247,1,0)</f>
        <v/>
      </c>
      <c r="O1247" s="4">
        <f>IF(J1247&lt;=G1247,1,0)</f>
        <v/>
      </c>
      <c r="P1247" s="4">
        <f>MAX(0,I1247-H1247)</f>
        <v/>
      </c>
      <c r="Q1247" s="4">
        <f>MAX(0,J1247-G1247)</f>
        <v/>
      </c>
      <c r="R1247" s="4">
        <f>IF(AND(N1247=1,O1247=1),"On Track",IF(O1247=0,"Customer Delivery Late","Ship Late"))</f>
        <v/>
      </c>
    </row>
    <row r="1248">
      <c r="A1248" s="2" t="inlineStr">
        <is>
          <t>ORD-01247</t>
        </is>
      </c>
      <c r="B1248" s="2" t="inlineStr">
        <is>
          <t>Customer 13</t>
        </is>
      </c>
      <c r="C1248" s="2" t="inlineStr">
        <is>
          <t>PLC</t>
        </is>
      </c>
      <c r="D1248" s="2" t="inlineStr">
        <is>
          <t>Plant A</t>
        </is>
      </c>
      <c r="E1248" s="2" t="inlineStr">
        <is>
          <t>Central</t>
        </is>
      </c>
      <c r="F1248" s="12" t="n">
        <v>46112</v>
      </c>
      <c r="G1248" s="12" t="n">
        <v>46117</v>
      </c>
      <c r="H1248" s="12" t="n">
        <v>46114</v>
      </c>
      <c r="I1248" s="12" t="n">
        <v>46113</v>
      </c>
      <c r="J1248" s="12" t="n">
        <v>46117</v>
      </c>
      <c r="K1248" s="2" t="n">
        <v>1281</v>
      </c>
      <c r="L1248" s="2" t="inlineStr">
        <is>
          <t>Sea</t>
        </is>
      </c>
      <c r="M1248" s="2" t="inlineStr">
        <is>
          <t>No Delay</t>
        </is>
      </c>
      <c r="N1248" s="4">
        <f>IF(I1248&lt;=H1248,1,0)</f>
        <v/>
      </c>
      <c r="O1248" s="4">
        <f>IF(J1248&lt;=G1248,1,0)</f>
        <v/>
      </c>
      <c r="P1248" s="4">
        <f>MAX(0,I1248-H1248)</f>
        <v/>
      </c>
      <c r="Q1248" s="4">
        <f>MAX(0,J1248-G1248)</f>
        <v/>
      </c>
      <c r="R1248" s="4">
        <f>IF(AND(N1248=1,O1248=1),"On Track",IF(O1248=0,"Customer Delivery Late","Ship Late"))</f>
        <v/>
      </c>
    </row>
    <row r="1249">
      <c r="A1249" s="2" t="inlineStr">
        <is>
          <t>ORD-01248</t>
        </is>
      </c>
      <c r="B1249" s="2" t="inlineStr">
        <is>
          <t>Customer 11</t>
        </is>
      </c>
      <c r="C1249" s="2" t="inlineStr">
        <is>
          <t>Drive</t>
        </is>
      </c>
      <c r="D1249" s="2" t="inlineStr">
        <is>
          <t>Plant A</t>
        </is>
      </c>
      <c r="E1249" s="2" t="inlineStr">
        <is>
          <t>North</t>
        </is>
      </c>
      <c r="F1249" s="12" t="n">
        <v>46146</v>
      </c>
      <c r="G1249" s="12" t="n">
        <v>46169</v>
      </c>
      <c r="H1249" s="12" t="n">
        <v>46168</v>
      </c>
      <c r="I1249" s="12" t="n">
        <v>46172</v>
      </c>
      <c r="J1249" s="12" t="n">
        <v>46174</v>
      </c>
      <c r="K1249" s="2" t="n">
        <v>84</v>
      </c>
      <c r="L1249" s="2" t="inlineStr">
        <is>
          <t>Air</t>
        </is>
      </c>
      <c r="M1249" s="2" t="inlineStr">
        <is>
          <t>Documentation Issue</t>
        </is>
      </c>
      <c r="N1249" s="4">
        <f>IF(I1249&lt;=H1249,1,0)</f>
        <v/>
      </c>
      <c r="O1249" s="4">
        <f>IF(J1249&lt;=G1249,1,0)</f>
        <v/>
      </c>
      <c r="P1249" s="4">
        <f>MAX(0,I1249-H1249)</f>
        <v/>
      </c>
      <c r="Q1249" s="4">
        <f>MAX(0,J1249-G1249)</f>
        <v/>
      </c>
      <c r="R1249" s="4">
        <f>IF(AND(N1249=1,O1249=1),"On Track",IF(O1249=0,"Customer Delivery Late","Ship Late"))</f>
        <v/>
      </c>
    </row>
    <row r="1250">
      <c r="A1250" s="2" t="inlineStr">
        <is>
          <t>ORD-01249</t>
        </is>
      </c>
      <c r="B1250" s="2" t="inlineStr">
        <is>
          <t>Customer 27</t>
        </is>
      </c>
      <c r="C1250" s="2" t="inlineStr">
        <is>
          <t>Breaker</t>
        </is>
      </c>
      <c r="D1250" s="2" t="inlineStr">
        <is>
          <t>Plant B</t>
        </is>
      </c>
      <c r="E1250" s="2" t="inlineStr">
        <is>
          <t>Export</t>
        </is>
      </c>
      <c r="F1250" s="12" t="n">
        <v>46071</v>
      </c>
      <c r="G1250" s="12" t="n">
        <v>46076</v>
      </c>
      <c r="H1250" s="12" t="n">
        <v>46071</v>
      </c>
      <c r="I1250" s="12" t="n">
        <v>46071</v>
      </c>
      <c r="J1250" s="12" t="n">
        <v>46076</v>
      </c>
      <c r="K1250" s="2" t="n">
        <v>184</v>
      </c>
      <c r="L1250" s="2" t="inlineStr">
        <is>
          <t>Road</t>
        </is>
      </c>
      <c r="M1250" s="2" t="inlineStr">
        <is>
          <t>No Delay</t>
        </is>
      </c>
      <c r="N1250" s="4">
        <f>IF(I1250&lt;=H1250,1,0)</f>
        <v/>
      </c>
      <c r="O1250" s="4">
        <f>IF(J1250&lt;=G1250,1,0)</f>
        <v/>
      </c>
      <c r="P1250" s="4">
        <f>MAX(0,I1250-H1250)</f>
        <v/>
      </c>
      <c r="Q1250" s="4">
        <f>MAX(0,J1250-G1250)</f>
        <v/>
      </c>
      <c r="R1250" s="4">
        <f>IF(AND(N1250=1,O1250=1),"On Track",IF(O1250=0,"Customer Delivery Late","Ship Late"))</f>
        <v/>
      </c>
    </row>
    <row r="1251">
      <c r="A1251" s="2" t="inlineStr">
        <is>
          <t>ORD-01250</t>
        </is>
      </c>
      <c r="B1251" s="2" t="inlineStr">
        <is>
          <t>Customer 18</t>
        </is>
      </c>
      <c r="C1251" s="2" t="inlineStr">
        <is>
          <t>Drive</t>
        </is>
      </c>
      <c r="D1251" s="2" t="inlineStr">
        <is>
          <t>Plant A</t>
        </is>
      </c>
      <c r="E1251" s="2" t="inlineStr">
        <is>
          <t>North</t>
        </is>
      </c>
      <c r="F1251" s="12" t="n">
        <v>46047</v>
      </c>
      <c r="G1251" s="12" t="n">
        <v>46071</v>
      </c>
      <c r="H1251" s="12" t="n">
        <v>46066</v>
      </c>
      <c r="I1251" s="12" t="n">
        <v>46064</v>
      </c>
      <c r="J1251" s="12" t="n">
        <v>46069</v>
      </c>
      <c r="K1251" s="2" t="n">
        <v>1316</v>
      </c>
      <c r="L1251" s="2" t="inlineStr">
        <is>
          <t>Air</t>
        </is>
      </c>
      <c r="M1251" s="2" t="inlineStr">
        <is>
          <t>No Delay</t>
        </is>
      </c>
      <c r="N1251" s="4">
        <f>IF(I1251&lt;=H1251,1,0)</f>
        <v/>
      </c>
      <c r="O1251" s="4">
        <f>IF(J1251&lt;=G1251,1,0)</f>
        <v/>
      </c>
      <c r="P1251" s="4">
        <f>MAX(0,I1251-H1251)</f>
        <v/>
      </c>
      <c r="Q1251" s="4">
        <f>MAX(0,J1251-G1251)</f>
        <v/>
      </c>
      <c r="R1251" s="4">
        <f>IF(AND(N1251=1,O1251=1),"On Track",IF(O1251=0,"Customer Delivery Late","Ship Late"))</f>
        <v/>
      </c>
    </row>
    <row r="1252">
      <c r="A1252" s="2" t="inlineStr">
        <is>
          <t>ORD-01251</t>
        </is>
      </c>
      <c r="B1252" s="2" t="inlineStr">
        <is>
          <t>Customer 10</t>
        </is>
      </c>
      <c r="C1252" s="2" t="inlineStr">
        <is>
          <t>Relay</t>
        </is>
      </c>
      <c r="D1252" s="2" t="inlineStr">
        <is>
          <t>Plant C</t>
        </is>
      </c>
      <c r="E1252" s="2" t="inlineStr">
        <is>
          <t>South</t>
        </is>
      </c>
      <c r="F1252" s="12" t="n">
        <v>46085</v>
      </c>
      <c r="G1252" s="12" t="n">
        <v>46099</v>
      </c>
      <c r="H1252" s="12" t="n">
        <v>46094</v>
      </c>
      <c r="I1252" s="12" t="n">
        <v>46093</v>
      </c>
      <c r="J1252" s="12" t="n">
        <v>46097</v>
      </c>
      <c r="K1252" s="2" t="n">
        <v>787</v>
      </c>
      <c r="L1252" s="2" t="inlineStr">
        <is>
          <t>Road</t>
        </is>
      </c>
      <c r="M1252" s="2" t="inlineStr">
        <is>
          <t>No Delay</t>
        </is>
      </c>
      <c r="N1252" s="4">
        <f>IF(I1252&lt;=H1252,1,0)</f>
        <v/>
      </c>
      <c r="O1252" s="4">
        <f>IF(J1252&lt;=G1252,1,0)</f>
        <v/>
      </c>
      <c r="P1252" s="4">
        <f>MAX(0,I1252-H1252)</f>
        <v/>
      </c>
      <c r="Q1252" s="4">
        <f>MAX(0,J1252-G1252)</f>
        <v/>
      </c>
      <c r="R1252" s="4">
        <f>IF(AND(N1252=1,O1252=1),"On Track",IF(O1252=0,"Customer Delivery Late","Ship Late"))</f>
        <v/>
      </c>
    </row>
    <row r="1253">
      <c r="A1253" s="2" t="inlineStr">
        <is>
          <t>ORD-01252</t>
        </is>
      </c>
      <c r="B1253" s="2" t="inlineStr">
        <is>
          <t>Customer 14</t>
        </is>
      </c>
      <c r="C1253" s="2" t="inlineStr">
        <is>
          <t>Breaker</t>
        </is>
      </c>
      <c r="D1253" s="2" t="inlineStr">
        <is>
          <t>Plant A</t>
        </is>
      </c>
      <c r="E1253" s="2" t="inlineStr">
        <is>
          <t>South</t>
        </is>
      </c>
      <c r="F1253" s="12" t="n">
        <v>46094</v>
      </c>
      <c r="G1253" s="12" t="n">
        <v>46109</v>
      </c>
      <c r="H1253" s="12" t="n">
        <v>46105</v>
      </c>
      <c r="I1253" s="12" t="n">
        <v>46111</v>
      </c>
      <c r="J1253" s="12" t="n">
        <v>46115</v>
      </c>
      <c r="K1253" s="2" t="n">
        <v>681</v>
      </c>
      <c r="L1253" s="2" t="inlineStr">
        <is>
          <t>Road</t>
        </is>
      </c>
      <c r="M1253" s="2" t="inlineStr">
        <is>
          <t>Carrier Delay</t>
        </is>
      </c>
      <c r="N1253" s="4">
        <f>IF(I1253&lt;=H1253,1,0)</f>
        <v/>
      </c>
      <c r="O1253" s="4">
        <f>IF(J1253&lt;=G1253,1,0)</f>
        <v/>
      </c>
      <c r="P1253" s="4">
        <f>MAX(0,I1253-H1253)</f>
        <v/>
      </c>
      <c r="Q1253" s="4">
        <f>MAX(0,J1253-G1253)</f>
        <v/>
      </c>
      <c r="R1253" s="4">
        <f>IF(AND(N1253=1,O1253=1),"On Track",IF(O1253=0,"Customer Delivery Late","Ship Late"))</f>
        <v/>
      </c>
    </row>
    <row r="1254">
      <c r="A1254" s="2" t="inlineStr">
        <is>
          <t>ORD-01253</t>
        </is>
      </c>
      <c r="B1254" s="2" t="inlineStr">
        <is>
          <t>Customer 09</t>
        </is>
      </c>
      <c r="C1254" s="2" t="inlineStr">
        <is>
          <t>Drive</t>
        </is>
      </c>
      <c r="D1254" s="2" t="inlineStr">
        <is>
          <t>Plant B</t>
        </is>
      </c>
      <c r="E1254" s="2" t="inlineStr">
        <is>
          <t>North</t>
        </is>
      </c>
      <c r="F1254" s="12" t="n">
        <v>46046</v>
      </c>
      <c r="G1254" s="12" t="n">
        <v>46055</v>
      </c>
      <c r="H1254" s="12" t="n">
        <v>46050</v>
      </c>
      <c r="I1254" s="12" t="n">
        <v>46048</v>
      </c>
      <c r="J1254" s="12" t="n">
        <v>46052</v>
      </c>
      <c r="K1254" s="2" t="n">
        <v>384</v>
      </c>
      <c r="L1254" s="2" t="inlineStr">
        <is>
          <t>Sea</t>
        </is>
      </c>
      <c r="M1254" s="2" t="inlineStr">
        <is>
          <t>No Delay</t>
        </is>
      </c>
      <c r="N1254" s="4">
        <f>IF(I1254&lt;=H1254,1,0)</f>
        <v/>
      </c>
      <c r="O1254" s="4">
        <f>IF(J1254&lt;=G1254,1,0)</f>
        <v/>
      </c>
      <c r="P1254" s="4">
        <f>MAX(0,I1254-H1254)</f>
        <v/>
      </c>
      <c r="Q1254" s="4">
        <f>MAX(0,J1254-G1254)</f>
        <v/>
      </c>
      <c r="R1254" s="4">
        <f>IF(AND(N1254=1,O1254=1),"On Track",IF(O1254=0,"Customer Delivery Late","Ship Late"))</f>
        <v/>
      </c>
    </row>
    <row r="1255">
      <c r="A1255" s="2" t="inlineStr">
        <is>
          <t>ORD-01254</t>
        </is>
      </c>
      <c r="B1255" s="2" t="inlineStr">
        <is>
          <t>Customer 30</t>
        </is>
      </c>
      <c r="C1255" s="2" t="inlineStr">
        <is>
          <t>Contactor</t>
        </is>
      </c>
      <c r="D1255" s="2" t="inlineStr">
        <is>
          <t>Plant C</t>
        </is>
      </c>
      <c r="E1255" s="2" t="inlineStr">
        <is>
          <t>South</t>
        </is>
      </c>
      <c r="F1255" s="12" t="n">
        <v>46077</v>
      </c>
      <c r="G1255" s="12" t="n">
        <v>46100</v>
      </c>
      <c r="H1255" s="12" t="n">
        <v>46099</v>
      </c>
      <c r="I1255" s="12" t="n">
        <v>46098</v>
      </c>
      <c r="J1255" s="12" t="n">
        <v>46100</v>
      </c>
      <c r="K1255" s="2" t="n">
        <v>1141</v>
      </c>
      <c r="L1255" s="2" t="inlineStr">
        <is>
          <t>Sea</t>
        </is>
      </c>
      <c r="M1255" s="2" t="inlineStr">
        <is>
          <t>No Delay</t>
        </is>
      </c>
      <c r="N1255" s="4">
        <f>IF(I1255&lt;=H1255,1,0)</f>
        <v/>
      </c>
      <c r="O1255" s="4">
        <f>IF(J1255&lt;=G1255,1,0)</f>
        <v/>
      </c>
      <c r="P1255" s="4">
        <f>MAX(0,I1255-H1255)</f>
        <v/>
      </c>
      <c r="Q1255" s="4">
        <f>MAX(0,J1255-G1255)</f>
        <v/>
      </c>
      <c r="R1255" s="4">
        <f>IF(AND(N1255=1,O1255=1),"On Track",IF(O1255=0,"Customer Delivery Late","Ship Late"))</f>
        <v/>
      </c>
    </row>
    <row r="1256">
      <c r="A1256" s="2" t="inlineStr">
        <is>
          <t>ORD-01255</t>
        </is>
      </c>
      <c r="B1256" s="2" t="inlineStr">
        <is>
          <t>Customer 11</t>
        </is>
      </c>
      <c r="C1256" s="2" t="inlineStr">
        <is>
          <t>Sensor</t>
        </is>
      </c>
      <c r="D1256" s="2" t="inlineStr">
        <is>
          <t>Plant C</t>
        </is>
      </c>
      <c r="E1256" s="2" t="inlineStr">
        <is>
          <t>North</t>
        </is>
      </c>
      <c r="F1256" s="12" t="n">
        <v>46099</v>
      </c>
      <c r="G1256" s="12" t="n">
        <v>46107</v>
      </c>
      <c r="H1256" s="12" t="n">
        <v>46103</v>
      </c>
      <c r="I1256" s="12" t="n">
        <v>46101</v>
      </c>
      <c r="J1256" s="12" t="n">
        <v>46105</v>
      </c>
      <c r="K1256" s="2" t="n">
        <v>290</v>
      </c>
      <c r="L1256" s="2" t="inlineStr">
        <is>
          <t>Road</t>
        </is>
      </c>
      <c r="M1256" s="2" t="inlineStr">
        <is>
          <t>No Delay</t>
        </is>
      </c>
      <c r="N1256" s="4">
        <f>IF(I1256&lt;=H1256,1,0)</f>
        <v/>
      </c>
      <c r="O1256" s="4">
        <f>IF(J1256&lt;=G1256,1,0)</f>
        <v/>
      </c>
      <c r="P1256" s="4">
        <f>MAX(0,I1256-H1256)</f>
        <v/>
      </c>
      <c r="Q1256" s="4">
        <f>MAX(0,J1256-G1256)</f>
        <v/>
      </c>
      <c r="R1256" s="4">
        <f>IF(AND(N1256=1,O1256=1),"On Track",IF(O1256=0,"Customer Delivery Late","Ship Late"))</f>
        <v/>
      </c>
    </row>
    <row r="1257">
      <c r="A1257" s="2" t="inlineStr">
        <is>
          <t>ORD-01256</t>
        </is>
      </c>
      <c r="B1257" s="2" t="inlineStr">
        <is>
          <t>Customer 13</t>
        </is>
      </c>
      <c r="C1257" s="2" t="inlineStr">
        <is>
          <t>Contactor</t>
        </is>
      </c>
      <c r="D1257" s="2" t="inlineStr">
        <is>
          <t>Plant B</t>
        </is>
      </c>
      <c r="E1257" s="2" t="inlineStr">
        <is>
          <t>Central</t>
        </is>
      </c>
      <c r="F1257" s="12" t="n">
        <v>46047</v>
      </c>
      <c r="G1257" s="12" t="n">
        <v>46070</v>
      </c>
      <c r="H1257" s="12" t="n">
        <v>46069</v>
      </c>
      <c r="I1257" s="12" t="n">
        <v>46068</v>
      </c>
      <c r="J1257" s="12" t="n">
        <v>46069</v>
      </c>
      <c r="K1257" s="2" t="n">
        <v>1220</v>
      </c>
      <c r="L1257" s="2" t="inlineStr">
        <is>
          <t>Sea</t>
        </is>
      </c>
      <c r="M1257" s="2" t="inlineStr">
        <is>
          <t>No Delay</t>
        </is>
      </c>
      <c r="N1257" s="4">
        <f>IF(I1257&lt;=H1257,1,0)</f>
        <v/>
      </c>
      <c r="O1257" s="4">
        <f>IF(J1257&lt;=G1257,1,0)</f>
        <v/>
      </c>
      <c r="P1257" s="4">
        <f>MAX(0,I1257-H1257)</f>
        <v/>
      </c>
      <c r="Q1257" s="4">
        <f>MAX(0,J1257-G1257)</f>
        <v/>
      </c>
      <c r="R1257" s="4">
        <f>IF(AND(N1257=1,O1257=1),"On Track",IF(O1257=0,"Customer Delivery Late","Ship Late"))</f>
        <v/>
      </c>
    </row>
    <row r="1258">
      <c r="A1258" s="2" t="inlineStr">
        <is>
          <t>ORD-01257</t>
        </is>
      </c>
      <c r="B1258" s="2" t="inlineStr">
        <is>
          <t>Customer 24</t>
        </is>
      </c>
      <c r="C1258" s="2" t="inlineStr">
        <is>
          <t>Relay</t>
        </is>
      </c>
      <c r="D1258" s="2" t="inlineStr">
        <is>
          <t>Plant A</t>
        </is>
      </c>
      <c r="E1258" s="2" t="inlineStr">
        <is>
          <t>Central</t>
        </is>
      </c>
      <c r="F1258" s="12" t="n">
        <v>46086</v>
      </c>
      <c r="G1258" s="12" t="n">
        <v>46093</v>
      </c>
      <c r="H1258" s="12" t="n">
        <v>46090</v>
      </c>
      <c r="I1258" s="12" t="n">
        <v>46090</v>
      </c>
      <c r="J1258" s="12" t="n">
        <v>46092</v>
      </c>
      <c r="K1258" s="2" t="n">
        <v>845</v>
      </c>
      <c r="L1258" s="2" t="inlineStr">
        <is>
          <t>Road</t>
        </is>
      </c>
      <c r="M1258" s="2" t="inlineStr">
        <is>
          <t>No Delay</t>
        </is>
      </c>
      <c r="N1258" s="4">
        <f>IF(I1258&lt;=H1258,1,0)</f>
        <v/>
      </c>
      <c r="O1258" s="4">
        <f>IF(J1258&lt;=G1258,1,0)</f>
        <v/>
      </c>
      <c r="P1258" s="4">
        <f>MAX(0,I1258-H1258)</f>
        <v/>
      </c>
      <c r="Q1258" s="4">
        <f>MAX(0,J1258-G1258)</f>
        <v/>
      </c>
      <c r="R1258" s="4">
        <f>IF(AND(N1258=1,O1258=1),"On Track",IF(O1258=0,"Customer Delivery Late","Ship Late"))</f>
        <v/>
      </c>
    </row>
    <row r="1259">
      <c r="A1259" s="2" t="inlineStr">
        <is>
          <t>ORD-01258</t>
        </is>
      </c>
      <c r="B1259" s="2" t="inlineStr">
        <is>
          <t>Customer 02</t>
        </is>
      </c>
      <c r="C1259" s="2" t="inlineStr">
        <is>
          <t>Power Supply</t>
        </is>
      </c>
      <c r="D1259" s="2" t="inlineStr">
        <is>
          <t>Plant A</t>
        </is>
      </c>
      <c r="E1259" s="2" t="inlineStr">
        <is>
          <t>Export</t>
        </is>
      </c>
      <c r="F1259" s="12" t="n">
        <v>46197</v>
      </c>
      <c r="G1259" s="12" t="n">
        <v>46218</v>
      </c>
      <c r="H1259" s="12" t="n">
        <v>46215</v>
      </c>
      <c r="I1259" s="12" t="n">
        <v>46215</v>
      </c>
      <c r="J1259" s="12" t="n">
        <v>46218</v>
      </c>
      <c r="K1259" s="2" t="n">
        <v>404</v>
      </c>
      <c r="L1259" s="2" t="inlineStr">
        <is>
          <t>Sea</t>
        </is>
      </c>
      <c r="M1259" s="2" t="inlineStr">
        <is>
          <t>No Delay</t>
        </is>
      </c>
      <c r="N1259" s="4">
        <f>IF(I1259&lt;=H1259,1,0)</f>
        <v/>
      </c>
      <c r="O1259" s="4">
        <f>IF(J1259&lt;=G1259,1,0)</f>
        <v/>
      </c>
      <c r="P1259" s="4">
        <f>MAX(0,I1259-H1259)</f>
        <v/>
      </c>
      <c r="Q1259" s="4">
        <f>MAX(0,J1259-G1259)</f>
        <v/>
      </c>
      <c r="R1259" s="4">
        <f>IF(AND(N1259=1,O1259=1),"On Track",IF(O1259=0,"Customer Delivery Late","Ship Late"))</f>
        <v/>
      </c>
    </row>
    <row r="1260">
      <c r="A1260" s="2" t="inlineStr">
        <is>
          <t>ORD-01259</t>
        </is>
      </c>
      <c r="B1260" s="2" t="inlineStr">
        <is>
          <t>Customer 20</t>
        </is>
      </c>
      <c r="C1260" s="2" t="inlineStr">
        <is>
          <t>Contactor</t>
        </is>
      </c>
      <c r="D1260" s="2" t="inlineStr">
        <is>
          <t>Plant C</t>
        </is>
      </c>
      <c r="E1260" s="2" t="inlineStr">
        <is>
          <t>Export</t>
        </is>
      </c>
      <c r="F1260" s="12" t="n">
        <v>46097</v>
      </c>
      <c r="G1260" s="12" t="n">
        <v>46113</v>
      </c>
      <c r="H1260" s="12" t="n">
        <v>46111</v>
      </c>
      <c r="I1260" s="12" t="n">
        <v>46111</v>
      </c>
      <c r="J1260" s="12" t="n">
        <v>46114</v>
      </c>
      <c r="K1260" s="2" t="n">
        <v>532</v>
      </c>
      <c r="L1260" s="2" t="inlineStr">
        <is>
          <t>Sea</t>
        </is>
      </c>
      <c r="M1260" s="2" t="inlineStr">
        <is>
          <t>Production Delay</t>
        </is>
      </c>
      <c r="N1260" s="4">
        <f>IF(I1260&lt;=H1260,1,0)</f>
        <v/>
      </c>
      <c r="O1260" s="4">
        <f>IF(J1260&lt;=G1260,1,0)</f>
        <v/>
      </c>
      <c r="P1260" s="4">
        <f>MAX(0,I1260-H1260)</f>
        <v/>
      </c>
      <c r="Q1260" s="4">
        <f>MAX(0,J1260-G1260)</f>
        <v/>
      </c>
      <c r="R1260" s="4">
        <f>IF(AND(N1260=1,O1260=1),"On Track",IF(O1260=0,"Customer Delivery Late","Ship Late"))</f>
        <v/>
      </c>
    </row>
    <row r="1261">
      <c r="A1261" s="2" t="inlineStr">
        <is>
          <t>ORD-01260</t>
        </is>
      </c>
      <c r="B1261" s="2" t="inlineStr">
        <is>
          <t>Customer 06</t>
        </is>
      </c>
      <c r="C1261" s="2" t="inlineStr">
        <is>
          <t>Contactor</t>
        </is>
      </c>
      <c r="D1261" s="2" t="inlineStr">
        <is>
          <t>Plant C</t>
        </is>
      </c>
      <c r="E1261" s="2" t="inlineStr">
        <is>
          <t>Central</t>
        </is>
      </c>
      <c r="F1261" s="12" t="n">
        <v>46177</v>
      </c>
      <c r="G1261" s="12" t="n">
        <v>46197</v>
      </c>
      <c r="H1261" s="12" t="n">
        <v>46196</v>
      </c>
      <c r="I1261" s="12" t="n">
        <v>46203</v>
      </c>
      <c r="J1261" s="12" t="n">
        <v>46204</v>
      </c>
      <c r="K1261" s="2" t="n">
        <v>281</v>
      </c>
      <c r="L1261" s="2" t="inlineStr">
        <is>
          <t>Sea</t>
        </is>
      </c>
      <c r="M1261" s="2" t="inlineStr">
        <is>
          <t>Capacity Constraint</t>
        </is>
      </c>
      <c r="N1261" s="4">
        <f>IF(I1261&lt;=H1261,1,0)</f>
        <v/>
      </c>
      <c r="O1261" s="4">
        <f>IF(J1261&lt;=G1261,1,0)</f>
        <v/>
      </c>
      <c r="P1261" s="4">
        <f>MAX(0,I1261-H1261)</f>
        <v/>
      </c>
      <c r="Q1261" s="4">
        <f>MAX(0,J1261-G1261)</f>
        <v/>
      </c>
      <c r="R1261" s="4">
        <f>IF(AND(N1261=1,O1261=1),"On Track",IF(O1261=0,"Customer Delivery Late","Ship Late"))</f>
        <v/>
      </c>
    </row>
    <row r="1262">
      <c r="A1262" s="2" t="inlineStr">
        <is>
          <t>ORD-01261</t>
        </is>
      </c>
      <c r="B1262" s="2" t="inlineStr">
        <is>
          <t>Customer 07</t>
        </is>
      </c>
      <c r="C1262" s="2" t="inlineStr">
        <is>
          <t>Sensor</t>
        </is>
      </c>
      <c r="D1262" s="2" t="inlineStr">
        <is>
          <t>Plant A</t>
        </is>
      </c>
      <c r="E1262" s="2" t="inlineStr">
        <is>
          <t>North</t>
        </is>
      </c>
      <c r="F1262" s="12" t="n">
        <v>46033</v>
      </c>
      <c r="G1262" s="12" t="n">
        <v>46045</v>
      </c>
      <c r="H1262" s="12" t="n">
        <v>46043</v>
      </c>
      <c r="I1262" s="12" t="n">
        <v>46043</v>
      </c>
      <c r="J1262" s="12" t="n">
        <v>46045</v>
      </c>
      <c r="K1262" s="2" t="n">
        <v>1344</v>
      </c>
      <c r="L1262" s="2" t="inlineStr">
        <is>
          <t>Road</t>
        </is>
      </c>
      <c r="M1262" s="2" t="inlineStr">
        <is>
          <t>No Delay</t>
        </is>
      </c>
      <c r="N1262" s="4">
        <f>IF(I1262&lt;=H1262,1,0)</f>
        <v/>
      </c>
      <c r="O1262" s="4">
        <f>IF(J1262&lt;=G1262,1,0)</f>
        <v/>
      </c>
      <c r="P1262" s="4">
        <f>MAX(0,I1262-H1262)</f>
        <v/>
      </c>
      <c r="Q1262" s="4">
        <f>MAX(0,J1262-G1262)</f>
        <v/>
      </c>
      <c r="R1262" s="4">
        <f>IF(AND(N1262=1,O1262=1),"On Track",IF(O1262=0,"Customer Delivery Late","Ship Late"))</f>
        <v/>
      </c>
    </row>
    <row r="1263">
      <c r="A1263" s="2" t="inlineStr">
        <is>
          <t>ORD-01262</t>
        </is>
      </c>
      <c r="B1263" s="2" t="inlineStr">
        <is>
          <t>Customer 21</t>
        </is>
      </c>
      <c r="C1263" s="2" t="inlineStr">
        <is>
          <t>Contactor</t>
        </is>
      </c>
      <c r="D1263" s="2" t="inlineStr">
        <is>
          <t>Plant B</t>
        </is>
      </c>
      <c r="E1263" s="2" t="inlineStr">
        <is>
          <t>South</t>
        </is>
      </c>
      <c r="F1263" s="12" t="n">
        <v>46051</v>
      </c>
      <c r="G1263" s="12" t="n">
        <v>46056</v>
      </c>
      <c r="H1263" s="12" t="n">
        <v>46052</v>
      </c>
      <c r="I1263" s="12" t="n">
        <v>46050</v>
      </c>
      <c r="J1263" s="12" t="n">
        <v>46054</v>
      </c>
      <c r="K1263" s="2" t="n">
        <v>851</v>
      </c>
      <c r="L1263" s="2" t="inlineStr">
        <is>
          <t>Air</t>
        </is>
      </c>
      <c r="M1263" s="2" t="inlineStr">
        <is>
          <t>No Delay</t>
        </is>
      </c>
      <c r="N1263" s="4">
        <f>IF(I1263&lt;=H1263,1,0)</f>
        <v/>
      </c>
      <c r="O1263" s="4">
        <f>IF(J1263&lt;=G1263,1,0)</f>
        <v/>
      </c>
      <c r="P1263" s="4">
        <f>MAX(0,I1263-H1263)</f>
        <v/>
      </c>
      <c r="Q1263" s="4">
        <f>MAX(0,J1263-G1263)</f>
        <v/>
      </c>
      <c r="R1263" s="4">
        <f>IF(AND(N1263=1,O1263=1),"On Track",IF(O1263=0,"Customer Delivery Late","Ship Late"))</f>
        <v/>
      </c>
    </row>
    <row r="1264">
      <c r="A1264" s="2" t="inlineStr">
        <is>
          <t>ORD-01263</t>
        </is>
      </c>
      <c r="B1264" s="2" t="inlineStr">
        <is>
          <t>Customer 07</t>
        </is>
      </c>
      <c r="C1264" s="2" t="inlineStr">
        <is>
          <t>PLC</t>
        </is>
      </c>
      <c r="D1264" s="2" t="inlineStr">
        <is>
          <t>Plant B</t>
        </is>
      </c>
      <c r="E1264" s="2" t="inlineStr">
        <is>
          <t>Export</t>
        </is>
      </c>
      <c r="F1264" s="12" t="n">
        <v>46191</v>
      </c>
      <c r="G1264" s="12" t="n">
        <v>46212</v>
      </c>
      <c r="H1264" s="12" t="n">
        <v>46209</v>
      </c>
      <c r="I1264" s="12" t="n">
        <v>46207</v>
      </c>
      <c r="J1264" s="12" t="n">
        <v>46210</v>
      </c>
      <c r="K1264" s="2" t="n">
        <v>570</v>
      </c>
      <c r="L1264" s="2" t="inlineStr">
        <is>
          <t>Air</t>
        </is>
      </c>
      <c r="M1264" s="2" t="inlineStr">
        <is>
          <t>No Delay</t>
        </is>
      </c>
      <c r="N1264" s="4">
        <f>IF(I1264&lt;=H1264,1,0)</f>
        <v/>
      </c>
      <c r="O1264" s="4">
        <f>IF(J1264&lt;=G1264,1,0)</f>
        <v/>
      </c>
      <c r="P1264" s="4">
        <f>MAX(0,I1264-H1264)</f>
        <v/>
      </c>
      <c r="Q1264" s="4">
        <f>MAX(0,J1264-G1264)</f>
        <v/>
      </c>
      <c r="R1264" s="4">
        <f>IF(AND(N1264=1,O1264=1),"On Track",IF(O1264=0,"Customer Delivery Late","Ship Late"))</f>
        <v/>
      </c>
    </row>
    <row r="1265">
      <c r="A1265" s="2" t="inlineStr">
        <is>
          <t>ORD-01264</t>
        </is>
      </c>
      <c r="B1265" s="2" t="inlineStr">
        <is>
          <t>Customer 17</t>
        </is>
      </c>
      <c r="C1265" s="2" t="inlineStr">
        <is>
          <t>Sensor</t>
        </is>
      </c>
      <c r="D1265" s="2" t="inlineStr">
        <is>
          <t>Plant A</t>
        </is>
      </c>
      <c r="E1265" s="2" t="inlineStr">
        <is>
          <t>Export</t>
        </is>
      </c>
      <c r="F1265" s="12" t="n">
        <v>46035</v>
      </c>
      <c r="G1265" s="12" t="n">
        <v>46048</v>
      </c>
      <c r="H1265" s="12" t="n">
        <v>46047</v>
      </c>
      <c r="I1265" s="12" t="n">
        <v>46045</v>
      </c>
      <c r="J1265" s="12" t="n">
        <v>46046</v>
      </c>
      <c r="K1265" s="2" t="n">
        <v>236</v>
      </c>
      <c r="L1265" s="2" t="inlineStr">
        <is>
          <t>Air</t>
        </is>
      </c>
      <c r="M1265" s="2" t="inlineStr">
        <is>
          <t>No Delay</t>
        </is>
      </c>
      <c r="N1265" s="4">
        <f>IF(I1265&lt;=H1265,1,0)</f>
        <v/>
      </c>
      <c r="O1265" s="4">
        <f>IF(J1265&lt;=G1265,1,0)</f>
        <v/>
      </c>
      <c r="P1265" s="4">
        <f>MAX(0,I1265-H1265)</f>
        <v/>
      </c>
      <c r="Q1265" s="4">
        <f>MAX(0,J1265-G1265)</f>
        <v/>
      </c>
      <c r="R1265" s="4">
        <f>IF(AND(N1265=1,O1265=1),"On Track",IF(O1265=0,"Customer Delivery Late","Ship Late"))</f>
        <v/>
      </c>
    </row>
    <row r="1266">
      <c r="A1266" s="2" t="inlineStr">
        <is>
          <t>ORD-01265</t>
        </is>
      </c>
      <c r="B1266" s="2" t="inlineStr">
        <is>
          <t>Customer 15</t>
        </is>
      </c>
      <c r="C1266" s="2" t="inlineStr">
        <is>
          <t>Drive</t>
        </is>
      </c>
      <c r="D1266" s="2" t="inlineStr">
        <is>
          <t>Plant B</t>
        </is>
      </c>
      <c r="E1266" s="2" t="inlineStr">
        <is>
          <t>Central</t>
        </is>
      </c>
      <c r="F1266" s="12" t="n">
        <v>46059</v>
      </c>
      <c r="G1266" s="12" t="n">
        <v>46073</v>
      </c>
      <c r="H1266" s="12" t="n">
        <v>46070</v>
      </c>
      <c r="I1266" s="12" t="n">
        <v>46068</v>
      </c>
      <c r="J1266" s="12" t="n">
        <v>46072</v>
      </c>
      <c r="K1266" s="2" t="n">
        <v>930</v>
      </c>
      <c r="L1266" s="2" t="inlineStr">
        <is>
          <t>Road</t>
        </is>
      </c>
      <c r="M1266" s="2" t="inlineStr">
        <is>
          <t>No Delay</t>
        </is>
      </c>
      <c r="N1266" s="4">
        <f>IF(I1266&lt;=H1266,1,0)</f>
        <v/>
      </c>
      <c r="O1266" s="4">
        <f>IF(J1266&lt;=G1266,1,0)</f>
        <v/>
      </c>
      <c r="P1266" s="4">
        <f>MAX(0,I1266-H1266)</f>
        <v/>
      </c>
      <c r="Q1266" s="4">
        <f>MAX(0,J1266-G1266)</f>
        <v/>
      </c>
      <c r="R1266" s="4">
        <f>IF(AND(N1266=1,O1266=1),"On Track",IF(O1266=0,"Customer Delivery Late","Ship Late"))</f>
        <v/>
      </c>
    </row>
    <row r="1267">
      <c r="A1267" s="2" t="inlineStr">
        <is>
          <t>ORD-01266</t>
        </is>
      </c>
      <c r="B1267" s="2" t="inlineStr">
        <is>
          <t>Customer 29</t>
        </is>
      </c>
      <c r="C1267" s="2" t="inlineStr">
        <is>
          <t>Relay</t>
        </is>
      </c>
      <c r="D1267" s="2" t="inlineStr">
        <is>
          <t>Plant A</t>
        </is>
      </c>
      <c r="E1267" s="2" t="inlineStr">
        <is>
          <t>Central</t>
        </is>
      </c>
      <c r="F1267" s="12" t="n">
        <v>46199</v>
      </c>
      <c r="G1267" s="12" t="n">
        <v>46212</v>
      </c>
      <c r="H1267" s="12" t="n">
        <v>46208</v>
      </c>
      <c r="I1267" s="12" t="n">
        <v>46207</v>
      </c>
      <c r="J1267" s="12" t="n">
        <v>46211</v>
      </c>
      <c r="K1267" s="2" t="n">
        <v>1331</v>
      </c>
      <c r="L1267" s="2" t="inlineStr">
        <is>
          <t>Air</t>
        </is>
      </c>
      <c r="M1267" s="2" t="inlineStr">
        <is>
          <t>No Delay</t>
        </is>
      </c>
      <c r="N1267" s="4">
        <f>IF(I1267&lt;=H1267,1,0)</f>
        <v/>
      </c>
      <c r="O1267" s="4">
        <f>IF(J1267&lt;=G1267,1,0)</f>
        <v/>
      </c>
      <c r="P1267" s="4">
        <f>MAX(0,I1267-H1267)</f>
        <v/>
      </c>
      <c r="Q1267" s="4">
        <f>MAX(0,J1267-G1267)</f>
        <v/>
      </c>
      <c r="R1267" s="4">
        <f>IF(AND(N1267=1,O1267=1),"On Track",IF(O1267=0,"Customer Delivery Late","Ship Late"))</f>
        <v/>
      </c>
    </row>
    <row r="1268">
      <c r="A1268" s="2" t="inlineStr">
        <is>
          <t>ORD-01267</t>
        </is>
      </c>
      <c r="B1268" s="2" t="inlineStr">
        <is>
          <t>Customer 17</t>
        </is>
      </c>
      <c r="C1268" s="2" t="inlineStr">
        <is>
          <t>Sensor</t>
        </is>
      </c>
      <c r="D1268" s="2" t="inlineStr">
        <is>
          <t>Plant C</t>
        </is>
      </c>
      <c r="E1268" s="2" t="inlineStr">
        <is>
          <t>North</t>
        </is>
      </c>
      <c r="F1268" s="12" t="n">
        <v>46121</v>
      </c>
      <c r="G1268" s="12" t="n">
        <v>46133</v>
      </c>
      <c r="H1268" s="12" t="n">
        <v>46128</v>
      </c>
      <c r="I1268" s="12" t="n">
        <v>46126</v>
      </c>
      <c r="J1268" s="12" t="n">
        <v>46131</v>
      </c>
      <c r="K1268" s="2" t="n">
        <v>566</v>
      </c>
      <c r="L1268" s="2" t="inlineStr">
        <is>
          <t>Sea</t>
        </is>
      </c>
      <c r="M1268" s="2" t="inlineStr">
        <is>
          <t>No Delay</t>
        </is>
      </c>
      <c r="N1268" s="4">
        <f>IF(I1268&lt;=H1268,1,0)</f>
        <v/>
      </c>
      <c r="O1268" s="4">
        <f>IF(J1268&lt;=G1268,1,0)</f>
        <v/>
      </c>
      <c r="P1268" s="4">
        <f>MAX(0,I1268-H1268)</f>
        <v/>
      </c>
      <c r="Q1268" s="4">
        <f>MAX(0,J1268-G1268)</f>
        <v/>
      </c>
      <c r="R1268" s="4">
        <f>IF(AND(N1268=1,O1268=1),"On Track",IF(O1268=0,"Customer Delivery Late","Ship Late"))</f>
        <v/>
      </c>
    </row>
    <row r="1269">
      <c r="A1269" s="2" t="inlineStr">
        <is>
          <t>ORD-01268</t>
        </is>
      </c>
      <c r="B1269" s="2" t="inlineStr">
        <is>
          <t>Customer 09</t>
        </is>
      </c>
      <c r="C1269" s="2" t="inlineStr">
        <is>
          <t>PLC</t>
        </is>
      </c>
      <c r="D1269" s="2" t="inlineStr">
        <is>
          <t>Plant C</t>
        </is>
      </c>
      <c r="E1269" s="2" t="inlineStr">
        <is>
          <t>Central</t>
        </is>
      </c>
      <c r="F1269" s="12" t="n">
        <v>46155</v>
      </c>
      <c r="G1269" s="12" t="n">
        <v>46169</v>
      </c>
      <c r="H1269" s="12" t="n">
        <v>46165</v>
      </c>
      <c r="I1269" s="12" t="n">
        <v>46165</v>
      </c>
      <c r="J1269" s="12" t="n">
        <v>46169</v>
      </c>
      <c r="K1269" s="2" t="n">
        <v>1295</v>
      </c>
      <c r="L1269" s="2" t="inlineStr">
        <is>
          <t>Air</t>
        </is>
      </c>
      <c r="M1269" s="2" t="inlineStr">
        <is>
          <t>No Delay</t>
        </is>
      </c>
      <c r="N1269" s="4">
        <f>IF(I1269&lt;=H1269,1,0)</f>
        <v/>
      </c>
      <c r="O1269" s="4">
        <f>IF(J1269&lt;=G1269,1,0)</f>
        <v/>
      </c>
      <c r="P1269" s="4">
        <f>MAX(0,I1269-H1269)</f>
        <v/>
      </c>
      <c r="Q1269" s="4">
        <f>MAX(0,J1269-G1269)</f>
        <v/>
      </c>
      <c r="R1269" s="4">
        <f>IF(AND(N1269=1,O1269=1),"On Track",IF(O1269=0,"Customer Delivery Late","Ship Late"))</f>
        <v/>
      </c>
    </row>
    <row r="1270">
      <c r="A1270" s="2" t="inlineStr">
        <is>
          <t>ORD-01269</t>
        </is>
      </c>
      <c r="B1270" s="2" t="inlineStr">
        <is>
          <t>Customer 16</t>
        </is>
      </c>
      <c r="C1270" s="2" t="inlineStr">
        <is>
          <t>PLC</t>
        </is>
      </c>
      <c r="D1270" s="2" t="inlineStr">
        <is>
          <t>Plant A</t>
        </is>
      </c>
      <c r="E1270" s="2" t="inlineStr">
        <is>
          <t>North</t>
        </is>
      </c>
      <c r="F1270" s="12" t="n">
        <v>46158</v>
      </c>
      <c r="G1270" s="12" t="n">
        <v>46163</v>
      </c>
      <c r="H1270" s="12" t="n">
        <v>46161</v>
      </c>
      <c r="I1270" s="12" t="n">
        <v>46160</v>
      </c>
      <c r="J1270" s="12" t="n">
        <v>46163</v>
      </c>
      <c r="K1270" s="2" t="n">
        <v>637</v>
      </c>
      <c r="L1270" s="2" t="inlineStr">
        <is>
          <t>Sea</t>
        </is>
      </c>
      <c r="M1270" s="2" t="inlineStr">
        <is>
          <t>No Delay</t>
        </is>
      </c>
      <c r="N1270" s="4">
        <f>IF(I1270&lt;=H1270,1,0)</f>
        <v/>
      </c>
      <c r="O1270" s="4">
        <f>IF(J1270&lt;=G1270,1,0)</f>
        <v/>
      </c>
      <c r="P1270" s="4">
        <f>MAX(0,I1270-H1270)</f>
        <v/>
      </c>
      <c r="Q1270" s="4">
        <f>MAX(0,J1270-G1270)</f>
        <v/>
      </c>
      <c r="R1270" s="4">
        <f>IF(AND(N1270=1,O1270=1),"On Track",IF(O1270=0,"Customer Delivery Late","Ship Late"))</f>
        <v/>
      </c>
    </row>
    <row r="1271">
      <c r="A1271" s="2" t="inlineStr">
        <is>
          <t>ORD-01270</t>
        </is>
      </c>
      <c r="B1271" s="2" t="inlineStr">
        <is>
          <t>Customer 04</t>
        </is>
      </c>
      <c r="C1271" s="2" t="inlineStr">
        <is>
          <t>Power Supply</t>
        </is>
      </c>
      <c r="D1271" s="2" t="inlineStr">
        <is>
          <t>Plant B</t>
        </is>
      </c>
      <c r="E1271" s="2" t="inlineStr">
        <is>
          <t>Central</t>
        </is>
      </c>
      <c r="F1271" s="12" t="n">
        <v>46131</v>
      </c>
      <c r="G1271" s="12" t="n">
        <v>46144</v>
      </c>
      <c r="H1271" s="12" t="n">
        <v>46141</v>
      </c>
      <c r="I1271" s="12" t="n">
        <v>46141</v>
      </c>
      <c r="J1271" s="12" t="n">
        <v>46145</v>
      </c>
      <c r="K1271" s="2" t="n">
        <v>511</v>
      </c>
      <c r="L1271" s="2" t="inlineStr">
        <is>
          <t>Air</t>
        </is>
      </c>
      <c r="M1271" s="2" t="inlineStr">
        <is>
          <t>Carrier Delay</t>
        </is>
      </c>
      <c r="N1271" s="4">
        <f>IF(I1271&lt;=H1271,1,0)</f>
        <v/>
      </c>
      <c r="O1271" s="4">
        <f>IF(J1271&lt;=G1271,1,0)</f>
        <v/>
      </c>
      <c r="P1271" s="4">
        <f>MAX(0,I1271-H1271)</f>
        <v/>
      </c>
      <c r="Q1271" s="4">
        <f>MAX(0,J1271-G1271)</f>
        <v/>
      </c>
      <c r="R1271" s="4">
        <f>IF(AND(N1271=1,O1271=1),"On Track",IF(O1271=0,"Customer Delivery Late","Ship Late"))</f>
        <v/>
      </c>
    </row>
    <row r="1272">
      <c r="A1272" s="2" t="inlineStr">
        <is>
          <t>ORD-01271</t>
        </is>
      </c>
      <c r="B1272" s="2" t="inlineStr">
        <is>
          <t>Customer 18</t>
        </is>
      </c>
      <c r="C1272" s="2" t="inlineStr">
        <is>
          <t>Breaker</t>
        </is>
      </c>
      <c r="D1272" s="2" t="inlineStr">
        <is>
          <t>Plant C</t>
        </is>
      </c>
      <c r="E1272" s="2" t="inlineStr">
        <is>
          <t>North</t>
        </is>
      </c>
      <c r="F1272" s="12" t="n">
        <v>46034</v>
      </c>
      <c r="G1272" s="12" t="n">
        <v>46049</v>
      </c>
      <c r="H1272" s="12" t="n">
        <v>46046</v>
      </c>
      <c r="I1272" s="12" t="n">
        <v>46044</v>
      </c>
      <c r="J1272" s="12" t="n">
        <v>46047</v>
      </c>
      <c r="K1272" s="2" t="n">
        <v>221</v>
      </c>
      <c r="L1272" s="2" t="inlineStr">
        <is>
          <t>Sea</t>
        </is>
      </c>
      <c r="M1272" s="2" t="inlineStr">
        <is>
          <t>No Delay</t>
        </is>
      </c>
      <c r="N1272" s="4">
        <f>IF(I1272&lt;=H1272,1,0)</f>
        <v/>
      </c>
      <c r="O1272" s="4">
        <f>IF(J1272&lt;=G1272,1,0)</f>
        <v/>
      </c>
      <c r="P1272" s="4">
        <f>MAX(0,I1272-H1272)</f>
        <v/>
      </c>
      <c r="Q1272" s="4">
        <f>MAX(0,J1272-G1272)</f>
        <v/>
      </c>
      <c r="R1272" s="4">
        <f>IF(AND(N1272=1,O1272=1),"On Track",IF(O1272=0,"Customer Delivery Late","Ship Late"))</f>
        <v/>
      </c>
    </row>
    <row r="1273">
      <c r="A1273" s="2" t="inlineStr">
        <is>
          <t>ORD-01272</t>
        </is>
      </c>
      <c r="B1273" s="2" t="inlineStr">
        <is>
          <t>Customer 24</t>
        </is>
      </c>
      <c r="C1273" s="2" t="inlineStr">
        <is>
          <t>Contactor</t>
        </is>
      </c>
      <c r="D1273" s="2" t="inlineStr">
        <is>
          <t>Plant A</t>
        </is>
      </c>
      <c r="E1273" s="2" t="inlineStr">
        <is>
          <t>Export</t>
        </is>
      </c>
      <c r="F1273" s="12" t="n">
        <v>46058</v>
      </c>
      <c r="G1273" s="12" t="n">
        <v>46070</v>
      </c>
      <c r="H1273" s="12" t="n">
        <v>46066</v>
      </c>
      <c r="I1273" s="12" t="n">
        <v>46064</v>
      </c>
      <c r="J1273" s="12" t="n">
        <v>46068</v>
      </c>
      <c r="K1273" s="2" t="n">
        <v>1481</v>
      </c>
      <c r="L1273" s="2" t="inlineStr">
        <is>
          <t>Road</t>
        </is>
      </c>
      <c r="M1273" s="2" t="inlineStr">
        <is>
          <t>No Delay</t>
        </is>
      </c>
      <c r="N1273" s="4">
        <f>IF(I1273&lt;=H1273,1,0)</f>
        <v/>
      </c>
      <c r="O1273" s="4">
        <f>IF(J1273&lt;=G1273,1,0)</f>
        <v/>
      </c>
      <c r="P1273" s="4">
        <f>MAX(0,I1273-H1273)</f>
        <v/>
      </c>
      <c r="Q1273" s="4">
        <f>MAX(0,J1273-G1273)</f>
        <v/>
      </c>
      <c r="R1273" s="4">
        <f>IF(AND(N1273=1,O1273=1),"On Track",IF(O1273=0,"Customer Delivery Late","Ship Late"))</f>
        <v/>
      </c>
    </row>
    <row r="1274">
      <c r="A1274" s="2" t="inlineStr">
        <is>
          <t>ORD-01273</t>
        </is>
      </c>
      <c r="B1274" s="2" t="inlineStr">
        <is>
          <t>Customer 14</t>
        </is>
      </c>
      <c r="C1274" s="2" t="inlineStr">
        <is>
          <t>Contactor</t>
        </is>
      </c>
      <c r="D1274" s="2" t="inlineStr">
        <is>
          <t>Plant B</t>
        </is>
      </c>
      <c r="E1274" s="2" t="inlineStr">
        <is>
          <t>Export</t>
        </is>
      </c>
      <c r="F1274" s="12" t="n">
        <v>46079</v>
      </c>
      <c r="G1274" s="12" t="n">
        <v>46090</v>
      </c>
      <c r="H1274" s="12" t="n">
        <v>46088</v>
      </c>
      <c r="I1274" s="12" t="n">
        <v>46086</v>
      </c>
      <c r="J1274" s="12" t="n">
        <v>46087</v>
      </c>
      <c r="K1274" s="2" t="n">
        <v>438</v>
      </c>
      <c r="L1274" s="2" t="inlineStr">
        <is>
          <t>Road</t>
        </is>
      </c>
      <c r="M1274" s="2" t="inlineStr">
        <is>
          <t>No Delay</t>
        </is>
      </c>
      <c r="N1274" s="4">
        <f>IF(I1274&lt;=H1274,1,0)</f>
        <v/>
      </c>
      <c r="O1274" s="4">
        <f>IF(J1274&lt;=G1274,1,0)</f>
        <v/>
      </c>
      <c r="P1274" s="4">
        <f>MAX(0,I1274-H1274)</f>
        <v/>
      </c>
      <c r="Q1274" s="4">
        <f>MAX(0,J1274-G1274)</f>
        <v/>
      </c>
      <c r="R1274" s="4">
        <f>IF(AND(N1274=1,O1274=1),"On Track",IF(O1274=0,"Customer Delivery Late","Ship Late"))</f>
        <v/>
      </c>
    </row>
    <row r="1275">
      <c r="A1275" s="2" t="inlineStr">
        <is>
          <t>ORD-01274</t>
        </is>
      </c>
      <c r="B1275" s="2" t="inlineStr">
        <is>
          <t>Customer 09</t>
        </is>
      </c>
      <c r="C1275" s="2" t="inlineStr">
        <is>
          <t>Relay</t>
        </is>
      </c>
      <c r="D1275" s="2" t="inlineStr">
        <is>
          <t>Plant C</t>
        </is>
      </c>
      <c r="E1275" s="2" t="inlineStr">
        <is>
          <t>North</t>
        </is>
      </c>
      <c r="F1275" s="12" t="n">
        <v>46110</v>
      </c>
      <c r="G1275" s="12" t="n">
        <v>46122</v>
      </c>
      <c r="H1275" s="12" t="n">
        <v>46117</v>
      </c>
      <c r="I1275" s="12" t="n">
        <v>46116</v>
      </c>
      <c r="J1275" s="12" t="n">
        <v>46120</v>
      </c>
      <c r="K1275" s="2" t="n">
        <v>1012</v>
      </c>
      <c r="L1275" s="2" t="inlineStr">
        <is>
          <t>Road</t>
        </is>
      </c>
      <c r="M1275" s="2" t="inlineStr">
        <is>
          <t>No Delay</t>
        </is>
      </c>
      <c r="N1275" s="4">
        <f>IF(I1275&lt;=H1275,1,0)</f>
        <v/>
      </c>
      <c r="O1275" s="4">
        <f>IF(J1275&lt;=G1275,1,0)</f>
        <v/>
      </c>
      <c r="P1275" s="4">
        <f>MAX(0,I1275-H1275)</f>
        <v/>
      </c>
      <c r="Q1275" s="4">
        <f>MAX(0,J1275-G1275)</f>
        <v/>
      </c>
      <c r="R1275" s="4">
        <f>IF(AND(N1275=1,O1275=1),"On Track",IF(O1275=0,"Customer Delivery Late","Ship Late"))</f>
        <v/>
      </c>
    </row>
    <row r="1276">
      <c r="A1276" s="2" t="inlineStr">
        <is>
          <t>ORD-01275</t>
        </is>
      </c>
      <c r="B1276" s="2" t="inlineStr">
        <is>
          <t>Customer 23</t>
        </is>
      </c>
      <c r="C1276" s="2" t="inlineStr">
        <is>
          <t>Drive</t>
        </is>
      </c>
      <c r="D1276" s="2" t="inlineStr">
        <is>
          <t>Plant B</t>
        </is>
      </c>
      <c r="E1276" s="2" t="inlineStr">
        <is>
          <t>Export</t>
        </is>
      </c>
      <c r="F1276" s="12" t="n">
        <v>46128</v>
      </c>
      <c r="G1276" s="12" t="n">
        <v>46143</v>
      </c>
      <c r="H1276" s="12" t="n">
        <v>46142</v>
      </c>
      <c r="I1276" s="12" t="n">
        <v>46142</v>
      </c>
      <c r="J1276" s="12" t="n">
        <v>46144</v>
      </c>
      <c r="K1276" s="2" t="n">
        <v>1149</v>
      </c>
      <c r="L1276" s="2" t="inlineStr">
        <is>
          <t>Sea</t>
        </is>
      </c>
      <c r="M1276" s="2" t="inlineStr">
        <is>
          <t>Documentation Issue</t>
        </is>
      </c>
      <c r="N1276" s="4">
        <f>IF(I1276&lt;=H1276,1,0)</f>
        <v/>
      </c>
      <c r="O1276" s="4">
        <f>IF(J1276&lt;=G1276,1,0)</f>
        <v/>
      </c>
      <c r="P1276" s="4">
        <f>MAX(0,I1276-H1276)</f>
        <v/>
      </c>
      <c r="Q1276" s="4">
        <f>MAX(0,J1276-G1276)</f>
        <v/>
      </c>
      <c r="R1276" s="4">
        <f>IF(AND(N1276=1,O1276=1),"On Track",IF(O1276=0,"Customer Delivery Late","Ship Late"))</f>
        <v/>
      </c>
    </row>
    <row r="1277">
      <c r="A1277" s="2" t="inlineStr">
        <is>
          <t>ORD-01276</t>
        </is>
      </c>
      <c r="B1277" s="2" t="inlineStr">
        <is>
          <t>Customer 08</t>
        </is>
      </c>
      <c r="C1277" s="2" t="inlineStr">
        <is>
          <t>Breaker</t>
        </is>
      </c>
      <c r="D1277" s="2" t="inlineStr">
        <is>
          <t>Plant C</t>
        </is>
      </c>
      <c r="E1277" s="2" t="inlineStr">
        <is>
          <t>Central</t>
        </is>
      </c>
      <c r="F1277" s="12" t="n">
        <v>46065</v>
      </c>
      <c r="G1277" s="12" t="n">
        <v>46070</v>
      </c>
      <c r="H1277" s="12" t="n">
        <v>46069</v>
      </c>
      <c r="I1277" s="12" t="n">
        <v>46070</v>
      </c>
      <c r="J1277" s="12" t="n">
        <v>46071</v>
      </c>
      <c r="K1277" s="2" t="n">
        <v>411</v>
      </c>
      <c r="L1277" s="2" t="inlineStr">
        <is>
          <t>Road</t>
        </is>
      </c>
      <c r="M1277" s="2" t="inlineStr">
        <is>
          <t>Production Delay</t>
        </is>
      </c>
      <c r="N1277" s="4">
        <f>IF(I1277&lt;=H1277,1,0)</f>
        <v/>
      </c>
      <c r="O1277" s="4">
        <f>IF(J1277&lt;=G1277,1,0)</f>
        <v/>
      </c>
      <c r="P1277" s="4">
        <f>MAX(0,I1277-H1277)</f>
        <v/>
      </c>
      <c r="Q1277" s="4">
        <f>MAX(0,J1277-G1277)</f>
        <v/>
      </c>
      <c r="R1277" s="4">
        <f>IF(AND(N1277=1,O1277=1),"On Track",IF(O1277=0,"Customer Delivery Late","Ship Late"))</f>
        <v/>
      </c>
    </row>
    <row r="1278">
      <c r="A1278" s="2" t="inlineStr">
        <is>
          <t>ORD-01277</t>
        </is>
      </c>
      <c r="B1278" s="2" t="inlineStr">
        <is>
          <t>Customer 02</t>
        </is>
      </c>
      <c r="C1278" s="2" t="inlineStr">
        <is>
          <t>Contactor</t>
        </is>
      </c>
      <c r="D1278" s="2" t="inlineStr">
        <is>
          <t>Plant C</t>
        </is>
      </c>
      <c r="E1278" s="2" t="inlineStr">
        <is>
          <t>Central</t>
        </is>
      </c>
      <c r="F1278" s="12" t="n">
        <v>46073</v>
      </c>
      <c r="G1278" s="12" t="n">
        <v>46082</v>
      </c>
      <c r="H1278" s="12" t="n">
        <v>46079</v>
      </c>
      <c r="I1278" s="12" t="n">
        <v>46079</v>
      </c>
      <c r="J1278" s="12" t="n">
        <v>46082</v>
      </c>
      <c r="K1278" s="2" t="n">
        <v>760</v>
      </c>
      <c r="L1278" s="2" t="inlineStr">
        <is>
          <t>Sea</t>
        </is>
      </c>
      <c r="M1278" s="2" t="inlineStr">
        <is>
          <t>No Delay</t>
        </is>
      </c>
      <c r="N1278" s="4">
        <f>IF(I1278&lt;=H1278,1,0)</f>
        <v/>
      </c>
      <c r="O1278" s="4">
        <f>IF(J1278&lt;=G1278,1,0)</f>
        <v/>
      </c>
      <c r="P1278" s="4">
        <f>MAX(0,I1278-H1278)</f>
        <v/>
      </c>
      <c r="Q1278" s="4">
        <f>MAX(0,J1278-G1278)</f>
        <v/>
      </c>
      <c r="R1278" s="4">
        <f>IF(AND(N1278=1,O1278=1),"On Track",IF(O1278=0,"Customer Delivery Late","Ship Late"))</f>
        <v/>
      </c>
    </row>
    <row r="1279">
      <c r="A1279" s="2" t="inlineStr">
        <is>
          <t>ORD-01278</t>
        </is>
      </c>
      <c r="B1279" s="2" t="inlineStr">
        <is>
          <t>Customer 18</t>
        </is>
      </c>
      <c r="C1279" s="2" t="inlineStr">
        <is>
          <t>Relay</t>
        </is>
      </c>
      <c r="D1279" s="2" t="inlineStr">
        <is>
          <t>Plant C</t>
        </is>
      </c>
      <c r="E1279" s="2" t="inlineStr">
        <is>
          <t>Export</t>
        </is>
      </c>
      <c r="F1279" s="12" t="n">
        <v>46099</v>
      </c>
      <c r="G1279" s="12" t="n">
        <v>46117</v>
      </c>
      <c r="H1279" s="12" t="n">
        <v>46115</v>
      </c>
      <c r="I1279" s="12" t="n">
        <v>46113</v>
      </c>
      <c r="J1279" s="12" t="n">
        <v>46120</v>
      </c>
      <c r="K1279" s="2" t="n">
        <v>232</v>
      </c>
      <c r="L1279" s="2" t="inlineStr">
        <is>
          <t>Road</t>
        </is>
      </c>
      <c r="M1279" s="2" t="inlineStr">
        <is>
          <t>Material Shortage</t>
        </is>
      </c>
      <c r="N1279" s="4">
        <f>IF(I1279&lt;=H1279,1,0)</f>
        <v/>
      </c>
      <c r="O1279" s="4">
        <f>IF(J1279&lt;=G1279,1,0)</f>
        <v/>
      </c>
      <c r="P1279" s="4">
        <f>MAX(0,I1279-H1279)</f>
        <v/>
      </c>
      <c r="Q1279" s="4">
        <f>MAX(0,J1279-G1279)</f>
        <v/>
      </c>
      <c r="R1279" s="4">
        <f>IF(AND(N1279=1,O1279=1),"On Track",IF(O1279=0,"Customer Delivery Late","Ship Late"))</f>
        <v/>
      </c>
    </row>
    <row r="1280">
      <c r="A1280" s="2" t="inlineStr">
        <is>
          <t>ORD-01279</t>
        </is>
      </c>
      <c r="B1280" s="2" t="inlineStr">
        <is>
          <t>Customer 06</t>
        </is>
      </c>
      <c r="C1280" s="2" t="inlineStr">
        <is>
          <t>Sensor</t>
        </is>
      </c>
      <c r="D1280" s="2" t="inlineStr">
        <is>
          <t>Plant C</t>
        </is>
      </c>
      <c r="E1280" s="2" t="inlineStr">
        <is>
          <t>South</t>
        </is>
      </c>
      <c r="F1280" s="12" t="n">
        <v>46063</v>
      </c>
      <c r="G1280" s="12" t="n">
        <v>46074</v>
      </c>
      <c r="H1280" s="12" t="n">
        <v>46073</v>
      </c>
      <c r="I1280" s="12" t="n">
        <v>46071</v>
      </c>
      <c r="J1280" s="12" t="n">
        <v>46072</v>
      </c>
      <c r="K1280" s="2" t="n">
        <v>937</v>
      </c>
      <c r="L1280" s="2" t="inlineStr">
        <is>
          <t>Road</t>
        </is>
      </c>
      <c r="M1280" s="2" t="inlineStr">
        <is>
          <t>No Delay</t>
        </is>
      </c>
      <c r="N1280" s="4">
        <f>IF(I1280&lt;=H1280,1,0)</f>
        <v/>
      </c>
      <c r="O1280" s="4">
        <f>IF(J1280&lt;=G1280,1,0)</f>
        <v/>
      </c>
      <c r="P1280" s="4">
        <f>MAX(0,I1280-H1280)</f>
        <v/>
      </c>
      <c r="Q1280" s="4">
        <f>MAX(0,J1280-G1280)</f>
        <v/>
      </c>
      <c r="R1280" s="4">
        <f>IF(AND(N1280=1,O1280=1),"On Track",IF(O1280=0,"Customer Delivery Late","Ship Late"))</f>
        <v/>
      </c>
    </row>
    <row r="1281">
      <c r="A1281" s="2" t="inlineStr">
        <is>
          <t>ORD-01280</t>
        </is>
      </c>
      <c r="B1281" s="2" t="inlineStr">
        <is>
          <t>Customer 26</t>
        </is>
      </c>
      <c r="C1281" s="2" t="inlineStr">
        <is>
          <t>Switchgear</t>
        </is>
      </c>
      <c r="D1281" s="2" t="inlineStr">
        <is>
          <t>Plant B</t>
        </is>
      </c>
      <c r="E1281" s="2" t="inlineStr">
        <is>
          <t>South</t>
        </is>
      </c>
      <c r="F1281" s="12" t="n">
        <v>46175</v>
      </c>
      <c r="G1281" s="12" t="n">
        <v>46197</v>
      </c>
      <c r="H1281" s="12" t="n">
        <v>46192</v>
      </c>
      <c r="I1281" s="12" t="n">
        <v>46191</v>
      </c>
      <c r="J1281" s="12" t="n">
        <v>46196</v>
      </c>
      <c r="K1281" s="2" t="n">
        <v>542</v>
      </c>
      <c r="L1281" s="2" t="inlineStr">
        <is>
          <t>Sea</t>
        </is>
      </c>
      <c r="M1281" s="2" t="inlineStr">
        <is>
          <t>No Delay</t>
        </is>
      </c>
      <c r="N1281" s="4">
        <f>IF(I1281&lt;=H1281,1,0)</f>
        <v/>
      </c>
      <c r="O1281" s="4">
        <f>IF(J1281&lt;=G1281,1,0)</f>
        <v/>
      </c>
      <c r="P1281" s="4">
        <f>MAX(0,I1281-H1281)</f>
        <v/>
      </c>
      <c r="Q1281" s="4">
        <f>MAX(0,J1281-G1281)</f>
        <v/>
      </c>
      <c r="R1281" s="4">
        <f>IF(AND(N1281=1,O1281=1),"On Track",IF(O1281=0,"Customer Delivery Late","Ship Late"))</f>
        <v/>
      </c>
    </row>
    <row r="1282">
      <c r="A1282" s="2" t="inlineStr">
        <is>
          <t>ORD-01281</t>
        </is>
      </c>
      <c r="B1282" s="2" t="inlineStr">
        <is>
          <t>Customer 04</t>
        </is>
      </c>
      <c r="C1282" s="2" t="inlineStr">
        <is>
          <t>Relay</t>
        </is>
      </c>
      <c r="D1282" s="2" t="inlineStr">
        <is>
          <t>Plant A</t>
        </is>
      </c>
      <c r="E1282" s="2" t="inlineStr">
        <is>
          <t>Central</t>
        </is>
      </c>
      <c r="F1282" s="12" t="n">
        <v>46077</v>
      </c>
      <c r="G1282" s="12" t="n">
        <v>46082</v>
      </c>
      <c r="H1282" s="12" t="n">
        <v>46080</v>
      </c>
      <c r="I1282" s="12" t="n">
        <v>46079</v>
      </c>
      <c r="J1282" s="12" t="n">
        <v>46080</v>
      </c>
      <c r="K1282" s="2" t="n">
        <v>1444</v>
      </c>
      <c r="L1282" s="2" t="inlineStr">
        <is>
          <t>Sea</t>
        </is>
      </c>
      <c r="M1282" s="2" t="inlineStr">
        <is>
          <t>No Delay</t>
        </is>
      </c>
      <c r="N1282" s="4">
        <f>IF(I1282&lt;=H1282,1,0)</f>
        <v/>
      </c>
      <c r="O1282" s="4">
        <f>IF(J1282&lt;=G1282,1,0)</f>
        <v/>
      </c>
      <c r="P1282" s="4">
        <f>MAX(0,I1282-H1282)</f>
        <v/>
      </c>
      <c r="Q1282" s="4">
        <f>MAX(0,J1282-G1282)</f>
        <v/>
      </c>
      <c r="R1282" s="4">
        <f>IF(AND(N1282=1,O1282=1),"On Track",IF(O1282=0,"Customer Delivery Late","Ship Late"))</f>
        <v/>
      </c>
    </row>
    <row r="1283">
      <c r="A1283" s="2" t="inlineStr">
        <is>
          <t>ORD-01282</t>
        </is>
      </c>
      <c r="B1283" s="2" t="inlineStr">
        <is>
          <t>Customer 18</t>
        </is>
      </c>
      <c r="C1283" s="2" t="inlineStr">
        <is>
          <t>PLC</t>
        </is>
      </c>
      <c r="D1283" s="2" t="inlineStr">
        <is>
          <t>Plant A</t>
        </is>
      </c>
      <c r="E1283" s="2" t="inlineStr">
        <is>
          <t>Central</t>
        </is>
      </c>
      <c r="F1283" s="12" t="n">
        <v>46051</v>
      </c>
      <c r="G1283" s="12" t="n">
        <v>46073</v>
      </c>
      <c r="H1283" s="12" t="n">
        <v>46069</v>
      </c>
      <c r="I1283" s="12" t="n">
        <v>46069</v>
      </c>
      <c r="J1283" s="12" t="n">
        <v>46072</v>
      </c>
      <c r="K1283" s="2" t="n">
        <v>113</v>
      </c>
      <c r="L1283" s="2" t="inlineStr">
        <is>
          <t>Sea</t>
        </is>
      </c>
      <c r="M1283" s="2" t="inlineStr">
        <is>
          <t>No Delay</t>
        </is>
      </c>
      <c r="N1283" s="4">
        <f>IF(I1283&lt;=H1283,1,0)</f>
        <v/>
      </c>
      <c r="O1283" s="4">
        <f>IF(J1283&lt;=G1283,1,0)</f>
        <v/>
      </c>
      <c r="P1283" s="4">
        <f>MAX(0,I1283-H1283)</f>
        <v/>
      </c>
      <c r="Q1283" s="4">
        <f>MAX(0,J1283-G1283)</f>
        <v/>
      </c>
      <c r="R1283" s="4">
        <f>IF(AND(N1283=1,O1283=1),"On Track",IF(O1283=0,"Customer Delivery Late","Ship Late"))</f>
        <v/>
      </c>
    </row>
    <row r="1284">
      <c r="A1284" s="2" t="inlineStr">
        <is>
          <t>ORD-01283</t>
        </is>
      </c>
      <c r="B1284" s="2" t="inlineStr">
        <is>
          <t>Customer 03</t>
        </is>
      </c>
      <c r="C1284" s="2" t="inlineStr">
        <is>
          <t>Sensor</t>
        </is>
      </c>
      <c r="D1284" s="2" t="inlineStr">
        <is>
          <t>Plant B</t>
        </is>
      </c>
      <c r="E1284" s="2" t="inlineStr">
        <is>
          <t>South</t>
        </is>
      </c>
      <c r="F1284" s="12" t="n">
        <v>46178</v>
      </c>
      <c r="G1284" s="12" t="n">
        <v>46200</v>
      </c>
      <c r="H1284" s="12" t="n">
        <v>46199</v>
      </c>
      <c r="I1284" s="12" t="n">
        <v>46199</v>
      </c>
      <c r="J1284" s="12" t="n">
        <v>46200</v>
      </c>
      <c r="K1284" s="2" t="n">
        <v>1134</v>
      </c>
      <c r="L1284" s="2" t="inlineStr">
        <is>
          <t>Road</t>
        </is>
      </c>
      <c r="M1284" s="2" t="inlineStr">
        <is>
          <t>No Delay</t>
        </is>
      </c>
      <c r="N1284" s="4">
        <f>IF(I1284&lt;=H1284,1,0)</f>
        <v/>
      </c>
      <c r="O1284" s="4">
        <f>IF(J1284&lt;=G1284,1,0)</f>
        <v/>
      </c>
      <c r="P1284" s="4">
        <f>MAX(0,I1284-H1284)</f>
        <v/>
      </c>
      <c r="Q1284" s="4">
        <f>MAX(0,J1284-G1284)</f>
        <v/>
      </c>
      <c r="R1284" s="4">
        <f>IF(AND(N1284=1,O1284=1),"On Track",IF(O1284=0,"Customer Delivery Late","Ship Late"))</f>
        <v/>
      </c>
    </row>
    <row r="1285">
      <c r="A1285" s="2" t="inlineStr">
        <is>
          <t>ORD-01284</t>
        </is>
      </c>
      <c r="B1285" s="2" t="inlineStr">
        <is>
          <t>Customer 03</t>
        </is>
      </c>
      <c r="C1285" s="2" t="inlineStr">
        <is>
          <t>Relay</t>
        </is>
      </c>
      <c r="D1285" s="2" t="inlineStr">
        <is>
          <t>Plant C</t>
        </is>
      </c>
      <c r="E1285" s="2" t="inlineStr">
        <is>
          <t>Export</t>
        </is>
      </c>
      <c r="F1285" s="12" t="n">
        <v>46068</v>
      </c>
      <c r="G1285" s="12" t="n">
        <v>46074</v>
      </c>
      <c r="H1285" s="12" t="n">
        <v>46070</v>
      </c>
      <c r="I1285" s="12" t="n">
        <v>46068</v>
      </c>
      <c r="J1285" s="12" t="n">
        <v>46072</v>
      </c>
      <c r="K1285" s="2" t="n">
        <v>156</v>
      </c>
      <c r="L1285" s="2" t="inlineStr">
        <is>
          <t>Air</t>
        </is>
      </c>
      <c r="M1285" s="2" t="inlineStr">
        <is>
          <t>No Delay</t>
        </is>
      </c>
      <c r="N1285" s="4">
        <f>IF(I1285&lt;=H1285,1,0)</f>
        <v/>
      </c>
      <c r="O1285" s="4">
        <f>IF(J1285&lt;=G1285,1,0)</f>
        <v/>
      </c>
      <c r="P1285" s="4">
        <f>MAX(0,I1285-H1285)</f>
        <v/>
      </c>
      <c r="Q1285" s="4">
        <f>MAX(0,J1285-G1285)</f>
        <v/>
      </c>
      <c r="R1285" s="4">
        <f>IF(AND(N1285=1,O1285=1),"On Track",IF(O1285=0,"Customer Delivery Late","Ship Late"))</f>
        <v/>
      </c>
    </row>
    <row r="1286">
      <c r="A1286" s="2" t="inlineStr">
        <is>
          <t>ORD-01285</t>
        </is>
      </c>
      <c r="B1286" s="2" t="inlineStr">
        <is>
          <t>Customer 28</t>
        </is>
      </c>
      <c r="C1286" s="2" t="inlineStr">
        <is>
          <t>Drive</t>
        </is>
      </c>
      <c r="D1286" s="2" t="inlineStr">
        <is>
          <t>Plant A</t>
        </is>
      </c>
      <c r="E1286" s="2" t="inlineStr">
        <is>
          <t>North</t>
        </is>
      </c>
      <c r="F1286" s="12" t="n">
        <v>46185</v>
      </c>
      <c r="G1286" s="12" t="n">
        <v>46207</v>
      </c>
      <c r="H1286" s="12" t="n">
        <v>46206</v>
      </c>
      <c r="I1286" s="12" t="n">
        <v>46205</v>
      </c>
      <c r="J1286" s="12" t="n">
        <v>46206</v>
      </c>
      <c r="K1286" s="2" t="n">
        <v>33</v>
      </c>
      <c r="L1286" s="2" t="inlineStr">
        <is>
          <t>Road</t>
        </is>
      </c>
      <c r="M1286" s="2" t="inlineStr">
        <is>
          <t>No Delay</t>
        </is>
      </c>
      <c r="N1286" s="4">
        <f>IF(I1286&lt;=H1286,1,0)</f>
        <v/>
      </c>
      <c r="O1286" s="4">
        <f>IF(J1286&lt;=G1286,1,0)</f>
        <v/>
      </c>
      <c r="P1286" s="4">
        <f>MAX(0,I1286-H1286)</f>
        <v/>
      </c>
      <c r="Q1286" s="4">
        <f>MAX(0,J1286-G1286)</f>
        <v/>
      </c>
      <c r="R1286" s="4">
        <f>IF(AND(N1286=1,O1286=1),"On Track",IF(O1286=0,"Customer Delivery Late","Ship Late"))</f>
        <v/>
      </c>
    </row>
    <row r="1287">
      <c r="A1287" s="2" t="inlineStr">
        <is>
          <t>ORD-01286</t>
        </is>
      </c>
      <c r="B1287" s="2" t="inlineStr">
        <is>
          <t>Customer 16</t>
        </is>
      </c>
      <c r="C1287" s="2" t="inlineStr">
        <is>
          <t>Contactor</t>
        </is>
      </c>
      <c r="D1287" s="2" t="inlineStr">
        <is>
          <t>Plant B</t>
        </is>
      </c>
      <c r="E1287" s="2" t="inlineStr">
        <is>
          <t>South</t>
        </is>
      </c>
      <c r="F1287" s="12" t="n">
        <v>46193</v>
      </c>
      <c r="G1287" s="12" t="n">
        <v>46198</v>
      </c>
      <c r="H1287" s="12" t="n">
        <v>46197</v>
      </c>
      <c r="I1287" s="12" t="n">
        <v>46195</v>
      </c>
      <c r="J1287" s="12" t="n">
        <v>46196</v>
      </c>
      <c r="K1287" s="2" t="n">
        <v>127</v>
      </c>
      <c r="L1287" s="2" t="inlineStr">
        <is>
          <t>Sea</t>
        </is>
      </c>
      <c r="M1287" s="2" t="inlineStr">
        <is>
          <t>No Delay</t>
        </is>
      </c>
      <c r="N1287" s="4">
        <f>IF(I1287&lt;=H1287,1,0)</f>
        <v/>
      </c>
      <c r="O1287" s="4">
        <f>IF(J1287&lt;=G1287,1,0)</f>
        <v/>
      </c>
      <c r="P1287" s="4">
        <f>MAX(0,I1287-H1287)</f>
        <v/>
      </c>
      <c r="Q1287" s="4">
        <f>MAX(0,J1287-G1287)</f>
        <v/>
      </c>
      <c r="R1287" s="4">
        <f>IF(AND(N1287=1,O1287=1),"On Track",IF(O1287=0,"Customer Delivery Late","Ship Late"))</f>
        <v/>
      </c>
    </row>
    <row r="1288">
      <c r="A1288" s="2" t="inlineStr">
        <is>
          <t>ORD-01287</t>
        </is>
      </c>
      <c r="B1288" s="2" t="inlineStr">
        <is>
          <t>Customer 21</t>
        </is>
      </c>
      <c r="C1288" s="2" t="inlineStr">
        <is>
          <t>Sensor</t>
        </is>
      </c>
      <c r="D1288" s="2" t="inlineStr">
        <is>
          <t>Plant B</t>
        </is>
      </c>
      <c r="E1288" s="2" t="inlineStr">
        <is>
          <t>South</t>
        </is>
      </c>
      <c r="F1288" s="12" t="n">
        <v>46177</v>
      </c>
      <c r="G1288" s="12" t="n">
        <v>46182</v>
      </c>
      <c r="H1288" s="12" t="n">
        <v>46180</v>
      </c>
      <c r="I1288" s="12" t="n">
        <v>46186</v>
      </c>
      <c r="J1288" s="12" t="n">
        <v>46187</v>
      </c>
      <c r="K1288" s="2" t="n">
        <v>336</v>
      </c>
      <c r="L1288" s="2" t="inlineStr">
        <is>
          <t>Road</t>
        </is>
      </c>
      <c r="M1288" s="2" t="inlineStr">
        <is>
          <t>Capacity Constraint</t>
        </is>
      </c>
      <c r="N1288" s="4">
        <f>IF(I1288&lt;=H1288,1,0)</f>
        <v/>
      </c>
      <c r="O1288" s="4">
        <f>IF(J1288&lt;=G1288,1,0)</f>
        <v/>
      </c>
      <c r="P1288" s="4">
        <f>MAX(0,I1288-H1288)</f>
        <v/>
      </c>
      <c r="Q1288" s="4">
        <f>MAX(0,J1288-G1288)</f>
        <v/>
      </c>
      <c r="R1288" s="4">
        <f>IF(AND(N1288=1,O1288=1),"On Track",IF(O1288=0,"Customer Delivery Late","Ship Late"))</f>
        <v/>
      </c>
    </row>
    <row r="1289">
      <c r="A1289" s="2" t="inlineStr">
        <is>
          <t>ORD-01288</t>
        </is>
      </c>
      <c r="B1289" s="2" t="inlineStr">
        <is>
          <t>Customer 30</t>
        </is>
      </c>
      <c r="C1289" s="2" t="inlineStr">
        <is>
          <t>Contactor</t>
        </is>
      </c>
      <c r="D1289" s="2" t="inlineStr">
        <is>
          <t>Plant A</t>
        </is>
      </c>
      <c r="E1289" s="2" t="inlineStr">
        <is>
          <t>Central</t>
        </is>
      </c>
      <c r="F1289" s="12" t="n">
        <v>46162</v>
      </c>
      <c r="G1289" s="12" t="n">
        <v>46171</v>
      </c>
      <c r="H1289" s="12" t="n">
        <v>46166</v>
      </c>
      <c r="I1289" s="12" t="n">
        <v>46166</v>
      </c>
      <c r="J1289" s="12" t="n">
        <v>46171</v>
      </c>
      <c r="K1289" s="2" t="n">
        <v>601</v>
      </c>
      <c r="L1289" s="2" t="inlineStr">
        <is>
          <t>Sea</t>
        </is>
      </c>
      <c r="M1289" s="2" t="inlineStr">
        <is>
          <t>No Delay</t>
        </is>
      </c>
      <c r="N1289" s="4">
        <f>IF(I1289&lt;=H1289,1,0)</f>
        <v/>
      </c>
      <c r="O1289" s="4">
        <f>IF(J1289&lt;=G1289,1,0)</f>
        <v/>
      </c>
      <c r="P1289" s="4">
        <f>MAX(0,I1289-H1289)</f>
        <v/>
      </c>
      <c r="Q1289" s="4">
        <f>MAX(0,J1289-G1289)</f>
        <v/>
      </c>
      <c r="R1289" s="4">
        <f>IF(AND(N1289=1,O1289=1),"On Track",IF(O1289=0,"Customer Delivery Late","Ship Late"))</f>
        <v/>
      </c>
    </row>
    <row r="1290">
      <c r="A1290" s="2" t="inlineStr">
        <is>
          <t>ORD-01289</t>
        </is>
      </c>
      <c r="B1290" s="2" t="inlineStr">
        <is>
          <t>Customer 20</t>
        </is>
      </c>
      <c r="C1290" s="2" t="inlineStr">
        <is>
          <t>Breaker</t>
        </is>
      </c>
      <c r="D1290" s="2" t="inlineStr">
        <is>
          <t>Plant A</t>
        </is>
      </c>
      <c r="E1290" s="2" t="inlineStr">
        <is>
          <t>South</t>
        </is>
      </c>
      <c r="F1290" s="12" t="n">
        <v>46182</v>
      </c>
      <c r="G1290" s="12" t="n">
        <v>46188</v>
      </c>
      <c r="H1290" s="12" t="n">
        <v>46185</v>
      </c>
      <c r="I1290" s="12" t="n">
        <v>46183</v>
      </c>
      <c r="J1290" s="12" t="n">
        <v>46186</v>
      </c>
      <c r="K1290" s="2" t="n">
        <v>513</v>
      </c>
      <c r="L1290" s="2" t="inlineStr">
        <is>
          <t>Air</t>
        </is>
      </c>
      <c r="M1290" s="2" t="inlineStr">
        <is>
          <t>No Delay</t>
        </is>
      </c>
      <c r="N1290" s="4">
        <f>IF(I1290&lt;=H1290,1,0)</f>
        <v/>
      </c>
      <c r="O1290" s="4">
        <f>IF(J1290&lt;=G1290,1,0)</f>
        <v/>
      </c>
      <c r="P1290" s="4">
        <f>MAX(0,I1290-H1290)</f>
        <v/>
      </c>
      <c r="Q1290" s="4">
        <f>MAX(0,J1290-G1290)</f>
        <v/>
      </c>
      <c r="R1290" s="4">
        <f>IF(AND(N1290=1,O1290=1),"On Track",IF(O1290=0,"Customer Delivery Late","Ship Late"))</f>
        <v/>
      </c>
    </row>
    <row r="1291">
      <c r="A1291" s="2" t="inlineStr">
        <is>
          <t>ORD-01290</t>
        </is>
      </c>
      <c r="B1291" s="2" t="inlineStr">
        <is>
          <t>Customer 19</t>
        </is>
      </c>
      <c r="C1291" s="2" t="inlineStr">
        <is>
          <t>Contactor</t>
        </is>
      </c>
      <c r="D1291" s="2" t="inlineStr">
        <is>
          <t>Plant A</t>
        </is>
      </c>
      <c r="E1291" s="2" t="inlineStr">
        <is>
          <t>Export</t>
        </is>
      </c>
      <c r="F1291" s="12" t="n">
        <v>46111</v>
      </c>
      <c r="G1291" s="12" t="n">
        <v>46136</v>
      </c>
      <c r="H1291" s="12" t="n">
        <v>46133</v>
      </c>
      <c r="I1291" s="12" t="n">
        <v>46133</v>
      </c>
      <c r="J1291" s="12" t="n">
        <v>46137</v>
      </c>
      <c r="K1291" s="2" t="n">
        <v>315</v>
      </c>
      <c r="L1291" s="2" t="inlineStr">
        <is>
          <t>Air</t>
        </is>
      </c>
      <c r="M1291" s="2" t="inlineStr">
        <is>
          <t>Documentation Issue</t>
        </is>
      </c>
      <c r="N1291" s="4">
        <f>IF(I1291&lt;=H1291,1,0)</f>
        <v/>
      </c>
      <c r="O1291" s="4">
        <f>IF(J1291&lt;=G1291,1,0)</f>
        <v/>
      </c>
      <c r="P1291" s="4">
        <f>MAX(0,I1291-H1291)</f>
        <v/>
      </c>
      <c r="Q1291" s="4">
        <f>MAX(0,J1291-G1291)</f>
        <v/>
      </c>
      <c r="R1291" s="4">
        <f>IF(AND(N1291=1,O1291=1),"On Track",IF(O1291=0,"Customer Delivery Late","Ship Late"))</f>
        <v/>
      </c>
    </row>
    <row r="1292">
      <c r="A1292" s="2" t="inlineStr">
        <is>
          <t>ORD-01291</t>
        </is>
      </c>
      <c r="B1292" s="2" t="inlineStr">
        <is>
          <t>Customer 26</t>
        </is>
      </c>
      <c r="C1292" s="2" t="inlineStr">
        <is>
          <t>Power Supply</t>
        </is>
      </c>
      <c r="D1292" s="2" t="inlineStr">
        <is>
          <t>Plant C</t>
        </is>
      </c>
      <c r="E1292" s="2" t="inlineStr">
        <is>
          <t>North</t>
        </is>
      </c>
      <c r="F1292" s="12" t="n">
        <v>46153</v>
      </c>
      <c r="G1292" s="12" t="n">
        <v>46165</v>
      </c>
      <c r="H1292" s="12" t="n">
        <v>46162</v>
      </c>
      <c r="I1292" s="12" t="n">
        <v>46160</v>
      </c>
      <c r="J1292" s="12" t="n">
        <v>46163</v>
      </c>
      <c r="K1292" s="2" t="n">
        <v>1141</v>
      </c>
      <c r="L1292" s="2" t="inlineStr">
        <is>
          <t>Sea</t>
        </is>
      </c>
      <c r="M1292" s="2" t="inlineStr">
        <is>
          <t>No Delay</t>
        </is>
      </c>
      <c r="N1292" s="4">
        <f>IF(I1292&lt;=H1292,1,0)</f>
        <v/>
      </c>
      <c r="O1292" s="4">
        <f>IF(J1292&lt;=G1292,1,0)</f>
        <v/>
      </c>
      <c r="P1292" s="4">
        <f>MAX(0,I1292-H1292)</f>
        <v/>
      </c>
      <c r="Q1292" s="4">
        <f>MAX(0,J1292-G1292)</f>
        <v/>
      </c>
      <c r="R1292" s="4">
        <f>IF(AND(N1292=1,O1292=1),"On Track",IF(O1292=0,"Customer Delivery Late","Ship Late"))</f>
        <v/>
      </c>
    </row>
    <row r="1293">
      <c r="A1293" s="2" t="inlineStr">
        <is>
          <t>ORD-01292</t>
        </is>
      </c>
      <c r="B1293" s="2" t="inlineStr">
        <is>
          <t>Customer 20</t>
        </is>
      </c>
      <c r="C1293" s="2" t="inlineStr">
        <is>
          <t>Switchgear</t>
        </is>
      </c>
      <c r="D1293" s="2" t="inlineStr">
        <is>
          <t>Plant C</t>
        </is>
      </c>
      <c r="E1293" s="2" t="inlineStr">
        <is>
          <t>South</t>
        </is>
      </c>
      <c r="F1293" s="12" t="n">
        <v>46033</v>
      </c>
      <c r="G1293" s="12" t="n">
        <v>46058</v>
      </c>
      <c r="H1293" s="12" t="n">
        <v>46054</v>
      </c>
      <c r="I1293" s="12" t="n">
        <v>46052</v>
      </c>
      <c r="J1293" s="12" t="n">
        <v>46056</v>
      </c>
      <c r="K1293" s="2" t="n">
        <v>44</v>
      </c>
      <c r="L1293" s="2" t="inlineStr">
        <is>
          <t>Sea</t>
        </is>
      </c>
      <c r="M1293" s="2" t="inlineStr">
        <is>
          <t>No Delay</t>
        </is>
      </c>
      <c r="N1293" s="4">
        <f>IF(I1293&lt;=H1293,1,0)</f>
        <v/>
      </c>
      <c r="O1293" s="4">
        <f>IF(J1293&lt;=G1293,1,0)</f>
        <v/>
      </c>
      <c r="P1293" s="4">
        <f>MAX(0,I1293-H1293)</f>
        <v/>
      </c>
      <c r="Q1293" s="4">
        <f>MAX(0,J1293-G1293)</f>
        <v/>
      </c>
      <c r="R1293" s="4">
        <f>IF(AND(N1293=1,O1293=1),"On Track",IF(O1293=0,"Customer Delivery Late","Ship Late"))</f>
        <v/>
      </c>
    </row>
    <row r="1294">
      <c r="A1294" s="2" t="inlineStr">
        <is>
          <t>ORD-01293</t>
        </is>
      </c>
      <c r="B1294" s="2" t="inlineStr">
        <is>
          <t>Customer 28</t>
        </is>
      </c>
      <c r="C1294" s="2" t="inlineStr">
        <is>
          <t>Power Supply</t>
        </is>
      </c>
      <c r="D1294" s="2" t="inlineStr">
        <is>
          <t>Plant B</t>
        </is>
      </c>
      <c r="E1294" s="2" t="inlineStr">
        <is>
          <t>North</t>
        </is>
      </c>
      <c r="F1294" s="12" t="n">
        <v>46185</v>
      </c>
      <c r="G1294" s="12" t="n">
        <v>46206</v>
      </c>
      <c r="H1294" s="12" t="n">
        <v>46204</v>
      </c>
      <c r="I1294" s="12" t="n">
        <v>46202</v>
      </c>
      <c r="J1294" s="12" t="n">
        <v>46203</v>
      </c>
      <c r="K1294" s="2" t="n">
        <v>1148</v>
      </c>
      <c r="L1294" s="2" t="inlineStr">
        <is>
          <t>Sea</t>
        </is>
      </c>
      <c r="M1294" s="2" t="inlineStr">
        <is>
          <t>No Delay</t>
        </is>
      </c>
      <c r="N1294" s="4">
        <f>IF(I1294&lt;=H1294,1,0)</f>
        <v/>
      </c>
      <c r="O1294" s="4">
        <f>IF(J1294&lt;=G1294,1,0)</f>
        <v/>
      </c>
      <c r="P1294" s="4">
        <f>MAX(0,I1294-H1294)</f>
        <v/>
      </c>
      <c r="Q1294" s="4">
        <f>MAX(0,J1294-G1294)</f>
        <v/>
      </c>
      <c r="R1294" s="4">
        <f>IF(AND(N1294=1,O1294=1),"On Track",IF(O1294=0,"Customer Delivery Late","Ship Late"))</f>
        <v/>
      </c>
    </row>
    <row r="1295">
      <c r="A1295" s="2" t="inlineStr">
        <is>
          <t>ORD-01294</t>
        </is>
      </c>
      <c r="B1295" s="2" t="inlineStr">
        <is>
          <t>Customer 29</t>
        </is>
      </c>
      <c r="C1295" s="2" t="inlineStr">
        <is>
          <t>PLC</t>
        </is>
      </c>
      <c r="D1295" s="2" t="inlineStr">
        <is>
          <t>Plant C</t>
        </is>
      </c>
      <c r="E1295" s="2" t="inlineStr">
        <is>
          <t>Central</t>
        </is>
      </c>
      <c r="F1295" s="12" t="n">
        <v>46024</v>
      </c>
      <c r="G1295" s="12" t="n">
        <v>46037</v>
      </c>
      <c r="H1295" s="12" t="n">
        <v>46034</v>
      </c>
      <c r="I1295" s="12" t="n">
        <v>46034</v>
      </c>
      <c r="J1295" s="12" t="n">
        <v>46038</v>
      </c>
      <c r="K1295" s="2" t="n">
        <v>784</v>
      </c>
      <c r="L1295" s="2" t="inlineStr">
        <is>
          <t>Sea</t>
        </is>
      </c>
      <c r="M1295" s="2" t="inlineStr">
        <is>
          <t>Documentation Issue</t>
        </is>
      </c>
      <c r="N1295" s="4">
        <f>IF(I1295&lt;=H1295,1,0)</f>
        <v/>
      </c>
      <c r="O1295" s="4">
        <f>IF(J1295&lt;=G1295,1,0)</f>
        <v/>
      </c>
      <c r="P1295" s="4">
        <f>MAX(0,I1295-H1295)</f>
        <v/>
      </c>
      <c r="Q1295" s="4">
        <f>MAX(0,J1295-G1295)</f>
        <v/>
      </c>
      <c r="R1295" s="4">
        <f>IF(AND(N1295=1,O1295=1),"On Track",IF(O1295=0,"Customer Delivery Late","Ship Late"))</f>
        <v/>
      </c>
    </row>
    <row r="1296">
      <c r="A1296" s="2" t="inlineStr">
        <is>
          <t>ORD-01295</t>
        </is>
      </c>
      <c r="B1296" s="2" t="inlineStr">
        <is>
          <t>Customer 13</t>
        </is>
      </c>
      <c r="C1296" s="2" t="inlineStr">
        <is>
          <t>Sensor</t>
        </is>
      </c>
      <c r="D1296" s="2" t="inlineStr">
        <is>
          <t>Plant C</t>
        </is>
      </c>
      <c r="E1296" s="2" t="inlineStr">
        <is>
          <t>Central</t>
        </is>
      </c>
      <c r="F1296" s="12" t="n">
        <v>46071</v>
      </c>
      <c r="G1296" s="12" t="n">
        <v>46092</v>
      </c>
      <c r="H1296" s="12" t="n">
        <v>46091</v>
      </c>
      <c r="I1296" s="12" t="n">
        <v>46089</v>
      </c>
      <c r="J1296" s="12" t="n">
        <v>46090</v>
      </c>
      <c r="K1296" s="2" t="n">
        <v>1078</v>
      </c>
      <c r="L1296" s="2" t="inlineStr">
        <is>
          <t>Sea</t>
        </is>
      </c>
      <c r="M1296" s="2" t="inlineStr">
        <is>
          <t>No Delay</t>
        </is>
      </c>
      <c r="N1296" s="4">
        <f>IF(I1296&lt;=H1296,1,0)</f>
        <v/>
      </c>
      <c r="O1296" s="4">
        <f>IF(J1296&lt;=G1296,1,0)</f>
        <v/>
      </c>
      <c r="P1296" s="4">
        <f>MAX(0,I1296-H1296)</f>
        <v/>
      </c>
      <c r="Q1296" s="4">
        <f>MAX(0,J1296-G1296)</f>
        <v/>
      </c>
      <c r="R1296" s="4">
        <f>IF(AND(N1296=1,O1296=1),"On Track",IF(O1296=0,"Customer Delivery Late","Ship Late"))</f>
        <v/>
      </c>
    </row>
    <row r="1297">
      <c r="A1297" s="2" t="inlineStr">
        <is>
          <t>ORD-01296</t>
        </is>
      </c>
      <c r="B1297" s="2" t="inlineStr">
        <is>
          <t>Customer 05</t>
        </is>
      </c>
      <c r="C1297" s="2" t="inlineStr">
        <is>
          <t>Drive</t>
        </is>
      </c>
      <c r="D1297" s="2" t="inlineStr">
        <is>
          <t>Plant C</t>
        </is>
      </c>
      <c r="E1297" s="2" t="inlineStr">
        <is>
          <t>Export</t>
        </is>
      </c>
      <c r="F1297" s="12" t="n">
        <v>46188</v>
      </c>
      <c r="G1297" s="12" t="n">
        <v>46202</v>
      </c>
      <c r="H1297" s="12" t="n">
        <v>46198</v>
      </c>
      <c r="I1297" s="12" t="n">
        <v>46196</v>
      </c>
      <c r="J1297" s="12" t="n">
        <v>46200</v>
      </c>
      <c r="K1297" s="2" t="n">
        <v>448</v>
      </c>
      <c r="L1297" s="2" t="inlineStr">
        <is>
          <t>Road</t>
        </is>
      </c>
      <c r="M1297" s="2" t="inlineStr">
        <is>
          <t>No Delay</t>
        </is>
      </c>
      <c r="N1297" s="4">
        <f>IF(I1297&lt;=H1297,1,0)</f>
        <v/>
      </c>
      <c r="O1297" s="4">
        <f>IF(J1297&lt;=G1297,1,0)</f>
        <v/>
      </c>
      <c r="P1297" s="4">
        <f>MAX(0,I1297-H1297)</f>
        <v/>
      </c>
      <c r="Q1297" s="4">
        <f>MAX(0,J1297-G1297)</f>
        <v/>
      </c>
      <c r="R1297" s="4">
        <f>IF(AND(N1297=1,O1297=1),"On Track",IF(O1297=0,"Customer Delivery Late","Ship Late"))</f>
        <v/>
      </c>
    </row>
    <row r="1298">
      <c r="A1298" s="2" t="inlineStr">
        <is>
          <t>ORD-01297</t>
        </is>
      </c>
      <c r="B1298" s="2" t="inlineStr">
        <is>
          <t>Customer 21</t>
        </is>
      </c>
      <c r="C1298" s="2" t="inlineStr">
        <is>
          <t>Power Supply</t>
        </is>
      </c>
      <c r="D1298" s="2" t="inlineStr">
        <is>
          <t>Plant A</t>
        </is>
      </c>
      <c r="E1298" s="2" t="inlineStr">
        <is>
          <t>South</t>
        </is>
      </c>
      <c r="F1298" s="12" t="n">
        <v>46102</v>
      </c>
      <c r="G1298" s="12" t="n">
        <v>46115</v>
      </c>
      <c r="H1298" s="12" t="n">
        <v>46114</v>
      </c>
      <c r="I1298" s="12" t="n">
        <v>46112</v>
      </c>
      <c r="J1298" s="12" t="n">
        <v>46113</v>
      </c>
      <c r="K1298" s="2" t="n">
        <v>775</v>
      </c>
      <c r="L1298" s="2" t="inlineStr">
        <is>
          <t>Air</t>
        </is>
      </c>
      <c r="M1298" s="2" t="inlineStr">
        <is>
          <t>No Delay</t>
        </is>
      </c>
      <c r="N1298" s="4">
        <f>IF(I1298&lt;=H1298,1,0)</f>
        <v/>
      </c>
      <c r="O1298" s="4">
        <f>IF(J1298&lt;=G1298,1,0)</f>
        <v/>
      </c>
      <c r="P1298" s="4">
        <f>MAX(0,I1298-H1298)</f>
        <v/>
      </c>
      <c r="Q1298" s="4">
        <f>MAX(0,J1298-G1298)</f>
        <v/>
      </c>
      <c r="R1298" s="4">
        <f>IF(AND(N1298=1,O1298=1),"On Track",IF(O1298=0,"Customer Delivery Late","Ship Late"))</f>
        <v/>
      </c>
    </row>
    <row r="1299">
      <c r="A1299" s="2" t="inlineStr">
        <is>
          <t>ORD-01298</t>
        </is>
      </c>
      <c r="B1299" s="2" t="inlineStr">
        <is>
          <t>Customer 06</t>
        </is>
      </c>
      <c r="C1299" s="2" t="inlineStr">
        <is>
          <t>Sensor</t>
        </is>
      </c>
      <c r="D1299" s="2" t="inlineStr">
        <is>
          <t>Plant A</t>
        </is>
      </c>
      <c r="E1299" s="2" t="inlineStr">
        <is>
          <t>North</t>
        </is>
      </c>
      <c r="F1299" s="12" t="n">
        <v>46033</v>
      </c>
      <c r="G1299" s="12" t="n">
        <v>46043</v>
      </c>
      <c r="H1299" s="12" t="n">
        <v>46039</v>
      </c>
      <c r="I1299" s="12" t="n">
        <v>46039</v>
      </c>
      <c r="J1299" s="12" t="n">
        <v>46043</v>
      </c>
      <c r="K1299" s="2" t="n">
        <v>1379</v>
      </c>
      <c r="L1299" s="2" t="inlineStr">
        <is>
          <t>Road</t>
        </is>
      </c>
      <c r="M1299" s="2" t="inlineStr">
        <is>
          <t>No Delay</t>
        </is>
      </c>
      <c r="N1299" s="4">
        <f>IF(I1299&lt;=H1299,1,0)</f>
        <v/>
      </c>
      <c r="O1299" s="4">
        <f>IF(J1299&lt;=G1299,1,0)</f>
        <v/>
      </c>
      <c r="P1299" s="4">
        <f>MAX(0,I1299-H1299)</f>
        <v/>
      </c>
      <c r="Q1299" s="4">
        <f>MAX(0,J1299-G1299)</f>
        <v/>
      </c>
      <c r="R1299" s="4">
        <f>IF(AND(N1299=1,O1299=1),"On Track",IF(O1299=0,"Customer Delivery Late","Ship Late"))</f>
        <v/>
      </c>
    </row>
    <row r="1300">
      <c r="A1300" s="2" t="inlineStr">
        <is>
          <t>ORD-01299</t>
        </is>
      </c>
      <c r="B1300" s="2" t="inlineStr">
        <is>
          <t>Customer 27</t>
        </is>
      </c>
      <c r="C1300" s="2" t="inlineStr">
        <is>
          <t>Breaker</t>
        </is>
      </c>
      <c r="D1300" s="2" t="inlineStr">
        <is>
          <t>Plant A</t>
        </is>
      </c>
      <c r="E1300" s="2" t="inlineStr">
        <is>
          <t>North</t>
        </is>
      </c>
      <c r="F1300" s="12" t="n">
        <v>46143</v>
      </c>
      <c r="G1300" s="12" t="n">
        <v>46160</v>
      </c>
      <c r="H1300" s="12" t="n">
        <v>46157</v>
      </c>
      <c r="I1300" s="12" t="n">
        <v>46156</v>
      </c>
      <c r="J1300" s="12" t="n">
        <v>46160</v>
      </c>
      <c r="K1300" s="2" t="n">
        <v>764</v>
      </c>
      <c r="L1300" s="2" t="inlineStr">
        <is>
          <t>Road</t>
        </is>
      </c>
      <c r="M1300" s="2" t="inlineStr">
        <is>
          <t>No Delay</t>
        </is>
      </c>
      <c r="N1300" s="4">
        <f>IF(I1300&lt;=H1300,1,0)</f>
        <v/>
      </c>
      <c r="O1300" s="4">
        <f>IF(J1300&lt;=G1300,1,0)</f>
        <v/>
      </c>
      <c r="P1300" s="4">
        <f>MAX(0,I1300-H1300)</f>
        <v/>
      </c>
      <c r="Q1300" s="4">
        <f>MAX(0,J1300-G1300)</f>
        <v/>
      </c>
      <c r="R1300" s="4">
        <f>IF(AND(N1300=1,O1300=1),"On Track",IF(O1300=0,"Customer Delivery Late","Ship Late"))</f>
        <v/>
      </c>
    </row>
    <row r="1301">
      <c r="A1301" s="2" t="inlineStr">
        <is>
          <t>ORD-01300</t>
        </is>
      </c>
      <c r="B1301" s="2" t="inlineStr">
        <is>
          <t>Customer 27</t>
        </is>
      </c>
      <c r="C1301" s="2" t="inlineStr">
        <is>
          <t>Breaker</t>
        </is>
      </c>
      <c r="D1301" s="2" t="inlineStr">
        <is>
          <t>Plant C</t>
        </is>
      </c>
      <c r="E1301" s="2" t="inlineStr">
        <is>
          <t>South</t>
        </is>
      </c>
      <c r="F1301" s="12" t="n">
        <v>46165</v>
      </c>
      <c r="G1301" s="12" t="n">
        <v>46186</v>
      </c>
      <c r="H1301" s="12" t="n">
        <v>46181</v>
      </c>
      <c r="I1301" s="12" t="n">
        <v>46180</v>
      </c>
      <c r="J1301" s="12" t="n">
        <v>46185</v>
      </c>
      <c r="K1301" s="2" t="n">
        <v>86</v>
      </c>
      <c r="L1301" s="2" t="inlineStr">
        <is>
          <t>Air</t>
        </is>
      </c>
      <c r="M1301" s="2" t="inlineStr">
        <is>
          <t>No Delay</t>
        </is>
      </c>
      <c r="N1301" s="4">
        <f>IF(I1301&lt;=H1301,1,0)</f>
        <v/>
      </c>
      <c r="O1301" s="4">
        <f>IF(J1301&lt;=G1301,1,0)</f>
        <v/>
      </c>
      <c r="P1301" s="4">
        <f>MAX(0,I1301-H1301)</f>
        <v/>
      </c>
      <c r="Q1301" s="4">
        <f>MAX(0,J1301-G1301)</f>
        <v/>
      </c>
      <c r="R1301" s="4">
        <f>IF(AND(N1301=1,O1301=1),"On Track",IF(O1301=0,"Customer Delivery Late","Ship Late"))</f>
        <v/>
      </c>
    </row>
    <row r="1302">
      <c r="A1302" s="2" t="inlineStr">
        <is>
          <t>ORD-01301</t>
        </is>
      </c>
      <c r="B1302" s="2" t="inlineStr">
        <is>
          <t>Customer 25</t>
        </is>
      </c>
      <c r="C1302" s="2" t="inlineStr">
        <is>
          <t>Drive</t>
        </is>
      </c>
      <c r="D1302" s="2" t="inlineStr">
        <is>
          <t>Plant A</t>
        </is>
      </c>
      <c r="E1302" s="2" t="inlineStr">
        <is>
          <t>South</t>
        </is>
      </c>
      <c r="F1302" s="12" t="n">
        <v>46198</v>
      </c>
      <c r="G1302" s="12" t="n">
        <v>46223</v>
      </c>
      <c r="H1302" s="12" t="n">
        <v>46222</v>
      </c>
      <c r="I1302" s="12" t="n">
        <v>46227</v>
      </c>
      <c r="J1302" s="12" t="n">
        <v>46228</v>
      </c>
      <c r="K1302" s="2" t="n">
        <v>1212</v>
      </c>
      <c r="L1302" s="2" t="inlineStr">
        <is>
          <t>Air</t>
        </is>
      </c>
      <c r="M1302" s="2" t="inlineStr">
        <is>
          <t>Production Delay</t>
        </is>
      </c>
      <c r="N1302" s="4">
        <f>IF(I1302&lt;=H1302,1,0)</f>
        <v/>
      </c>
      <c r="O1302" s="4">
        <f>IF(J1302&lt;=G1302,1,0)</f>
        <v/>
      </c>
      <c r="P1302" s="4">
        <f>MAX(0,I1302-H1302)</f>
        <v/>
      </c>
      <c r="Q1302" s="4">
        <f>MAX(0,J1302-G1302)</f>
        <v/>
      </c>
      <c r="R1302" s="4">
        <f>IF(AND(N1302=1,O1302=1),"On Track",IF(O1302=0,"Customer Delivery Late","Ship Late"))</f>
        <v/>
      </c>
    </row>
    <row r="1303">
      <c r="A1303" s="2" t="inlineStr">
        <is>
          <t>ORD-01302</t>
        </is>
      </c>
      <c r="B1303" s="2" t="inlineStr">
        <is>
          <t>Customer 15</t>
        </is>
      </c>
      <c r="C1303" s="2" t="inlineStr">
        <is>
          <t>Switchgear</t>
        </is>
      </c>
      <c r="D1303" s="2" t="inlineStr">
        <is>
          <t>Plant C</t>
        </is>
      </c>
      <c r="E1303" s="2" t="inlineStr">
        <is>
          <t>North</t>
        </is>
      </c>
      <c r="F1303" s="12" t="n">
        <v>46054</v>
      </c>
      <c r="G1303" s="12" t="n">
        <v>46071</v>
      </c>
      <c r="H1303" s="12" t="n">
        <v>46069</v>
      </c>
      <c r="I1303" s="12" t="n">
        <v>46067</v>
      </c>
      <c r="J1303" s="12" t="n">
        <v>46068</v>
      </c>
      <c r="K1303" s="2" t="n">
        <v>1124</v>
      </c>
      <c r="L1303" s="2" t="inlineStr">
        <is>
          <t>Road</t>
        </is>
      </c>
      <c r="M1303" s="2" t="inlineStr">
        <is>
          <t>No Delay</t>
        </is>
      </c>
      <c r="N1303" s="4">
        <f>IF(I1303&lt;=H1303,1,0)</f>
        <v/>
      </c>
      <c r="O1303" s="4">
        <f>IF(J1303&lt;=G1303,1,0)</f>
        <v/>
      </c>
      <c r="P1303" s="4">
        <f>MAX(0,I1303-H1303)</f>
        <v/>
      </c>
      <c r="Q1303" s="4">
        <f>MAX(0,J1303-G1303)</f>
        <v/>
      </c>
      <c r="R1303" s="4">
        <f>IF(AND(N1303=1,O1303=1),"On Track",IF(O1303=0,"Customer Delivery Late","Ship Late"))</f>
        <v/>
      </c>
    </row>
    <row r="1304">
      <c r="A1304" s="2" t="inlineStr">
        <is>
          <t>ORD-01303</t>
        </is>
      </c>
      <c r="B1304" s="2" t="inlineStr">
        <is>
          <t>Customer 13</t>
        </is>
      </c>
      <c r="C1304" s="2" t="inlineStr">
        <is>
          <t>Drive</t>
        </is>
      </c>
      <c r="D1304" s="2" t="inlineStr">
        <is>
          <t>Plant A</t>
        </is>
      </c>
      <c r="E1304" s="2" t="inlineStr">
        <is>
          <t>North</t>
        </is>
      </c>
      <c r="F1304" s="12" t="n">
        <v>46178</v>
      </c>
      <c r="G1304" s="12" t="n">
        <v>46189</v>
      </c>
      <c r="H1304" s="12" t="n">
        <v>46187</v>
      </c>
      <c r="I1304" s="12" t="n">
        <v>46187</v>
      </c>
      <c r="J1304" s="12" t="n">
        <v>46189</v>
      </c>
      <c r="K1304" s="2" t="n">
        <v>842</v>
      </c>
      <c r="L1304" s="2" t="inlineStr">
        <is>
          <t>Road</t>
        </is>
      </c>
      <c r="M1304" s="2" t="inlineStr">
        <is>
          <t>No Delay</t>
        </is>
      </c>
      <c r="N1304" s="4">
        <f>IF(I1304&lt;=H1304,1,0)</f>
        <v/>
      </c>
      <c r="O1304" s="4">
        <f>IF(J1304&lt;=G1304,1,0)</f>
        <v/>
      </c>
      <c r="P1304" s="4">
        <f>MAX(0,I1304-H1304)</f>
        <v/>
      </c>
      <c r="Q1304" s="4">
        <f>MAX(0,J1304-G1304)</f>
        <v/>
      </c>
      <c r="R1304" s="4">
        <f>IF(AND(N1304=1,O1304=1),"On Track",IF(O1304=0,"Customer Delivery Late","Ship Late"))</f>
        <v/>
      </c>
    </row>
    <row r="1305">
      <c r="A1305" s="2" t="inlineStr">
        <is>
          <t>ORD-01304</t>
        </is>
      </c>
      <c r="B1305" s="2" t="inlineStr">
        <is>
          <t>Customer 17</t>
        </is>
      </c>
      <c r="C1305" s="2" t="inlineStr">
        <is>
          <t>Power Supply</t>
        </is>
      </c>
      <c r="D1305" s="2" t="inlineStr">
        <is>
          <t>Plant C</t>
        </is>
      </c>
      <c r="E1305" s="2" t="inlineStr">
        <is>
          <t>North</t>
        </is>
      </c>
      <c r="F1305" s="12" t="n">
        <v>46042</v>
      </c>
      <c r="G1305" s="12" t="n">
        <v>46049</v>
      </c>
      <c r="H1305" s="12" t="n">
        <v>46044</v>
      </c>
      <c r="I1305" s="12" t="n">
        <v>46043</v>
      </c>
      <c r="J1305" s="12" t="n">
        <v>46048</v>
      </c>
      <c r="K1305" s="2" t="n">
        <v>31</v>
      </c>
      <c r="L1305" s="2" t="inlineStr">
        <is>
          <t>Road</t>
        </is>
      </c>
      <c r="M1305" s="2" t="inlineStr">
        <is>
          <t>No Delay</t>
        </is>
      </c>
      <c r="N1305" s="4">
        <f>IF(I1305&lt;=H1305,1,0)</f>
        <v/>
      </c>
      <c r="O1305" s="4">
        <f>IF(J1305&lt;=G1305,1,0)</f>
        <v/>
      </c>
      <c r="P1305" s="4">
        <f>MAX(0,I1305-H1305)</f>
        <v/>
      </c>
      <c r="Q1305" s="4">
        <f>MAX(0,J1305-G1305)</f>
        <v/>
      </c>
      <c r="R1305" s="4">
        <f>IF(AND(N1305=1,O1305=1),"On Track",IF(O1305=0,"Customer Delivery Late","Ship Late"))</f>
        <v/>
      </c>
    </row>
    <row r="1306">
      <c r="A1306" s="2" t="inlineStr">
        <is>
          <t>ORD-01305</t>
        </is>
      </c>
      <c r="B1306" s="2" t="inlineStr">
        <is>
          <t>Customer 27</t>
        </is>
      </c>
      <c r="C1306" s="2" t="inlineStr">
        <is>
          <t>Breaker</t>
        </is>
      </c>
      <c r="D1306" s="2" t="inlineStr">
        <is>
          <t>Plant A</t>
        </is>
      </c>
      <c r="E1306" s="2" t="inlineStr">
        <is>
          <t>Export</t>
        </is>
      </c>
      <c r="F1306" s="12" t="n">
        <v>46076</v>
      </c>
      <c r="G1306" s="12" t="n">
        <v>46081</v>
      </c>
      <c r="H1306" s="12" t="n">
        <v>46080</v>
      </c>
      <c r="I1306" s="12" t="n">
        <v>46079</v>
      </c>
      <c r="J1306" s="12" t="n">
        <v>46080</v>
      </c>
      <c r="K1306" s="2" t="n">
        <v>693</v>
      </c>
      <c r="L1306" s="2" t="inlineStr">
        <is>
          <t>Air</t>
        </is>
      </c>
      <c r="M1306" s="2" t="inlineStr">
        <is>
          <t>No Delay</t>
        </is>
      </c>
      <c r="N1306" s="4">
        <f>IF(I1306&lt;=H1306,1,0)</f>
        <v/>
      </c>
      <c r="O1306" s="4">
        <f>IF(J1306&lt;=G1306,1,0)</f>
        <v/>
      </c>
      <c r="P1306" s="4">
        <f>MAX(0,I1306-H1306)</f>
        <v/>
      </c>
      <c r="Q1306" s="4">
        <f>MAX(0,J1306-G1306)</f>
        <v/>
      </c>
      <c r="R1306" s="4">
        <f>IF(AND(N1306=1,O1306=1),"On Track",IF(O1306=0,"Customer Delivery Late","Ship Late"))</f>
        <v/>
      </c>
    </row>
    <row r="1307">
      <c r="A1307" s="2" t="inlineStr">
        <is>
          <t>ORD-01306</t>
        </is>
      </c>
      <c r="B1307" s="2" t="inlineStr">
        <is>
          <t>Customer 29</t>
        </is>
      </c>
      <c r="C1307" s="2" t="inlineStr">
        <is>
          <t>PLC</t>
        </is>
      </c>
      <c r="D1307" s="2" t="inlineStr">
        <is>
          <t>Plant B</t>
        </is>
      </c>
      <c r="E1307" s="2" t="inlineStr">
        <is>
          <t>South</t>
        </is>
      </c>
      <c r="F1307" s="12" t="n">
        <v>46186</v>
      </c>
      <c r="G1307" s="12" t="n">
        <v>46206</v>
      </c>
      <c r="H1307" s="12" t="n">
        <v>46203</v>
      </c>
      <c r="I1307" s="12" t="n">
        <v>46203</v>
      </c>
      <c r="J1307" s="12" t="n">
        <v>46206</v>
      </c>
      <c r="K1307" s="2" t="n">
        <v>1258</v>
      </c>
      <c r="L1307" s="2" t="inlineStr">
        <is>
          <t>Air</t>
        </is>
      </c>
      <c r="M1307" s="2" t="inlineStr">
        <is>
          <t>No Delay</t>
        </is>
      </c>
      <c r="N1307" s="4">
        <f>IF(I1307&lt;=H1307,1,0)</f>
        <v/>
      </c>
      <c r="O1307" s="4">
        <f>IF(J1307&lt;=G1307,1,0)</f>
        <v/>
      </c>
      <c r="P1307" s="4">
        <f>MAX(0,I1307-H1307)</f>
        <v/>
      </c>
      <c r="Q1307" s="4">
        <f>MAX(0,J1307-G1307)</f>
        <v/>
      </c>
      <c r="R1307" s="4">
        <f>IF(AND(N1307=1,O1307=1),"On Track",IF(O1307=0,"Customer Delivery Late","Ship Late"))</f>
        <v/>
      </c>
    </row>
    <row r="1308">
      <c r="A1308" s="2" t="inlineStr">
        <is>
          <t>ORD-01307</t>
        </is>
      </c>
      <c r="B1308" s="2" t="inlineStr">
        <is>
          <t>Customer 19</t>
        </is>
      </c>
      <c r="C1308" s="2" t="inlineStr">
        <is>
          <t>Sensor</t>
        </is>
      </c>
      <c r="D1308" s="2" t="inlineStr">
        <is>
          <t>Plant A</t>
        </is>
      </c>
      <c r="E1308" s="2" t="inlineStr">
        <is>
          <t>South</t>
        </is>
      </c>
      <c r="F1308" s="12" t="n">
        <v>46057</v>
      </c>
      <c r="G1308" s="12" t="n">
        <v>46063</v>
      </c>
      <c r="H1308" s="12" t="n">
        <v>46062</v>
      </c>
      <c r="I1308" s="12" t="n">
        <v>46060</v>
      </c>
      <c r="J1308" s="12" t="n">
        <v>46062</v>
      </c>
      <c r="K1308" s="2" t="n">
        <v>472</v>
      </c>
      <c r="L1308" s="2" t="inlineStr">
        <is>
          <t>Road</t>
        </is>
      </c>
      <c r="M1308" s="2" t="inlineStr">
        <is>
          <t>No Delay</t>
        </is>
      </c>
      <c r="N1308" s="4">
        <f>IF(I1308&lt;=H1308,1,0)</f>
        <v/>
      </c>
      <c r="O1308" s="4">
        <f>IF(J1308&lt;=G1308,1,0)</f>
        <v/>
      </c>
      <c r="P1308" s="4">
        <f>MAX(0,I1308-H1308)</f>
        <v/>
      </c>
      <c r="Q1308" s="4">
        <f>MAX(0,J1308-G1308)</f>
        <v/>
      </c>
      <c r="R1308" s="4">
        <f>IF(AND(N1308=1,O1308=1),"On Track",IF(O1308=0,"Customer Delivery Late","Ship Late"))</f>
        <v/>
      </c>
    </row>
    <row r="1309">
      <c r="A1309" s="2" t="inlineStr">
        <is>
          <t>ORD-01308</t>
        </is>
      </c>
      <c r="B1309" s="2" t="inlineStr">
        <is>
          <t>Customer 27</t>
        </is>
      </c>
      <c r="C1309" s="2" t="inlineStr">
        <is>
          <t>Relay</t>
        </is>
      </c>
      <c r="D1309" s="2" t="inlineStr">
        <is>
          <t>Plant A</t>
        </is>
      </c>
      <c r="E1309" s="2" t="inlineStr">
        <is>
          <t>Central</t>
        </is>
      </c>
      <c r="F1309" s="12" t="n">
        <v>46124</v>
      </c>
      <c r="G1309" s="12" t="n">
        <v>46145</v>
      </c>
      <c r="H1309" s="12" t="n">
        <v>46141</v>
      </c>
      <c r="I1309" s="12" t="n">
        <v>46139</v>
      </c>
      <c r="J1309" s="12" t="n">
        <v>46143</v>
      </c>
      <c r="K1309" s="2" t="n">
        <v>160</v>
      </c>
      <c r="L1309" s="2" t="inlineStr">
        <is>
          <t>Road</t>
        </is>
      </c>
      <c r="M1309" s="2" t="inlineStr">
        <is>
          <t>No Delay</t>
        </is>
      </c>
      <c r="N1309" s="4">
        <f>IF(I1309&lt;=H1309,1,0)</f>
        <v/>
      </c>
      <c r="O1309" s="4">
        <f>IF(J1309&lt;=G1309,1,0)</f>
        <v/>
      </c>
      <c r="P1309" s="4">
        <f>MAX(0,I1309-H1309)</f>
        <v/>
      </c>
      <c r="Q1309" s="4">
        <f>MAX(0,J1309-G1309)</f>
        <v/>
      </c>
      <c r="R1309" s="4">
        <f>IF(AND(N1309=1,O1309=1),"On Track",IF(O1309=0,"Customer Delivery Late","Ship Late"))</f>
        <v/>
      </c>
    </row>
    <row r="1310">
      <c r="A1310" s="2" t="inlineStr">
        <is>
          <t>ORD-01309</t>
        </is>
      </c>
      <c r="B1310" s="2" t="inlineStr">
        <is>
          <t>Customer 23</t>
        </is>
      </c>
      <c r="C1310" s="2" t="inlineStr">
        <is>
          <t>Sensor</t>
        </is>
      </c>
      <c r="D1310" s="2" t="inlineStr">
        <is>
          <t>Plant A</t>
        </is>
      </c>
      <c r="E1310" s="2" t="inlineStr">
        <is>
          <t>Export</t>
        </is>
      </c>
      <c r="F1310" s="12" t="n">
        <v>46138</v>
      </c>
      <c r="G1310" s="12" t="n">
        <v>46151</v>
      </c>
      <c r="H1310" s="12" t="n">
        <v>46148</v>
      </c>
      <c r="I1310" s="12" t="n">
        <v>46146</v>
      </c>
      <c r="J1310" s="12" t="n">
        <v>46149</v>
      </c>
      <c r="K1310" s="2" t="n">
        <v>97</v>
      </c>
      <c r="L1310" s="2" t="inlineStr">
        <is>
          <t>Air</t>
        </is>
      </c>
      <c r="M1310" s="2" t="inlineStr">
        <is>
          <t>No Delay</t>
        </is>
      </c>
      <c r="N1310" s="4">
        <f>IF(I1310&lt;=H1310,1,0)</f>
        <v/>
      </c>
      <c r="O1310" s="4">
        <f>IF(J1310&lt;=G1310,1,0)</f>
        <v/>
      </c>
      <c r="P1310" s="4">
        <f>MAX(0,I1310-H1310)</f>
        <v/>
      </c>
      <c r="Q1310" s="4">
        <f>MAX(0,J1310-G1310)</f>
        <v/>
      </c>
      <c r="R1310" s="4">
        <f>IF(AND(N1310=1,O1310=1),"On Track",IF(O1310=0,"Customer Delivery Late","Ship Late"))</f>
        <v/>
      </c>
    </row>
    <row r="1311">
      <c r="A1311" s="2" t="inlineStr">
        <is>
          <t>ORD-01310</t>
        </is>
      </c>
      <c r="B1311" s="2" t="inlineStr">
        <is>
          <t>Customer 24</t>
        </is>
      </c>
      <c r="C1311" s="2" t="inlineStr">
        <is>
          <t>Breaker</t>
        </is>
      </c>
      <c r="D1311" s="2" t="inlineStr">
        <is>
          <t>Plant C</t>
        </is>
      </c>
      <c r="E1311" s="2" t="inlineStr">
        <is>
          <t>North</t>
        </is>
      </c>
      <c r="F1311" s="12" t="n">
        <v>46184</v>
      </c>
      <c r="G1311" s="12" t="n">
        <v>46189</v>
      </c>
      <c r="H1311" s="12" t="n">
        <v>46186</v>
      </c>
      <c r="I1311" s="12" t="n">
        <v>46185</v>
      </c>
      <c r="J1311" s="12" t="n">
        <v>46188</v>
      </c>
      <c r="K1311" s="2" t="n">
        <v>248</v>
      </c>
      <c r="L1311" s="2" t="inlineStr">
        <is>
          <t>Sea</t>
        </is>
      </c>
      <c r="M1311" s="2" t="inlineStr">
        <is>
          <t>No Delay</t>
        </is>
      </c>
      <c r="N1311" s="4">
        <f>IF(I1311&lt;=H1311,1,0)</f>
        <v/>
      </c>
      <c r="O1311" s="4">
        <f>IF(J1311&lt;=G1311,1,0)</f>
        <v/>
      </c>
      <c r="P1311" s="4">
        <f>MAX(0,I1311-H1311)</f>
        <v/>
      </c>
      <c r="Q1311" s="4">
        <f>MAX(0,J1311-G1311)</f>
        <v/>
      </c>
      <c r="R1311" s="4">
        <f>IF(AND(N1311=1,O1311=1),"On Track",IF(O1311=0,"Customer Delivery Late","Ship Late"))</f>
        <v/>
      </c>
    </row>
    <row r="1312">
      <c r="A1312" s="2" t="inlineStr">
        <is>
          <t>ORD-01311</t>
        </is>
      </c>
      <c r="B1312" s="2" t="inlineStr">
        <is>
          <t>Customer 12</t>
        </is>
      </c>
      <c r="C1312" s="2" t="inlineStr">
        <is>
          <t>Power Supply</t>
        </is>
      </c>
      <c r="D1312" s="2" t="inlineStr">
        <is>
          <t>Plant B</t>
        </is>
      </c>
      <c r="E1312" s="2" t="inlineStr">
        <is>
          <t>North</t>
        </is>
      </c>
      <c r="F1312" s="12" t="n">
        <v>46055</v>
      </c>
      <c r="G1312" s="12" t="n">
        <v>46073</v>
      </c>
      <c r="H1312" s="12" t="n">
        <v>46072</v>
      </c>
      <c r="I1312" s="12" t="n">
        <v>46070</v>
      </c>
      <c r="J1312" s="12" t="n">
        <v>46072</v>
      </c>
      <c r="K1312" s="2" t="n">
        <v>65</v>
      </c>
      <c r="L1312" s="2" t="inlineStr">
        <is>
          <t>Air</t>
        </is>
      </c>
      <c r="M1312" s="2" t="inlineStr">
        <is>
          <t>No Delay</t>
        </is>
      </c>
      <c r="N1312" s="4">
        <f>IF(I1312&lt;=H1312,1,0)</f>
        <v/>
      </c>
      <c r="O1312" s="4">
        <f>IF(J1312&lt;=G1312,1,0)</f>
        <v/>
      </c>
      <c r="P1312" s="4">
        <f>MAX(0,I1312-H1312)</f>
        <v/>
      </c>
      <c r="Q1312" s="4">
        <f>MAX(0,J1312-G1312)</f>
        <v/>
      </c>
      <c r="R1312" s="4">
        <f>IF(AND(N1312=1,O1312=1),"On Track",IF(O1312=0,"Customer Delivery Late","Ship Late"))</f>
        <v/>
      </c>
    </row>
    <row r="1313">
      <c r="A1313" s="2" t="inlineStr">
        <is>
          <t>ORD-01312</t>
        </is>
      </c>
      <c r="B1313" s="2" t="inlineStr">
        <is>
          <t>Customer 25</t>
        </is>
      </c>
      <c r="C1313" s="2" t="inlineStr">
        <is>
          <t>PLC</t>
        </is>
      </c>
      <c r="D1313" s="2" t="inlineStr">
        <is>
          <t>Plant B</t>
        </is>
      </c>
      <c r="E1313" s="2" t="inlineStr">
        <is>
          <t>South</t>
        </is>
      </c>
      <c r="F1313" s="12" t="n">
        <v>46062</v>
      </c>
      <c r="G1313" s="12" t="n">
        <v>46081</v>
      </c>
      <c r="H1313" s="12" t="n">
        <v>46080</v>
      </c>
      <c r="I1313" s="12" t="n">
        <v>46080</v>
      </c>
      <c r="J1313" s="12" t="n">
        <v>46081</v>
      </c>
      <c r="K1313" s="2" t="n">
        <v>738</v>
      </c>
      <c r="L1313" s="2" t="inlineStr">
        <is>
          <t>Road</t>
        </is>
      </c>
      <c r="M1313" s="2" t="inlineStr">
        <is>
          <t>No Delay</t>
        </is>
      </c>
      <c r="N1313" s="4">
        <f>IF(I1313&lt;=H1313,1,0)</f>
        <v/>
      </c>
      <c r="O1313" s="4">
        <f>IF(J1313&lt;=G1313,1,0)</f>
        <v/>
      </c>
      <c r="P1313" s="4">
        <f>MAX(0,I1313-H1313)</f>
        <v/>
      </c>
      <c r="Q1313" s="4">
        <f>MAX(0,J1313-G1313)</f>
        <v/>
      </c>
      <c r="R1313" s="4">
        <f>IF(AND(N1313=1,O1313=1),"On Track",IF(O1313=0,"Customer Delivery Late","Ship Late"))</f>
        <v/>
      </c>
    </row>
    <row r="1314">
      <c r="A1314" s="2" t="inlineStr">
        <is>
          <t>ORD-01313</t>
        </is>
      </c>
      <c r="B1314" s="2" t="inlineStr">
        <is>
          <t>Customer 16</t>
        </is>
      </c>
      <c r="C1314" s="2" t="inlineStr">
        <is>
          <t>Power Supply</t>
        </is>
      </c>
      <c r="D1314" s="2" t="inlineStr">
        <is>
          <t>Plant C</t>
        </is>
      </c>
      <c r="E1314" s="2" t="inlineStr">
        <is>
          <t>Central</t>
        </is>
      </c>
      <c r="F1314" s="12" t="n">
        <v>46133</v>
      </c>
      <c r="G1314" s="12" t="n">
        <v>46154</v>
      </c>
      <c r="H1314" s="12" t="n">
        <v>46149</v>
      </c>
      <c r="I1314" s="12" t="n">
        <v>46149</v>
      </c>
      <c r="J1314" s="12" t="n">
        <v>46154</v>
      </c>
      <c r="K1314" s="2" t="n">
        <v>1282</v>
      </c>
      <c r="L1314" s="2" t="inlineStr">
        <is>
          <t>Road</t>
        </is>
      </c>
      <c r="M1314" s="2" t="inlineStr">
        <is>
          <t>No Delay</t>
        </is>
      </c>
      <c r="N1314" s="4">
        <f>IF(I1314&lt;=H1314,1,0)</f>
        <v/>
      </c>
      <c r="O1314" s="4">
        <f>IF(J1314&lt;=G1314,1,0)</f>
        <v/>
      </c>
      <c r="P1314" s="4">
        <f>MAX(0,I1314-H1314)</f>
        <v/>
      </c>
      <c r="Q1314" s="4">
        <f>MAX(0,J1314-G1314)</f>
        <v/>
      </c>
      <c r="R1314" s="4">
        <f>IF(AND(N1314=1,O1314=1),"On Track",IF(O1314=0,"Customer Delivery Late","Ship Late"))</f>
        <v/>
      </c>
    </row>
    <row r="1315">
      <c r="A1315" s="2" t="inlineStr">
        <is>
          <t>ORD-01314</t>
        </is>
      </c>
      <c r="B1315" s="2" t="inlineStr">
        <is>
          <t>Customer 18</t>
        </is>
      </c>
      <c r="C1315" s="2" t="inlineStr">
        <is>
          <t>Breaker</t>
        </is>
      </c>
      <c r="D1315" s="2" t="inlineStr">
        <is>
          <t>Plant C</t>
        </is>
      </c>
      <c r="E1315" s="2" t="inlineStr">
        <is>
          <t>Export</t>
        </is>
      </c>
      <c r="F1315" s="12" t="n">
        <v>46157</v>
      </c>
      <c r="G1315" s="12" t="n">
        <v>46170</v>
      </c>
      <c r="H1315" s="12" t="n">
        <v>46167</v>
      </c>
      <c r="I1315" s="12" t="n">
        <v>46165</v>
      </c>
      <c r="J1315" s="12" t="n">
        <v>46168</v>
      </c>
      <c r="K1315" s="2" t="n">
        <v>407</v>
      </c>
      <c r="L1315" s="2" t="inlineStr">
        <is>
          <t>Air</t>
        </is>
      </c>
      <c r="M1315" s="2" t="inlineStr">
        <is>
          <t>No Delay</t>
        </is>
      </c>
      <c r="N1315" s="4">
        <f>IF(I1315&lt;=H1315,1,0)</f>
        <v/>
      </c>
      <c r="O1315" s="4">
        <f>IF(J1315&lt;=G1315,1,0)</f>
        <v/>
      </c>
      <c r="P1315" s="4">
        <f>MAX(0,I1315-H1315)</f>
        <v/>
      </c>
      <c r="Q1315" s="4">
        <f>MAX(0,J1315-G1315)</f>
        <v/>
      </c>
      <c r="R1315" s="4">
        <f>IF(AND(N1315=1,O1315=1),"On Track",IF(O1315=0,"Customer Delivery Late","Ship Late"))</f>
        <v/>
      </c>
    </row>
    <row r="1316">
      <c r="A1316" s="2" t="inlineStr">
        <is>
          <t>ORD-01315</t>
        </is>
      </c>
      <c r="B1316" s="2" t="inlineStr">
        <is>
          <t>Customer 08</t>
        </is>
      </c>
      <c r="C1316" s="2" t="inlineStr">
        <is>
          <t>Drive</t>
        </is>
      </c>
      <c r="D1316" s="2" t="inlineStr">
        <is>
          <t>Plant C</t>
        </is>
      </c>
      <c r="E1316" s="2" t="inlineStr">
        <is>
          <t>North</t>
        </is>
      </c>
      <c r="F1316" s="12" t="n">
        <v>46099</v>
      </c>
      <c r="G1316" s="12" t="n">
        <v>46111</v>
      </c>
      <c r="H1316" s="12" t="n">
        <v>46107</v>
      </c>
      <c r="I1316" s="12" t="n">
        <v>46107</v>
      </c>
      <c r="J1316" s="12" t="n">
        <v>46111</v>
      </c>
      <c r="K1316" s="2" t="n">
        <v>119</v>
      </c>
      <c r="L1316" s="2" t="inlineStr">
        <is>
          <t>Road</t>
        </is>
      </c>
      <c r="M1316" s="2" t="inlineStr">
        <is>
          <t>No Delay</t>
        </is>
      </c>
      <c r="N1316" s="4">
        <f>IF(I1316&lt;=H1316,1,0)</f>
        <v/>
      </c>
      <c r="O1316" s="4">
        <f>IF(J1316&lt;=G1316,1,0)</f>
        <v/>
      </c>
      <c r="P1316" s="4">
        <f>MAX(0,I1316-H1316)</f>
        <v/>
      </c>
      <c r="Q1316" s="4">
        <f>MAX(0,J1316-G1316)</f>
        <v/>
      </c>
      <c r="R1316" s="4">
        <f>IF(AND(N1316=1,O1316=1),"On Track",IF(O1316=0,"Customer Delivery Late","Ship Late"))</f>
        <v/>
      </c>
    </row>
    <row r="1317">
      <c r="A1317" s="2" t="inlineStr">
        <is>
          <t>ORD-01316</t>
        </is>
      </c>
      <c r="B1317" s="2" t="inlineStr">
        <is>
          <t>Customer 19</t>
        </is>
      </c>
      <c r="C1317" s="2" t="inlineStr">
        <is>
          <t>Contactor</t>
        </is>
      </c>
      <c r="D1317" s="2" t="inlineStr">
        <is>
          <t>Plant B</t>
        </is>
      </c>
      <c r="E1317" s="2" t="inlineStr">
        <is>
          <t>South</t>
        </is>
      </c>
      <c r="F1317" s="12" t="n">
        <v>46193</v>
      </c>
      <c r="G1317" s="12" t="n">
        <v>46209</v>
      </c>
      <c r="H1317" s="12" t="n">
        <v>46205</v>
      </c>
      <c r="I1317" s="12" t="n">
        <v>46203</v>
      </c>
      <c r="J1317" s="12" t="n">
        <v>46208</v>
      </c>
      <c r="K1317" s="2" t="n">
        <v>1185</v>
      </c>
      <c r="L1317" s="2" t="inlineStr">
        <is>
          <t>Road</t>
        </is>
      </c>
      <c r="M1317" s="2" t="inlineStr">
        <is>
          <t>No Delay</t>
        </is>
      </c>
      <c r="N1317" s="4">
        <f>IF(I1317&lt;=H1317,1,0)</f>
        <v/>
      </c>
      <c r="O1317" s="4">
        <f>IF(J1317&lt;=G1317,1,0)</f>
        <v/>
      </c>
      <c r="P1317" s="4">
        <f>MAX(0,I1317-H1317)</f>
        <v/>
      </c>
      <c r="Q1317" s="4">
        <f>MAX(0,J1317-G1317)</f>
        <v/>
      </c>
      <c r="R1317" s="4">
        <f>IF(AND(N1317=1,O1317=1),"On Track",IF(O1317=0,"Customer Delivery Late","Ship Late"))</f>
        <v/>
      </c>
    </row>
    <row r="1318">
      <c r="A1318" s="2" t="inlineStr">
        <is>
          <t>ORD-01317</t>
        </is>
      </c>
      <c r="B1318" s="2" t="inlineStr">
        <is>
          <t>Customer 20</t>
        </is>
      </c>
      <c r="C1318" s="2" t="inlineStr">
        <is>
          <t>Power Supply</t>
        </is>
      </c>
      <c r="D1318" s="2" t="inlineStr">
        <is>
          <t>Plant C</t>
        </is>
      </c>
      <c r="E1318" s="2" t="inlineStr">
        <is>
          <t>Export</t>
        </is>
      </c>
      <c r="F1318" s="12" t="n">
        <v>46027</v>
      </c>
      <c r="G1318" s="12" t="n">
        <v>46046</v>
      </c>
      <c r="H1318" s="12" t="n">
        <v>46043</v>
      </c>
      <c r="I1318" s="12" t="n">
        <v>46041</v>
      </c>
      <c r="J1318" s="12" t="n">
        <v>46045</v>
      </c>
      <c r="K1318" s="2" t="n">
        <v>1355</v>
      </c>
      <c r="L1318" s="2" t="inlineStr">
        <is>
          <t>Air</t>
        </is>
      </c>
      <c r="M1318" s="2" t="inlineStr">
        <is>
          <t>No Delay</t>
        </is>
      </c>
      <c r="N1318" s="4">
        <f>IF(I1318&lt;=H1318,1,0)</f>
        <v/>
      </c>
      <c r="O1318" s="4">
        <f>IF(J1318&lt;=G1318,1,0)</f>
        <v/>
      </c>
      <c r="P1318" s="4">
        <f>MAX(0,I1318-H1318)</f>
        <v/>
      </c>
      <c r="Q1318" s="4">
        <f>MAX(0,J1318-G1318)</f>
        <v/>
      </c>
      <c r="R1318" s="4">
        <f>IF(AND(N1318=1,O1318=1),"On Track",IF(O1318=0,"Customer Delivery Late","Ship Late"))</f>
        <v/>
      </c>
    </row>
    <row r="1319">
      <c r="A1319" s="2" t="inlineStr">
        <is>
          <t>ORD-01318</t>
        </is>
      </c>
      <c r="B1319" s="2" t="inlineStr">
        <is>
          <t>Customer 10</t>
        </is>
      </c>
      <c r="C1319" s="2" t="inlineStr">
        <is>
          <t>Relay</t>
        </is>
      </c>
      <c r="D1319" s="2" t="inlineStr">
        <is>
          <t>Plant C</t>
        </is>
      </c>
      <c r="E1319" s="2" t="inlineStr">
        <is>
          <t>South</t>
        </is>
      </c>
      <c r="F1319" s="12" t="n">
        <v>46164</v>
      </c>
      <c r="G1319" s="12" t="n">
        <v>46189</v>
      </c>
      <c r="H1319" s="12" t="n">
        <v>46184</v>
      </c>
      <c r="I1319" s="12" t="n">
        <v>46184</v>
      </c>
      <c r="J1319" s="12" t="n">
        <v>46188</v>
      </c>
      <c r="K1319" s="2" t="n">
        <v>1196</v>
      </c>
      <c r="L1319" s="2" t="inlineStr">
        <is>
          <t>Air</t>
        </is>
      </c>
      <c r="M1319" s="2" t="inlineStr">
        <is>
          <t>No Delay</t>
        </is>
      </c>
      <c r="N1319" s="4">
        <f>IF(I1319&lt;=H1319,1,0)</f>
        <v/>
      </c>
      <c r="O1319" s="4">
        <f>IF(J1319&lt;=G1319,1,0)</f>
        <v/>
      </c>
      <c r="P1319" s="4">
        <f>MAX(0,I1319-H1319)</f>
        <v/>
      </c>
      <c r="Q1319" s="4">
        <f>MAX(0,J1319-G1319)</f>
        <v/>
      </c>
      <c r="R1319" s="4">
        <f>IF(AND(N1319=1,O1319=1),"On Track",IF(O1319=0,"Customer Delivery Late","Ship Late"))</f>
        <v/>
      </c>
    </row>
    <row r="1320">
      <c r="A1320" s="2" t="inlineStr">
        <is>
          <t>ORD-01319</t>
        </is>
      </c>
      <c r="B1320" s="2" t="inlineStr">
        <is>
          <t>Customer 17</t>
        </is>
      </c>
      <c r="C1320" s="2" t="inlineStr">
        <is>
          <t>Sensor</t>
        </is>
      </c>
      <c r="D1320" s="2" t="inlineStr">
        <is>
          <t>Plant C</t>
        </is>
      </c>
      <c r="E1320" s="2" t="inlineStr">
        <is>
          <t>Central</t>
        </is>
      </c>
      <c r="F1320" s="12" t="n">
        <v>46186</v>
      </c>
      <c r="G1320" s="12" t="n">
        <v>46209</v>
      </c>
      <c r="H1320" s="12" t="n">
        <v>46207</v>
      </c>
      <c r="I1320" s="12" t="n">
        <v>46207</v>
      </c>
      <c r="J1320" s="12" t="n">
        <v>46209</v>
      </c>
      <c r="K1320" s="2" t="n">
        <v>368</v>
      </c>
      <c r="L1320" s="2" t="inlineStr">
        <is>
          <t>Road</t>
        </is>
      </c>
      <c r="M1320" s="2" t="inlineStr">
        <is>
          <t>No Delay</t>
        </is>
      </c>
      <c r="N1320" s="4">
        <f>IF(I1320&lt;=H1320,1,0)</f>
        <v/>
      </c>
      <c r="O1320" s="4">
        <f>IF(J1320&lt;=G1320,1,0)</f>
        <v/>
      </c>
      <c r="P1320" s="4">
        <f>MAX(0,I1320-H1320)</f>
        <v/>
      </c>
      <c r="Q1320" s="4">
        <f>MAX(0,J1320-G1320)</f>
        <v/>
      </c>
      <c r="R1320" s="4">
        <f>IF(AND(N1320=1,O1320=1),"On Track",IF(O1320=0,"Customer Delivery Late","Ship Late"))</f>
        <v/>
      </c>
    </row>
    <row r="1321">
      <c r="A1321" s="2" t="inlineStr">
        <is>
          <t>ORD-01320</t>
        </is>
      </c>
      <c r="B1321" s="2" t="inlineStr">
        <is>
          <t>Customer 02</t>
        </is>
      </c>
      <c r="C1321" s="2" t="inlineStr">
        <is>
          <t>Power Supply</t>
        </is>
      </c>
      <c r="D1321" s="2" t="inlineStr">
        <is>
          <t>Plant C</t>
        </is>
      </c>
      <c r="E1321" s="2" t="inlineStr">
        <is>
          <t>North</t>
        </is>
      </c>
      <c r="F1321" s="12" t="n">
        <v>46050</v>
      </c>
      <c r="G1321" s="12" t="n">
        <v>46060</v>
      </c>
      <c r="H1321" s="12" t="n">
        <v>46058</v>
      </c>
      <c r="I1321" s="12" t="n">
        <v>46056</v>
      </c>
      <c r="J1321" s="12" t="n">
        <v>46058</v>
      </c>
      <c r="K1321" s="2" t="n">
        <v>1152</v>
      </c>
      <c r="L1321" s="2" t="inlineStr">
        <is>
          <t>Air</t>
        </is>
      </c>
      <c r="M1321" s="2" t="inlineStr">
        <is>
          <t>No Delay</t>
        </is>
      </c>
      <c r="N1321" s="4">
        <f>IF(I1321&lt;=H1321,1,0)</f>
        <v/>
      </c>
      <c r="O1321" s="4">
        <f>IF(J1321&lt;=G1321,1,0)</f>
        <v/>
      </c>
      <c r="P1321" s="4">
        <f>MAX(0,I1321-H1321)</f>
        <v/>
      </c>
      <c r="Q1321" s="4">
        <f>MAX(0,J1321-G1321)</f>
        <v/>
      </c>
      <c r="R1321" s="4">
        <f>IF(AND(N1321=1,O1321=1),"On Track",IF(O1321=0,"Customer Delivery Late","Ship Late"))</f>
        <v/>
      </c>
    </row>
    <row r="1322">
      <c r="A1322" s="2" t="inlineStr">
        <is>
          <t>ORD-01321</t>
        </is>
      </c>
      <c r="B1322" s="2" t="inlineStr">
        <is>
          <t>Customer 07</t>
        </is>
      </c>
      <c r="C1322" s="2" t="inlineStr">
        <is>
          <t>Sensor</t>
        </is>
      </c>
      <c r="D1322" s="2" t="inlineStr">
        <is>
          <t>Plant C</t>
        </is>
      </c>
      <c r="E1322" s="2" t="inlineStr">
        <is>
          <t>Central</t>
        </is>
      </c>
      <c r="F1322" s="12" t="n">
        <v>46062</v>
      </c>
      <c r="G1322" s="12" t="n">
        <v>46079</v>
      </c>
      <c r="H1322" s="12" t="n">
        <v>46078</v>
      </c>
      <c r="I1322" s="12" t="n">
        <v>46077</v>
      </c>
      <c r="J1322" s="12" t="n">
        <v>46078</v>
      </c>
      <c r="K1322" s="2" t="n">
        <v>1074</v>
      </c>
      <c r="L1322" s="2" t="inlineStr">
        <is>
          <t>Sea</t>
        </is>
      </c>
      <c r="M1322" s="2" t="inlineStr">
        <is>
          <t>No Delay</t>
        </is>
      </c>
      <c r="N1322" s="4">
        <f>IF(I1322&lt;=H1322,1,0)</f>
        <v/>
      </c>
      <c r="O1322" s="4">
        <f>IF(J1322&lt;=G1322,1,0)</f>
        <v/>
      </c>
      <c r="P1322" s="4">
        <f>MAX(0,I1322-H1322)</f>
        <v/>
      </c>
      <c r="Q1322" s="4">
        <f>MAX(0,J1322-G1322)</f>
        <v/>
      </c>
      <c r="R1322" s="4">
        <f>IF(AND(N1322=1,O1322=1),"On Track",IF(O1322=0,"Customer Delivery Late","Ship Late"))</f>
        <v/>
      </c>
    </row>
    <row r="1323">
      <c r="A1323" s="2" t="inlineStr">
        <is>
          <t>ORD-01322</t>
        </is>
      </c>
      <c r="B1323" s="2" t="inlineStr">
        <is>
          <t>Customer 25</t>
        </is>
      </c>
      <c r="C1323" s="2" t="inlineStr">
        <is>
          <t>Breaker</t>
        </is>
      </c>
      <c r="D1323" s="2" t="inlineStr">
        <is>
          <t>Plant B</t>
        </is>
      </c>
      <c r="E1323" s="2" t="inlineStr">
        <is>
          <t>North</t>
        </is>
      </c>
      <c r="F1323" s="12" t="n">
        <v>46079</v>
      </c>
      <c r="G1323" s="12" t="n">
        <v>46094</v>
      </c>
      <c r="H1323" s="12" t="n">
        <v>46089</v>
      </c>
      <c r="I1323" s="12" t="n">
        <v>46089</v>
      </c>
      <c r="J1323" s="12" t="n">
        <v>46095</v>
      </c>
      <c r="K1323" s="2" t="n">
        <v>715</v>
      </c>
      <c r="L1323" s="2" t="inlineStr">
        <is>
          <t>Air</t>
        </is>
      </c>
      <c r="M1323" s="2" t="inlineStr">
        <is>
          <t>Capacity Constraint</t>
        </is>
      </c>
      <c r="N1323" s="4">
        <f>IF(I1323&lt;=H1323,1,0)</f>
        <v/>
      </c>
      <c r="O1323" s="4">
        <f>IF(J1323&lt;=G1323,1,0)</f>
        <v/>
      </c>
      <c r="P1323" s="4">
        <f>MAX(0,I1323-H1323)</f>
        <v/>
      </c>
      <c r="Q1323" s="4">
        <f>MAX(0,J1323-G1323)</f>
        <v/>
      </c>
      <c r="R1323" s="4">
        <f>IF(AND(N1323=1,O1323=1),"On Track",IF(O1323=0,"Customer Delivery Late","Ship Late"))</f>
        <v/>
      </c>
    </row>
    <row r="1324">
      <c r="A1324" s="2" t="inlineStr">
        <is>
          <t>ORD-01323</t>
        </is>
      </c>
      <c r="B1324" s="2" t="inlineStr">
        <is>
          <t>Customer 26</t>
        </is>
      </c>
      <c r="C1324" s="2" t="inlineStr">
        <is>
          <t>Relay</t>
        </is>
      </c>
      <c r="D1324" s="2" t="inlineStr">
        <is>
          <t>Plant B</t>
        </is>
      </c>
      <c r="E1324" s="2" t="inlineStr">
        <is>
          <t>South</t>
        </is>
      </c>
      <c r="F1324" s="12" t="n">
        <v>46192</v>
      </c>
      <c r="G1324" s="12" t="n">
        <v>46200</v>
      </c>
      <c r="H1324" s="12" t="n">
        <v>46198</v>
      </c>
      <c r="I1324" s="12" t="n">
        <v>46198</v>
      </c>
      <c r="J1324" s="12" t="n">
        <v>46200</v>
      </c>
      <c r="K1324" s="2" t="n">
        <v>1125</v>
      </c>
      <c r="L1324" s="2" t="inlineStr">
        <is>
          <t>Sea</t>
        </is>
      </c>
      <c r="M1324" s="2" t="inlineStr">
        <is>
          <t>No Delay</t>
        </is>
      </c>
      <c r="N1324" s="4">
        <f>IF(I1324&lt;=H1324,1,0)</f>
        <v/>
      </c>
      <c r="O1324" s="4">
        <f>IF(J1324&lt;=G1324,1,0)</f>
        <v/>
      </c>
      <c r="P1324" s="4">
        <f>MAX(0,I1324-H1324)</f>
        <v/>
      </c>
      <c r="Q1324" s="4">
        <f>MAX(0,J1324-G1324)</f>
        <v/>
      </c>
      <c r="R1324" s="4">
        <f>IF(AND(N1324=1,O1324=1),"On Track",IF(O1324=0,"Customer Delivery Late","Ship Late"))</f>
        <v/>
      </c>
    </row>
    <row r="1325">
      <c r="A1325" s="2" t="inlineStr">
        <is>
          <t>ORD-01324</t>
        </is>
      </c>
      <c r="B1325" s="2" t="inlineStr">
        <is>
          <t>Customer 21</t>
        </is>
      </c>
      <c r="C1325" s="2" t="inlineStr">
        <is>
          <t>Contactor</t>
        </is>
      </c>
      <c r="D1325" s="2" t="inlineStr">
        <is>
          <t>Plant A</t>
        </is>
      </c>
      <c r="E1325" s="2" t="inlineStr">
        <is>
          <t>North</t>
        </is>
      </c>
      <c r="F1325" s="12" t="n">
        <v>46060</v>
      </c>
      <c r="G1325" s="12" t="n">
        <v>46078</v>
      </c>
      <c r="H1325" s="12" t="n">
        <v>46075</v>
      </c>
      <c r="I1325" s="12" t="n">
        <v>46075</v>
      </c>
      <c r="J1325" s="12" t="n">
        <v>46079</v>
      </c>
      <c r="K1325" s="2" t="n">
        <v>1160</v>
      </c>
      <c r="L1325" s="2" t="inlineStr">
        <is>
          <t>Air</t>
        </is>
      </c>
      <c r="M1325" s="2" t="inlineStr">
        <is>
          <t>Documentation Issue</t>
        </is>
      </c>
      <c r="N1325" s="4">
        <f>IF(I1325&lt;=H1325,1,0)</f>
        <v/>
      </c>
      <c r="O1325" s="4">
        <f>IF(J1325&lt;=G1325,1,0)</f>
        <v/>
      </c>
      <c r="P1325" s="4">
        <f>MAX(0,I1325-H1325)</f>
        <v/>
      </c>
      <c r="Q1325" s="4">
        <f>MAX(0,J1325-G1325)</f>
        <v/>
      </c>
      <c r="R1325" s="4">
        <f>IF(AND(N1325=1,O1325=1),"On Track",IF(O1325=0,"Customer Delivery Late","Ship Late"))</f>
        <v/>
      </c>
    </row>
    <row r="1326">
      <c r="A1326" s="2" t="inlineStr">
        <is>
          <t>ORD-01325</t>
        </is>
      </c>
      <c r="B1326" s="2" t="inlineStr">
        <is>
          <t>Customer 09</t>
        </is>
      </c>
      <c r="C1326" s="2" t="inlineStr">
        <is>
          <t>PLC</t>
        </is>
      </c>
      <c r="D1326" s="2" t="inlineStr">
        <is>
          <t>Plant B</t>
        </is>
      </c>
      <c r="E1326" s="2" t="inlineStr">
        <is>
          <t>Export</t>
        </is>
      </c>
      <c r="F1326" s="12" t="n">
        <v>46132</v>
      </c>
      <c r="G1326" s="12" t="n">
        <v>46140</v>
      </c>
      <c r="H1326" s="12" t="n">
        <v>46138</v>
      </c>
      <c r="I1326" s="12" t="n">
        <v>46138</v>
      </c>
      <c r="J1326" s="12" t="n">
        <v>46141</v>
      </c>
      <c r="K1326" s="2" t="n">
        <v>1118</v>
      </c>
      <c r="L1326" s="2" t="inlineStr">
        <is>
          <t>Road</t>
        </is>
      </c>
      <c r="M1326" s="2" t="inlineStr">
        <is>
          <t>Material Shortage</t>
        </is>
      </c>
      <c r="N1326" s="4">
        <f>IF(I1326&lt;=H1326,1,0)</f>
        <v/>
      </c>
      <c r="O1326" s="4">
        <f>IF(J1326&lt;=G1326,1,0)</f>
        <v/>
      </c>
      <c r="P1326" s="4">
        <f>MAX(0,I1326-H1326)</f>
        <v/>
      </c>
      <c r="Q1326" s="4">
        <f>MAX(0,J1326-G1326)</f>
        <v/>
      </c>
      <c r="R1326" s="4">
        <f>IF(AND(N1326=1,O1326=1),"On Track",IF(O1326=0,"Customer Delivery Late","Ship Late"))</f>
        <v/>
      </c>
    </row>
    <row r="1327">
      <c r="A1327" s="2" t="inlineStr">
        <is>
          <t>ORD-01326</t>
        </is>
      </c>
      <c r="B1327" s="2" t="inlineStr">
        <is>
          <t>Customer 06</t>
        </is>
      </c>
      <c r="C1327" s="2" t="inlineStr">
        <is>
          <t>Switchgear</t>
        </is>
      </c>
      <c r="D1327" s="2" t="inlineStr">
        <is>
          <t>Plant A</t>
        </is>
      </c>
      <c r="E1327" s="2" t="inlineStr">
        <is>
          <t>North</t>
        </is>
      </c>
      <c r="F1327" s="12" t="n">
        <v>46084</v>
      </c>
      <c r="G1327" s="12" t="n">
        <v>46107</v>
      </c>
      <c r="H1327" s="12" t="n">
        <v>46104</v>
      </c>
      <c r="I1327" s="12" t="n">
        <v>46103</v>
      </c>
      <c r="J1327" s="12" t="n">
        <v>46105</v>
      </c>
      <c r="K1327" s="2" t="n">
        <v>23</v>
      </c>
      <c r="L1327" s="2" t="inlineStr">
        <is>
          <t>Sea</t>
        </is>
      </c>
      <c r="M1327" s="2" t="inlineStr">
        <is>
          <t>No Delay</t>
        </is>
      </c>
      <c r="N1327" s="4">
        <f>IF(I1327&lt;=H1327,1,0)</f>
        <v/>
      </c>
      <c r="O1327" s="4">
        <f>IF(J1327&lt;=G1327,1,0)</f>
        <v/>
      </c>
      <c r="P1327" s="4">
        <f>MAX(0,I1327-H1327)</f>
        <v/>
      </c>
      <c r="Q1327" s="4">
        <f>MAX(0,J1327-G1327)</f>
        <v/>
      </c>
      <c r="R1327" s="4">
        <f>IF(AND(N1327=1,O1327=1),"On Track",IF(O1327=0,"Customer Delivery Late","Ship Late"))</f>
        <v/>
      </c>
    </row>
    <row r="1328">
      <c r="A1328" s="2" t="inlineStr">
        <is>
          <t>ORD-01327</t>
        </is>
      </c>
      <c r="B1328" s="2" t="inlineStr">
        <is>
          <t>Customer 25</t>
        </is>
      </c>
      <c r="C1328" s="2" t="inlineStr">
        <is>
          <t>Power Supply</t>
        </is>
      </c>
      <c r="D1328" s="2" t="inlineStr">
        <is>
          <t>Plant C</t>
        </is>
      </c>
      <c r="E1328" s="2" t="inlineStr">
        <is>
          <t>Central</t>
        </is>
      </c>
      <c r="F1328" s="12" t="n">
        <v>46154</v>
      </c>
      <c r="G1328" s="12" t="n">
        <v>46172</v>
      </c>
      <c r="H1328" s="12" t="n">
        <v>46167</v>
      </c>
      <c r="I1328" s="12" t="n">
        <v>46166</v>
      </c>
      <c r="J1328" s="12" t="n">
        <v>46170</v>
      </c>
      <c r="K1328" s="2" t="n">
        <v>163</v>
      </c>
      <c r="L1328" s="2" t="inlineStr">
        <is>
          <t>Road</t>
        </is>
      </c>
      <c r="M1328" s="2" t="inlineStr">
        <is>
          <t>No Delay</t>
        </is>
      </c>
      <c r="N1328" s="4">
        <f>IF(I1328&lt;=H1328,1,0)</f>
        <v/>
      </c>
      <c r="O1328" s="4">
        <f>IF(J1328&lt;=G1328,1,0)</f>
        <v/>
      </c>
      <c r="P1328" s="4">
        <f>MAX(0,I1328-H1328)</f>
        <v/>
      </c>
      <c r="Q1328" s="4">
        <f>MAX(0,J1328-G1328)</f>
        <v/>
      </c>
      <c r="R1328" s="4">
        <f>IF(AND(N1328=1,O1328=1),"On Track",IF(O1328=0,"Customer Delivery Late","Ship Late"))</f>
        <v/>
      </c>
    </row>
    <row r="1329">
      <c r="A1329" s="2" t="inlineStr">
        <is>
          <t>ORD-01328</t>
        </is>
      </c>
      <c r="B1329" s="2" t="inlineStr">
        <is>
          <t>Customer 02</t>
        </is>
      </c>
      <c r="C1329" s="2" t="inlineStr">
        <is>
          <t>Sensor</t>
        </is>
      </c>
      <c r="D1329" s="2" t="inlineStr">
        <is>
          <t>Plant A</t>
        </is>
      </c>
      <c r="E1329" s="2" t="inlineStr">
        <is>
          <t>South</t>
        </is>
      </c>
      <c r="F1329" s="12" t="n">
        <v>46194</v>
      </c>
      <c r="G1329" s="12" t="n">
        <v>46205</v>
      </c>
      <c r="H1329" s="12" t="n">
        <v>46200</v>
      </c>
      <c r="I1329" s="12" t="n">
        <v>46198</v>
      </c>
      <c r="J1329" s="12" t="n">
        <v>46202</v>
      </c>
      <c r="K1329" s="2" t="n">
        <v>1299</v>
      </c>
      <c r="L1329" s="2" t="inlineStr">
        <is>
          <t>Sea</t>
        </is>
      </c>
      <c r="M1329" s="2" t="inlineStr">
        <is>
          <t>No Delay</t>
        </is>
      </c>
      <c r="N1329" s="4">
        <f>IF(I1329&lt;=H1329,1,0)</f>
        <v/>
      </c>
      <c r="O1329" s="4">
        <f>IF(J1329&lt;=G1329,1,0)</f>
        <v/>
      </c>
      <c r="P1329" s="4">
        <f>MAX(0,I1329-H1329)</f>
        <v/>
      </c>
      <c r="Q1329" s="4">
        <f>MAX(0,J1329-G1329)</f>
        <v/>
      </c>
      <c r="R1329" s="4">
        <f>IF(AND(N1329=1,O1329=1),"On Track",IF(O1329=0,"Customer Delivery Late","Ship Late"))</f>
        <v/>
      </c>
    </row>
    <row r="1330">
      <c r="A1330" s="2" t="inlineStr">
        <is>
          <t>ORD-01329</t>
        </is>
      </c>
      <c r="B1330" s="2" t="inlineStr">
        <is>
          <t>Customer 21</t>
        </is>
      </c>
      <c r="C1330" s="2" t="inlineStr">
        <is>
          <t>Power Supply</t>
        </is>
      </c>
      <c r="D1330" s="2" t="inlineStr">
        <is>
          <t>Plant C</t>
        </is>
      </c>
      <c r="E1330" s="2" t="inlineStr">
        <is>
          <t>Central</t>
        </is>
      </c>
      <c r="F1330" s="12" t="n">
        <v>46041</v>
      </c>
      <c r="G1330" s="12" t="n">
        <v>46056</v>
      </c>
      <c r="H1330" s="12" t="n">
        <v>46055</v>
      </c>
      <c r="I1330" s="12" t="n">
        <v>46053</v>
      </c>
      <c r="J1330" s="12" t="n">
        <v>46055</v>
      </c>
      <c r="K1330" s="2" t="n">
        <v>113</v>
      </c>
      <c r="L1330" s="2" t="inlineStr">
        <is>
          <t>Sea</t>
        </is>
      </c>
      <c r="M1330" s="2" t="inlineStr">
        <is>
          <t>No Delay</t>
        </is>
      </c>
      <c r="N1330" s="4">
        <f>IF(I1330&lt;=H1330,1,0)</f>
        <v/>
      </c>
      <c r="O1330" s="4">
        <f>IF(J1330&lt;=G1330,1,0)</f>
        <v/>
      </c>
      <c r="P1330" s="4">
        <f>MAX(0,I1330-H1330)</f>
        <v/>
      </c>
      <c r="Q1330" s="4">
        <f>MAX(0,J1330-G1330)</f>
        <v/>
      </c>
      <c r="R1330" s="4">
        <f>IF(AND(N1330=1,O1330=1),"On Track",IF(O1330=0,"Customer Delivery Late","Ship Late"))</f>
        <v/>
      </c>
    </row>
    <row r="1331">
      <c r="A1331" s="2" t="inlineStr">
        <is>
          <t>ORD-01330</t>
        </is>
      </c>
      <c r="B1331" s="2" t="inlineStr">
        <is>
          <t>Customer 13</t>
        </is>
      </c>
      <c r="C1331" s="2" t="inlineStr">
        <is>
          <t>Relay</t>
        </is>
      </c>
      <c r="D1331" s="2" t="inlineStr">
        <is>
          <t>Plant A</t>
        </is>
      </c>
      <c r="E1331" s="2" t="inlineStr">
        <is>
          <t>Export</t>
        </is>
      </c>
      <c r="F1331" s="12" t="n">
        <v>46117</v>
      </c>
      <c r="G1331" s="12" t="n">
        <v>46129</v>
      </c>
      <c r="H1331" s="12" t="n">
        <v>46126</v>
      </c>
      <c r="I1331" s="12" t="n">
        <v>46125</v>
      </c>
      <c r="J1331" s="12" t="n">
        <v>46128</v>
      </c>
      <c r="K1331" s="2" t="n">
        <v>296</v>
      </c>
      <c r="L1331" s="2" t="inlineStr">
        <is>
          <t>Sea</t>
        </is>
      </c>
      <c r="M1331" s="2" t="inlineStr">
        <is>
          <t>No Delay</t>
        </is>
      </c>
      <c r="N1331" s="4">
        <f>IF(I1331&lt;=H1331,1,0)</f>
        <v/>
      </c>
      <c r="O1331" s="4">
        <f>IF(J1331&lt;=G1331,1,0)</f>
        <v/>
      </c>
      <c r="P1331" s="4">
        <f>MAX(0,I1331-H1331)</f>
        <v/>
      </c>
      <c r="Q1331" s="4">
        <f>MAX(0,J1331-G1331)</f>
        <v/>
      </c>
      <c r="R1331" s="4">
        <f>IF(AND(N1331=1,O1331=1),"On Track",IF(O1331=0,"Customer Delivery Late","Ship Late"))</f>
        <v/>
      </c>
    </row>
    <row r="1332">
      <c r="A1332" s="2" t="inlineStr">
        <is>
          <t>ORD-01331</t>
        </is>
      </c>
      <c r="B1332" s="2" t="inlineStr">
        <is>
          <t>Customer 24</t>
        </is>
      </c>
      <c r="C1332" s="2" t="inlineStr">
        <is>
          <t>Switchgear</t>
        </is>
      </c>
      <c r="D1332" s="2" t="inlineStr">
        <is>
          <t>Plant C</t>
        </is>
      </c>
      <c r="E1332" s="2" t="inlineStr">
        <is>
          <t>Export</t>
        </is>
      </c>
      <c r="F1332" s="12" t="n">
        <v>46126</v>
      </c>
      <c r="G1332" s="12" t="n">
        <v>46144</v>
      </c>
      <c r="H1332" s="12" t="n">
        <v>46142</v>
      </c>
      <c r="I1332" s="12" t="n">
        <v>46141</v>
      </c>
      <c r="J1332" s="12" t="n">
        <v>46144</v>
      </c>
      <c r="K1332" s="2" t="n">
        <v>797</v>
      </c>
      <c r="L1332" s="2" t="inlineStr">
        <is>
          <t>Road</t>
        </is>
      </c>
      <c r="M1332" s="2" t="inlineStr">
        <is>
          <t>No Delay</t>
        </is>
      </c>
      <c r="N1332" s="4">
        <f>IF(I1332&lt;=H1332,1,0)</f>
        <v/>
      </c>
      <c r="O1332" s="4">
        <f>IF(J1332&lt;=G1332,1,0)</f>
        <v/>
      </c>
      <c r="P1332" s="4">
        <f>MAX(0,I1332-H1332)</f>
        <v/>
      </c>
      <c r="Q1332" s="4">
        <f>MAX(0,J1332-G1332)</f>
        <v/>
      </c>
      <c r="R1332" s="4">
        <f>IF(AND(N1332=1,O1332=1),"On Track",IF(O1332=0,"Customer Delivery Late","Ship Late"))</f>
        <v/>
      </c>
    </row>
    <row r="1333">
      <c r="A1333" s="2" t="inlineStr">
        <is>
          <t>ORD-01332</t>
        </is>
      </c>
      <c r="B1333" s="2" t="inlineStr">
        <is>
          <t>Customer 22</t>
        </is>
      </c>
      <c r="C1333" s="2" t="inlineStr">
        <is>
          <t>Sensor</t>
        </is>
      </c>
      <c r="D1333" s="2" t="inlineStr">
        <is>
          <t>Plant A</t>
        </is>
      </c>
      <c r="E1333" s="2" t="inlineStr">
        <is>
          <t>Central</t>
        </is>
      </c>
      <c r="F1333" s="12" t="n">
        <v>46064</v>
      </c>
      <c r="G1333" s="12" t="n">
        <v>46087</v>
      </c>
      <c r="H1333" s="12" t="n">
        <v>46082</v>
      </c>
      <c r="I1333" s="12" t="n">
        <v>46081</v>
      </c>
      <c r="J1333" s="12" t="n">
        <v>46086</v>
      </c>
      <c r="K1333" s="2" t="n">
        <v>416</v>
      </c>
      <c r="L1333" s="2" t="inlineStr">
        <is>
          <t>Road</t>
        </is>
      </c>
      <c r="M1333" s="2" t="inlineStr">
        <is>
          <t>No Delay</t>
        </is>
      </c>
      <c r="N1333" s="4">
        <f>IF(I1333&lt;=H1333,1,0)</f>
        <v/>
      </c>
      <c r="O1333" s="4">
        <f>IF(J1333&lt;=G1333,1,0)</f>
        <v/>
      </c>
      <c r="P1333" s="4">
        <f>MAX(0,I1333-H1333)</f>
        <v/>
      </c>
      <c r="Q1333" s="4">
        <f>MAX(0,J1333-G1333)</f>
        <v/>
      </c>
      <c r="R1333" s="4">
        <f>IF(AND(N1333=1,O1333=1),"On Track",IF(O1333=0,"Customer Delivery Late","Ship Late"))</f>
        <v/>
      </c>
    </row>
    <row r="1334">
      <c r="A1334" s="2" t="inlineStr">
        <is>
          <t>ORD-01333</t>
        </is>
      </c>
      <c r="B1334" s="2" t="inlineStr">
        <is>
          <t>Customer 30</t>
        </is>
      </c>
      <c r="C1334" s="2" t="inlineStr">
        <is>
          <t>Power Supply</t>
        </is>
      </c>
      <c r="D1334" s="2" t="inlineStr">
        <is>
          <t>Plant A</t>
        </is>
      </c>
      <c r="E1334" s="2" t="inlineStr">
        <is>
          <t>Export</t>
        </is>
      </c>
      <c r="F1334" s="12" t="n">
        <v>46139</v>
      </c>
      <c r="G1334" s="12" t="n">
        <v>46151</v>
      </c>
      <c r="H1334" s="12" t="n">
        <v>46150</v>
      </c>
      <c r="I1334" s="12" t="n">
        <v>46149</v>
      </c>
      <c r="J1334" s="12" t="n">
        <v>46150</v>
      </c>
      <c r="K1334" s="2" t="n">
        <v>1125</v>
      </c>
      <c r="L1334" s="2" t="inlineStr">
        <is>
          <t>Road</t>
        </is>
      </c>
      <c r="M1334" s="2" t="inlineStr">
        <is>
          <t>No Delay</t>
        </is>
      </c>
      <c r="N1334" s="4">
        <f>IF(I1334&lt;=H1334,1,0)</f>
        <v/>
      </c>
      <c r="O1334" s="4">
        <f>IF(J1334&lt;=G1334,1,0)</f>
        <v/>
      </c>
      <c r="P1334" s="4">
        <f>MAX(0,I1334-H1334)</f>
        <v/>
      </c>
      <c r="Q1334" s="4">
        <f>MAX(0,J1334-G1334)</f>
        <v/>
      </c>
      <c r="R1334" s="4">
        <f>IF(AND(N1334=1,O1334=1),"On Track",IF(O1334=0,"Customer Delivery Late","Ship Late"))</f>
        <v/>
      </c>
    </row>
    <row r="1335">
      <c r="A1335" s="2" t="inlineStr">
        <is>
          <t>ORD-01334</t>
        </is>
      </c>
      <c r="B1335" s="2" t="inlineStr">
        <is>
          <t>Customer 01</t>
        </is>
      </c>
      <c r="C1335" s="2" t="inlineStr">
        <is>
          <t>Power Supply</t>
        </is>
      </c>
      <c r="D1335" s="2" t="inlineStr">
        <is>
          <t>Plant A</t>
        </is>
      </c>
      <c r="E1335" s="2" t="inlineStr">
        <is>
          <t>Central</t>
        </is>
      </c>
      <c r="F1335" s="12" t="n">
        <v>46141</v>
      </c>
      <c r="G1335" s="12" t="n">
        <v>46146</v>
      </c>
      <c r="H1335" s="12" t="n">
        <v>46144</v>
      </c>
      <c r="I1335" s="12" t="n">
        <v>46142</v>
      </c>
      <c r="J1335" s="12" t="n">
        <v>46143</v>
      </c>
      <c r="K1335" s="2" t="n">
        <v>874</v>
      </c>
      <c r="L1335" s="2" t="inlineStr">
        <is>
          <t>Road</t>
        </is>
      </c>
      <c r="M1335" s="2" t="inlineStr">
        <is>
          <t>No Delay</t>
        </is>
      </c>
      <c r="N1335" s="4">
        <f>IF(I1335&lt;=H1335,1,0)</f>
        <v/>
      </c>
      <c r="O1335" s="4">
        <f>IF(J1335&lt;=G1335,1,0)</f>
        <v/>
      </c>
      <c r="P1335" s="4">
        <f>MAX(0,I1335-H1335)</f>
        <v/>
      </c>
      <c r="Q1335" s="4">
        <f>MAX(0,J1335-G1335)</f>
        <v/>
      </c>
      <c r="R1335" s="4">
        <f>IF(AND(N1335=1,O1335=1),"On Track",IF(O1335=0,"Customer Delivery Late","Ship Late"))</f>
        <v/>
      </c>
    </row>
    <row r="1336">
      <c r="A1336" s="2" t="inlineStr">
        <is>
          <t>ORD-01335</t>
        </is>
      </c>
      <c r="B1336" s="2" t="inlineStr">
        <is>
          <t>Customer 07</t>
        </is>
      </c>
      <c r="C1336" s="2" t="inlineStr">
        <is>
          <t>Switchgear</t>
        </is>
      </c>
      <c r="D1336" s="2" t="inlineStr">
        <is>
          <t>Plant A</t>
        </is>
      </c>
      <c r="E1336" s="2" t="inlineStr">
        <is>
          <t>South</t>
        </is>
      </c>
      <c r="F1336" s="12" t="n">
        <v>46154</v>
      </c>
      <c r="G1336" s="12" t="n">
        <v>46169</v>
      </c>
      <c r="H1336" s="12" t="n">
        <v>46167</v>
      </c>
      <c r="I1336" s="12" t="n">
        <v>46167</v>
      </c>
      <c r="J1336" s="12" t="n">
        <v>46169</v>
      </c>
      <c r="K1336" s="2" t="n">
        <v>638</v>
      </c>
      <c r="L1336" s="2" t="inlineStr">
        <is>
          <t>Air</t>
        </is>
      </c>
      <c r="M1336" s="2" t="inlineStr">
        <is>
          <t>No Delay</t>
        </is>
      </c>
      <c r="N1336" s="4">
        <f>IF(I1336&lt;=H1336,1,0)</f>
        <v/>
      </c>
      <c r="O1336" s="4">
        <f>IF(J1336&lt;=G1336,1,0)</f>
        <v/>
      </c>
      <c r="P1336" s="4">
        <f>MAX(0,I1336-H1336)</f>
        <v/>
      </c>
      <c r="Q1336" s="4">
        <f>MAX(0,J1336-G1336)</f>
        <v/>
      </c>
      <c r="R1336" s="4">
        <f>IF(AND(N1336=1,O1336=1),"On Track",IF(O1336=0,"Customer Delivery Late","Ship Late"))</f>
        <v/>
      </c>
    </row>
    <row r="1337">
      <c r="A1337" s="2" t="inlineStr">
        <is>
          <t>ORD-01336</t>
        </is>
      </c>
      <c r="B1337" s="2" t="inlineStr">
        <is>
          <t>Customer 10</t>
        </is>
      </c>
      <c r="C1337" s="2" t="inlineStr">
        <is>
          <t>Breaker</t>
        </is>
      </c>
      <c r="D1337" s="2" t="inlineStr">
        <is>
          <t>Plant A</t>
        </is>
      </c>
      <c r="E1337" s="2" t="inlineStr">
        <is>
          <t>Export</t>
        </is>
      </c>
      <c r="F1337" s="12" t="n">
        <v>46174</v>
      </c>
      <c r="G1337" s="12" t="n">
        <v>46180</v>
      </c>
      <c r="H1337" s="12" t="n">
        <v>46178</v>
      </c>
      <c r="I1337" s="12" t="n">
        <v>46177</v>
      </c>
      <c r="J1337" s="12" t="n">
        <v>46179</v>
      </c>
      <c r="K1337" s="2" t="n">
        <v>574</v>
      </c>
      <c r="L1337" s="2" t="inlineStr">
        <is>
          <t>Air</t>
        </is>
      </c>
      <c r="M1337" s="2" t="inlineStr">
        <is>
          <t>No Delay</t>
        </is>
      </c>
      <c r="N1337" s="4">
        <f>IF(I1337&lt;=H1337,1,0)</f>
        <v/>
      </c>
      <c r="O1337" s="4">
        <f>IF(J1337&lt;=G1337,1,0)</f>
        <v/>
      </c>
      <c r="P1337" s="4">
        <f>MAX(0,I1337-H1337)</f>
        <v/>
      </c>
      <c r="Q1337" s="4">
        <f>MAX(0,J1337-G1337)</f>
        <v/>
      </c>
      <c r="R1337" s="4">
        <f>IF(AND(N1337=1,O1337=1),"On Track",IF(O1337=0,"Customer Delivery Late","Ship Late"))</f>
        <v/>
      </c>
    </row>
    <row r="1338">
      <c r="A1338" s="2" t="inlineStr">
        <is>
          <t>ORD-01337</t>
        </is>
      </c>
      <c r="B1338" s="2" t="inlineStr">
        <is>
          <t>Customer 04</t>
        </is>
      </c>
      <c r="C1338" s="2" t="inlineStr">
        <is>
          <t>Relay</t>
        </is>
      </c>
      <c r="D1338" s="2" t="inlineStr">
        <is>
          <t>Plant B</t>
        </is>
      </c>
      <c r="E1338" s="2" t="inlineStr">
        <is>
          <t>Export</t>
        </is>
      </c>
      <c r="F1338" s="12" t="n">
        <v>46036</v>
      </c>
      <c r="G1338" s="12" t="n">
        <v>46048</v>
      </c>
      <c r="H1338" s="12" t="n">
        <v>46044</v>
      </c>
      <c r="I1338" s="12" t="n">
        <v>46043</v>
      </c>
      <c r="J1338" s="12" t="n">
        <v>46047</v>
      </c>
      <c r="K1338" s="2" t="n">
        <v>1376</v>
      </c>
      <c r="L1338" s="2" t="inlineStr">
        <is>
          <t>Sea</t>
        </is>
      </c>
      <c r="M1338" s="2" t="inlineStr">
        <is>
          <t>No Delay</t>
        </is>
      </c>
      <c r="N1338" s="4">
        <f>IF(I1338&lt;=H1338,1,0)</f>
        <v/>
      </c>
      <c r="O1338" s="4">
        <f>IF(J1338&lt;=G1338,1,0)</f>
        <v/>
      </c>
      <c r="P1338" s="4">
        <f>MAX(0,I1338-H1338)</f>
        <v/>
      </c>
      <c r="Q1338" s="4">
        <f>MAX(0,J1338-G1338)</f>
        <v/>
      </c>
      <c r="R1338" s="4">
        <f>IF(AND(N1338=1,O1338=1),"On Track",IF(O1338=0,"Customer Delivery Late","Ship Late"))</f>
        <v/>
      </c>
    </row>
    <row r="1339">
      <c r="A1339" s="2" t="inlineStr">
        <is>
          <t>ORD-01338</t>
        </is>
      </c>
      <c r="B1339" s="2" t="inlineStr">
        <is>
          <t>Customer 19</t>
        </is>
      </c>
      <c r="C1339" s="2" t="inlineStr">
        <is>
          <t>Relay</t>
        </is>
      </c>
      <c r="D1339" s="2" t="inlineStr">
        <is>
          <t>Plant A</t>
        </is>
      </c>
      <c r="E1339" s="2" t="inlineStr">
        <is>
          <t>Central</t>
        </is>
      </c>
      <c r="F1339" s="12" t="n">
        <v>46066</v>
      </c>
      <c r="G1339" s="12" t="n">
        <v>46076</v>
      </c>
      <c r="H1339" s="12" t="n">
        <v>46075</v>
      </c>
      <c r="I1339" s="12" t="n">
        <v>46073</v>
      </c>
      <c r="J1339" s="12" t="n">
        <v>46074</v>
      </c>
      <c r="K1339" s="2" t="n">
        <v>544</v>
      </c>
      <c r="L1339" s="2" t="inlineStr">
        <is>
          <t>Sea</t>
        </is>
      </c>
      <c r="M1339" s="2" t="inlineStr">
        <is>
          <t>No Delay</t>
        </is>
      </c>
      <c r="N1339" s="4">
        <f>IF(I1339&lt;=H1339,1,0)</f>
        <v/>
      </c>
      <c r="O1339" s="4">
        <f>IF(J1339&lt;=G1339,1,0)</f>
        <v/>
      </c>
      <c r="P1339" s="4">
        <f>MAX(0,I1339-H1339)</f>
        <v/>
      </c>
      <c r="Q1339" s="4">
        <f>MAX(0,J1339-G1339)</f>
        <v/>
      </c>
      <c r="R1339" s="4">
        <f>IF(AND(N1339=1,O1339=1),"On Track",IF(O1339=0,"Customer Delivery Late","Ship Late"))</f>
        <v/>
      </c>
    </row>
    <row r="1340">
      <c r="A1340" s="2" t="inlineStr">
        <is>
          <t>ORD-01339</t>
        </is>
      </c>
      <c r="B1340" s="2" t="inlineStr">
        <is>
          <t>Customer 28</t>
        </is>
      </c>
      <c r="C1340" s="2" t="inlineStr">
        <is>
          <t>PLC</t>
        </is>
      </c>
      <c r="D1340" s="2" t="inlineStr">
        <is>
          <t>Plant C</t>
        </is>
      </c>
      <c r="E1340" s="2" t="inlineStr">
        <is>
          <t>Central</t>
        </is>
      </c>
      <c r="F1340" s="12" t="n">
        <v>46130</v>
      </c>
      <c r="G1340" s="12" t="n">
        <v>46140</v>
      </c>
      <c r="H1340" s="12" t="n">
        <v>46135</v>
      </c>
      <c r="I1340" s="12" t="n">
        <v>46135</v>
      </c>
      <c r="J1340" s="12" t="n">
        <v>46141</v>
      </c>
      <c r="K1340" s="2" t="n">
        <v>245</v>
      </c>
      <c r="L1340" s="2" t="inlineStr">
        <is>
          <t>Sea</t>
        </is>
      </c>
      <c r="M1340" s="2" t="inlineStr">
        <is>
          <t>Documentation Issue</t>
        </is>
      </c>
      <c r="N1340" s="4">
        <f>IF(I1340&lt;=H1340,1,0)</f>
        <v/>
      </c>
      <c r="O1340" s="4">
        <f>IF(J1340&lt;=G1340,1,0)</f>
        <v/>
      </c>
      <c r="P1340" s="4">
        <f>MAX(0,I1340-H1340)</f>
        <v/>
      </c>
      <c r="Q1340" s="4">
        <f>MAX(0,J1340-G1340)</f>
        <v/>
      </c>
      <c r="R1340" s="4">
        <f>IF(AND(N1340=1,O1340=1),"On Track",IF(O1340=0,"Customer Delivery Late","Ship Late"))</f>
        <v/>
      </c>
    </row>
    <row r="1341">
      <c r="A1341" s="2" t="inlineStr">
        <is>
          <t>ORD-01340</t>
        </is>
      </c>
      <c r="B1341" s="2" t="inlineStr">
        <is>
          <t>Customer 24</t>
        </is>
      </c>
      <c r="C1341" s="2" t="inlineStr">
        <is>
          <t>Breaker</t>
        </is>
      </c>
      <c r="D1341" s="2" t="inlineStr">
        <is>
          <t>Plant B</t>
        </is>
      </c>
      <c r="E1341" s="2" t="inlineStr">
        <is>
          <t>Export</t>
        </is>
      </c>
      <c r="F1341" s="12" t="n">
        <v>46068</v>
      </c>
      <c r="G1341" s="12" t="n">
        <v>46090</v>
      </c>
      <c r="H1341" s="12" t="n">
        <v>46087</v>
      </c>
      <c r="I1341" s="12" t="n">
        <v>46086</v>
      </c>
      <c r="J1341" s="12" t="n">
        <v>46090</v>
      </c>
      <c r="K1341" s="2" t="n">
        <v>834</v>
      </c>
      <c r="L1341" s="2" t="inlineStr">
        <is>
          <t>Sea</t>
        </is>
      </c>
      <c r="M1341" s="2" t="inlineStr">
        <is>
          <t>No Delay</t>
        </is>
      </c>
      <c r="N1341" s="4">
        <f>IF(I1341&lt;=H1341,1,0)</f>
        <v/>
      </c>
      <c r="O1341" s="4">
        <f>IF(J1341&lt;=G1341,1,0)</f>
        <v/>
      </c>
      <c r="P1341" s="4">
        <f>MAX(0,I1341-H1341)</f>
        <v/>
      </c>
      <c r="Q1341" s="4">
        <f>MAX(0,J1341-G1341)</f>
        <v/>
      </c>
      <c r="R1341" s="4">
        <f>IF(AND(N1341=1,O1341=1),"On Track",IF(O1341=0,"Customer Delivery Late","Ship Late"))</f>
        <v/>
      </c>
    </row>
    <row r="1342">
      <c r="A1342" s="2" t="inlineStr">
        <is>
          <t>ORD-01341</t>
        </is>
      </c>
      <c r="B1342" s="2" t="inlineStr">
        <is>
          <t>Customer 17</t>
        </is>
      </c>
      <c r="C1342" s="2" t="inlineStr">
        <is>
          <t>Relay</t>
        </is>
      </c>
      <c r="D1342" s="2" t="inlineStr">
        <is>
          <t>Plant A</t>
        </is>
      </c>
      <c r="E1342" s="2" t="inlineStr">
        <is>
          <t>South</t>
        </is>
      </c>
      <c r="F1342" s="12" t="n">
        <v>46053</v>
      </c>
      <c r="G1342" s="12" t="n">
        <v>46072</v>
      </c>
      <c r="H1342" s="12" t="n">
        <v>46068</v>
      </c>
      <c r="I1342" s="12" t="n">
        <v>46067</v>
      </c>
      <c r="J1342" s="12" t="n">
        <v>46071</v>
      </c>
      <c r="K1342" s="2" t="n">
        <v>14</v>
      </c>
      <c r="L1342" s="2" t="inlineStr">
        <is>
          <t>Air</t>
        </is>
      </c>
      <c r="M1342" s="2" t="inlineStr">
        <is>
          <t>No Delay</t>
        </is>
      </c>
      <c r="N1342" s="4">
        <f>IF(I1342&lt;=H1342,1,0)</f>
        <v/>
      </c>
      <c r="O1342" s="4">
        <f>IF(J1342&lt;=G1342,1,0)</f>
        <v/>
      </c>
      <c r="P1342" s="4">
        <f>MAX(0,I1342-H1342)</f>
        <v/>
      </c>
      <c r="Q1342" s="4">
        <f>MAX(0,J1342-G1342)</f>
        <v/>
      </c>
      <c r="R1342" s="4">
        <f>IF(AND(N1342=1,O1342=1),"On Track",IF(O1342=0,"Customer Delivery Late","Ship Late"))</f>
        <v/>
      </c>
    </row>
    <row r="1343">
      <c r="A1343" s="2" t="inlineStr">
        <is>
          <t>ORD-01342</t>
        </is>
      </c>
      <c r="B1343" s="2" t="inlineStr">
        <is>
          <t>Customer 11</t>
        </is>
      </c>
      <c r="C1343" s="2" t="inlineStr">
        <is>
          <t>Relay</t>
        </is>
      </c>
      <c r="D1343" s="2" t="inlineStr">
        <is>
          <t>Plant A</t>
        </is>
      </c>
      <c r="E1343" s="2" t="inlineStr">
        <is>
          <t>Export</t>
        </is>
      </c>
      <c r="F1343" s="12" t="n">
        <v>46161</v>
      </c>
      <c r="G1343" s="12" t="n">
        <v>46170</v>
      </c>
      <c r="H1343" s="12" t="n">
        <v>46169</v>
      </c>
      <c r="I1343" s="12" t="n">
        <v>46167</v>
      </c>
      <c r="J1343" s="12" t="n">
        <v>46168</v>
      </c>
      <c r="K1343" s="2" t="n">
        <v>1400</v>
      </c>
      <c r="L1343" s="2" t="inlineStr">
        <is>
          <t>Sea</t>
        </is>
      </c>
      <c r="M1343" s="2" t="inlineStr">
        <is>
          <t>No Delay</t>
        </is>
      </c>
      <c r="N1343" s="4">
        <f>IF(I1343&lt;=H1343,1,0)</f>
        <v/>
      </c>
      <c r="O1343" s="4">
        <f>IF(J1343&lt;=G1343,1,0)</f>
        <v/>
      </c>
      <c r="P1343" s="4">
        <f>MAX(0,I1343-H1343)</f>
        <v/>
      </c>
      <c r="Q1343" s="4">
        <f>MAX(0,J1343-G1343)</f>
        <v/>
      </c>
      <c r="R1343" s="4">
        <f>IF(AND(N1343=1,O1343=1),"On Track",IF(O1343=0,"Customer Delivery Late","Ship Late"))</f>
        <v/>
      </c>
    </row>
    <row r="1344">
      <c r="A1344" s="2" t="inlineStr">
        <is>
          <t>ORD-01343</t>
        </is>
      </c>
      <c r="B1344" s="2" t="inlineStr">
        <is>
          <t>Customer 05</t>
        </is>
      </c>
      <c r="C1344" s="2" t="inlineStr">
        <is>
          <t>Contactor</t>
        </is>
      </c>
      <c r="D1344" s="2" t="inlineStr">
        <is>
          <t>Plant C</t>
        </is>
      </c>
      <c r="E1344" s="2" t="inlineStr">
        <is>
          <t>Central</t>
        </is>
      </c>
      <c r="F1344" s="12" t="n">
        <v>46116</v>
      </c>
      <c r="G1344" s="12" t="n">
        <v>46121</v>
      </c>
      <c r="H1344" s="12" t="n">
        <v>46118</v>
      </c>
      <c r="I1344" s="12" t="n">
        <v>46117</v>
      </c>
      <c r="J1344" s="12" t="n">
        <v>46120</v>
      </c>
      <c r="K1344" s="2" t="n">
        <v>158</v>
      </c>
      <c r="L1344" s="2" t="inlineStr">
        <is>
          <t>Sea</t>
        </is>
      </c>
      <c r="M1344" s="2" t="inlineStr">
        <is>
          <t>No Delay</t>
        </is>
      </c>
      <c r="N1344" s="4">
        <f>IF(I1344&lt;=H1344,1,0)</f>
        <v/>
      </c>
      <c r="O1344" s="4">
        <f>IF(J1344&lt;=G1344,1,0)</f>
        <v/>
      </c>
      <c r="P1344" s="4">
        <f>MAX(0,I1344-H1344)</f>
        <v/>
      </c>
      <c r="Q1344" s="4">
        <f>MAX(0,J1344-G1344)</f>
        <v/>
      </c>
      <c r="R1344" s="4">
        <f>IF(AND(N1344=1,O1344=1),"On Track",IF(O1344=0,"Customer Delivery Late","Ship Late"))</f>
        <v/>
      </c>
    </row>
    <row r="1345">
      <c r="A1345" s="2" t="inlineStr">
        <is>
          <t>ORD-01344</t>
        </is>
      </c>
      <c r="B1345" s="2" t="inlineStr">
        <is>
          <t>Customer 25</t>
        </is>
      </c>
      <c r="C1345" s="2" t="inlineStr">
        <is>
          <t>Sensor</t>
        </is>
      </c>
      <c r="D1345" s="2" t="inlineStr">
        <is>
          <t>Plant A</t>
        </is>
      </c>
      <c r="E1345" s="2" t="inlineStr">
        <is>
          <t>Export</t>
        </is>
      </c>
      <c r="F1345" s="12" t="n">
        <v>46058</v>
      </c>
      <c r="G1345" s="12" t="n">
        <v>46073</v>
      </c>
      <c r="H1345" s="12" t="n">
        <v>46068</v>
      </c>
      <c r="I1345" s="12" t="n">
        <v>46067</v>
      </c>
      <c r="J1345" s="12" t="n">
        <v>46073</v>
      </c>
      <c r="K1345" s="2" t="n">
        <v>1286</v>
      </c>
      <c r="L1345" s="2" t="inlineStr">
        <is>
          <t>Sea</t>
        </is>
      </c>
      <c r="M1345" s="2" t="inlineStr">
        <is>
          <t>No Delay</t>
        </is>
      </c>
      <c r="N1345" s="4">
        <f>IF(I1345&lt;=H1345,1,0)</f>
        <v/>
      </c>
      <c r="O1345" s="4">
        <f>IF(J1345&lt;=G1345,1,0)</f>
        <v/>
      </c>
      <c r="P1345" s="4">
        <f>MAX(0,I1345-H1345)</f>
        <v/>
      </c>
      <c r="Q1345" s="4">
        <f>MAX(0,J1345-G1345)</f>
        <v/>
      </c>
      <c r="R1345" s="4">
        <f>IF(AND(N1345=1,O1345=1),"On Track",IF(O1345=0,"Customer Delivery Late","Ship Late"))</f>
        <v/>
      </c>
    </row>
    <row r="1346">
      <c r="A1346" s="2" t="inlineStr">
        <is>
          <t>ORD-01345</t>
        </is>
      </c>
      <c r="B1346" s="2" t="inlineStr">
        <is>
          <t>Customer 26</t>
        </is>
      </c>
      <c r="C1346" s="2" t="inlineStr">
        <is>
          <t>Breaker</t>
        </is>
      </c>
      <c r="D1346" s="2" t="inlineStr">
        <is>
          <t>Plant C</t>
        </is>
      </c>
      <c r="E1346" s="2" t="inlineStr">
        <is>
          <t>Central</t>
        </is>
      </c>
      <c r="F1346" s="12" t="n">
        <v>46161</v>
      </c>
      <c r="G1346" s="12" t="n">
        <v>46175</v>
      </c>
      <c r="H1346" s="12" t="n">
        <v>46170</v>
      </c>
      <c r="I1346" s="12" t="n">
        <v>46168</v>
      </c>
      <c r="J1346" s="12" t="n">
        <v>46172</v>
      </c>
      <c r="K1346" s="2" t="n">
        <v>1366</v>
      </c>
      <c r="L1346" s="2" t="inlineStr">
        <is>
          <t>Sea</t>
        </is>
      </c>
      <c r="M1346" s="2" t="inlineStr">
        <is>
          <t>No Delay</t>
        </is>
      </c>
      <c r="N1346" s="4">
        <f>IF(I1346&lt;=H1346,1,0)</f>
        <v/>
      </c>
      <c r="O1346" s="4">
        <f>IF(J1346&lt;=G1346,1,0)</f>
        <v/>
      </c>
      <c r="P1346" s="4">
        <f>MAX(0,I1346-H1346)</f>
        <v/>
      </c>
      <c r="Q1346" s="4">
        <f>MAX(0,J1346-G1346)</f>
        <v/>
      </c>
      <c r="R1346" s="4">
        <f>IF(AND(N1346=1,O1346=1),"On Track",IF(O1346=0,"Customer Delivery Late","Ship Late"))</f>
        <v/>
      </c>
    </row>
    <row r="1347">
      <c r="A1347" s="2" t="inlineStr">
        <is>
          <t>ORD-01346</t>
        </is>
      </c>
      <c r="B1347" s="2" t="inlineStr">
        <is>
          <t>Customer 11</t>
        </is>
      </c>
      <c r="C1347" s="2" t="inlineStr">
        <is>
          <t>Contactor</t>
        </is>
      </c>
      <c r="D1347" s="2" t="inlineStr">
        <is>
          <t>Plant C</t>
        </is>
      </c>
      <c r="E1347" s="2" t="inlineStr">
        <is>
          <t>North</t>
        </is>
      </c>
      <c r="F1347" s="12" t="n">
        <v>46133</v>
      </c>
      <c r="G1347" s="12" t="n">
        <v>46157</v>
      </c>
      <c r="H1347" s="12" t="n">
        <v>46154</v>
      </c>
      <c r="I1347" s="12" t="n">
        <v>46153</v>
      </c>
      <c r="J1347" s="12" t="n">
        <v>46156</v>
      </c>
      <c r="K1347" s="2" t="n">
        <v>590</v>
      </c>
      <c r="L1347" s="2" t="inlineStr">
        <is>
          <t>Air</t>
        </is>
      </c>
      <c r="M1347" s="2" t="inlineStr">
        <is>
          <t>No Delay</t>
        </is>
      </c>
      <c r="N1347" s="4">
        <f>IF(I1347&lt;=H1347,1,0)</f>
        <v/>
      </c>
      <c r="O1347" s="4">
        <f>IF(J1347&lt;=G1347,1,0)</f>
        <v/>
      </c>
      <c r="P1347" s="4">
        <f>MAX(0,I1347-H1347)</f>
        <v/>
      </c>
      <c r="Q1347" s="4">
        <f>MAX(0,J1347-G1347)</f>
        <v/>
      </c>
      <c r="R1347" s="4">
        <f>IF(AND(N1347=1,O1347=1),"On Track",IF(O1347=0,"Customer Delivery Late","Ship Late"))</f>
        <v/>
      </c>
    </row>
    <row r="1348">
      <c r="A1348" s="2" t="inlineStr">
        <is>
          <t>ORD-01347</t>
        </is>
      </c>
      <c r="B1348" s="2" t="inlineStr">
        <is>
          <t>Customer 06</t>
        </is>
      </c>
      <c r="C1348" s="2" t="inlineStr">
        <is>
          <t>PLC</t>
        </is>
      </c>
      <c r="D1348" s="2" t="inlineStr">
        <is>
          <t>Plant C</t>
        </is>
      </c>
      <c r="E1348" s="2" t="inlineStr">
        <is>
          <t>Export</t>
        </is>
      </c>
      <c r="F1348" s="12" t="n">
        <v>46138</v>
      </c>
      <c r="G1348" s="12" t="n">
        <v>46163</v>
      </c>
      <c r="H1348" s="12" t="n">
        <v>46158</v>
      </c>
      <c r="I1348" s="12" t="n">
        <v>46156</v>
      </c>
      <c r="J1348" s="12" t="n">
        <v>46160</v>
      </c>
      <c r="K1348" s="2" t="n">
        <v>926</v>
      </c>
      <c r="L1348" s="2" t="inlineStr">
        <is>
          <t>Air</t>
        </is>
      </c>
      <c r="M1348" s="2" t="inlineStr">
        <is>
          <t>No Delay</t>
        </is>
      </c>
      <c r="N1348" s="4">
        <f>IF(I1348&lt;=H1348,1,0)</f>
        <v/>
      </c>
      <c r="O1348" s="4">
        <f>IF(J1348&lt;=G1348,1,0)</f>
        <v/>
      </c>
      <c r="P1348" s="4">
        <f>MAX(0,I1348-H1348)</f>
        <v/>
      </c>
      <c r="Q1348" s="4">
        <f>MAX(0,J1348-G1348)</f>
        <v/>
      </c>
      <c r="R1348" s="4">
        <f>IF(AND(N1348=1,O1348=1),"On Track",IF(O1348=0,"Customer Delivery Late","Ship Late"))</f>
        <v/>
      </c>
    </row>
    <row r="1349">
      <c r="A1349" s="2" t="inlineStr">
        <is>
          <t>ORD-01348</t>
        </is>
      </c>
      <c r="B1349" s="2" t="inlineStr">
        <is>
          <t>Customer 15</t>
        </is>
      </c>
      <c r="C1349" s="2" t="inlineStr">
        <is>
          <t>Sensor</t>
        </is>
      </c>
      <c r="D1349" s="2" t="inlineStr">
        <is>
          <t>Plant B</t>
        </is>
      </c>
      <c r="E1349" s="2" t="inlineStr">
        <is>
          <t>North</t>
        </is>
      </c>
      <c r="F1349" s="12" t="n">
        <v>46145</v>
      </c>
      <c r="G1349" s="12" t="n">
        <v>46156</v>
      </c>
      <c r="H1349" s="12" t="n">
        <v>46151</v>
      </c>
      <c r="I1349" s="12" t="n">
        <v>46151</v>
      </c>
      <c r="J1349" s="12" t="n">
        <v>46155</v>
      </c>
      <c r="K1349" s="2" t="n">
        <v>1267</v>
      </c>
      <c r="L1349" s="2" t="inlineStr">
        <is>
          <t>Road</t>
        </is>
      </c>
      <c r="M1349" s="2" t="inlineStr">
        <is>
          <t>No Delay</t>
        </is>
      </c>
      <c r="N1349" s="4">
        <f>IF(I1349&lt;=H1349,1,0)</f>
        <v/>
      </c>
      <c r="O1349" s="4">
        <f>IF(J1349&lt;=G1349,1,0)</f>
        <v/>
      </c>
      <c r="P1349" s="4">
        <f>MAX(0,I1349-H1349)</f>
        <v/>
      </c>
      <c r="Q1349" s="4">
        <f>MAX(0,J1349-G1349)</f>
        <v/>
      </c>
      <c r="R1349" s="4">
        <f>IF(AND(N1349=1,O1349=1),"On Track",IF(O1349=0,"Customer Delivery Late","Ship Late"))</f>
        <v/>
      </c>
    </row>
    <row r="1350">
      <c r="A1350" s="2" t="inlineStr">
        <is>
          <t>ORD-01349</t>
        </is>
      </c>
      <c r="B1350" s="2" t="inlineStr">
        <is>
          <t>Customer 20</t>
        </is>
      </c>
      <c r="C1350" s="2" t="inlineStr">
        <is>
          <t>Power Supply</t>
        </is>
      </c>
      <c r="D1350" s="2" t="inlineStr">
        <is>
          <t>Plant C</t>
        </is>
      </c>
      <c r="E1350" s="2" t="inlineStr">
        <is>
          <t>Export</t>
        </is>
      </c>
      <c r="F1350" s="12" t="n">
        <v>46183</v>
      </c>
      <c r="G1350" s="12" t="n">
        <v>46202</v>
      </c>
      <c r="H1350" s="12" t="n">
        <v>46198</v>
      </c>
      <c r="I1350" s="12" t="n">
        <v>46197</v>
      </c>
      <c r="J1350" s="12" t="n">
        <v>46202</v>
      </c>
      <c r="K1350" s="2" t="n">
        <v>1481</v>
      </c>
      <c r="L1350" s="2" t="inlineStr">
        <is>
          <t>Road</t>
        </is>
      </c>
      <c r="M1350" s="2" t="inlineStr">
        <is>
          <t>No Delay</t>
        </is>
      </c>
      <c r="N1350" s="4">
        <f>IF(I1350&lt;=H1350,1,0)</f>
        <v/>
      </c>
      <c r="O1350" s="4">
        <f>IF(J1350&lt;=G1350,1,0)</f>
        <v/>
      </c>
      <c r="P1350" s="4">
        <f>MAX(0,I1350-H1350)</f>
        <v/>
      </c>
      <c r="Q1350" s="4">
        <f>MAX(0,J1350-G1350)</f>
        <v/>
      </c>
      <c r="R1350" s="4">
        <f>IF(AND(N1350=1,O1350=1),"On Track",IF(O1350=0,"Customer Delivery Late","Ship Late"))</f>
        <v/>
      </c>
    </row>
    <row r="1351">
      <c r="A1351" s="2" t="inlineStr">
        <is>
          <t>ORD-01350</t>
        </is>
      </c>
      <c r="B1351" s="2" t="inlineStr">
        <is>
          <t>Customer 17</t>
        </is>
      </c>
      <c r="C1351" s="2" t="inlineStr">
        <is>
          <t>Breaker</t>
        </is>
      </c>
      <c r="D1351" s="2" t="inlineStr">
        <is>
          <t>Plant B</t>
        </is>
      </c>
      <c r="E1351" s="2" t="inlineStr">
        <is>
          <t>Central</t>
        </is>
      </c>
      <c r="F1351" s="12" t="n">
        <v>46056</v>
      </c>
      <c r="G1351" s="12" t="n">
        <v>46071</v>
      </c>
      <c r="H1351" s="12" t="n">
        <v>46066</v>
      </c>
      <c r="I1351" s="12" t="n">
        <v>46065</v>
      </c>
      <c r="J1351" s="12" t="n">
        <v>46071</v>
      </c>
      <c r="K1351" s="2" t="n">
        <v>1407</v>
      </c>
      <c r="L1351" s="2" t="inlineStr">
        <is>
          <t>Sea</t>
        </is>
      </c>
      <c r="M1351" s="2" t="inlineStr">
        <is>
          <t>No Delay</t>
        </is>
      </c>
      <c r="N1351" s="4">
        <f>IF(I1351&lt;=H1351,1,0)</f>
        <v/>
      </c>
      <c r="O1351" s="4">
        <f>IF(J1351&lt;=G1351,1,0)</f>
        <v/>
      </c>
      <c r="P1351" s="4">
        <f>MAX(0,I1351-H1351)</f>
        <v/>
      </c>
      <c r="Q1351" s="4">
        <f>MAX(0,J1351-G1351)</f>
        <v/>
      </c>
      <c r="R1351" s="4">
        <f>IF(AND(N1351=1,O1351=1),"On Track",IF(O1351=0,"Customer Delivery Late","Ship Late"))</f>
        <v/>
      </c>
    </row>
    <row r="1352">
      <c r="A1352" s="2" t="inlineStr">
        <is>
          <t>ORD-01351</t>
        </is>
      </c>
      <c r="B1352" s="2" t="inlineStr">
        <is>
          <t>Customer 20</t>
        </is>
      </c>
      <c r="C1352" s="2" t="inlineStr">
        <is>
          <t>Drive</t>
        </is>
      </c>
      <c r="D1352" s="2" t="inlineStr">
        <is>
          <t>Plant C</t>
        </is>
      </c>
      <c r="E1352" s="2" t="inlineStr">
        <is>
          <t>Export</t>
        </is>
      </c>
      <c r="F1352" s="12" t="n">
        <v>46083</v>
      </c>
      <c r="G1352" s="12" t="n">
        <v>46099</v>
      </c>
      <c r="H1352" s="12" t="n">
        <v>46098</v>
      </c>
      <c r="I1352" s="12" t="n">
        <v>46096</v>
      </c>
      <c r="J1352" s="12" t="n">
        <v>46097</v>
      </c>
      <c r="K1352" s="2" t="n">
        <v>1175</v>
      </c>
      <c r="L1352" s="2" t="inlineStr">
        <is>
          <t>Road</t>
        </is>
      </c>
      <c r="M1352" s="2" t="inlineStr">
        <is>
          <t>No Delay</t>
        </is>
      </c>
      <c r="N1352" s="4">
        <f>IF(I1352&lt;=H1352,1,0)</f>
        <v/>
      </c>
      <c r="O1352" s="4">
        <f>IF(J1352&lt;=G1352,1,0)</f>
        <v/>
      </c>
      <c r="P1352" s="4">
        <f>MAX(0,I1352-H1352)</f>
        <v/>
      </c>
      <c r="Q1352" s="4">
        <f>MAX(0,J1352-G1352)</f>
        <v/>
      </c>
      <c r="R1352" s="4">
        <f>IF(AND(N1352=1,O1352=1),"On Track",IF(O1352=0,"Customer Delivery Late","Ship Late"))</f>
        <v/>
      </c>
    </row>
    <row r="1353">
      <c r="A1353" s="2" t="inlineStr">
        <is>
          <t>ORD-01352</t>
        </is>
      </c>
      <c r="B1353" s="2" t="inlineStr">
        <is>
          <t>Customer 09</t>
        </is>
      </c>
      <c r="C1353" s="2" t="inlineStr">
        <is>
          <t>Sensor</t>
        </is>
      </c>
      <c r="D1353" s="2" t="inlineStr">
        <is>
          <t>Plant A</t>
        </is>
      </c>
      <c r="E1353" s="2" t="inlineStr">
        <is>
          <t>Export</t>
        </is>
      </c>
      <c r="F1353" s="12" t="n">
        <v>46030</v>
      </c>
      <c r="G1353" s="12" t="n">
        <v>46038</v>
      </c>
      <c r="H1353" s="12" t="n">
        <v>46036</v>
      </c>
      <c r="I1353" s="12" t="n">
        <v>46036</v>
      </c>
      <c r="J1353" s="12" t="n">
        <v>46038</v>
      </c>
      <c r="K1353" s="2" t="n">
        <v>953</v>
      </c>
      <c r="L1353" s="2" t="inlineStr">
        <is>
          <t>Sea</t>
        </is>
      </c>
      <c r="M1353" s="2" t="inlineStr">
        <is>
          <t>No Delay</t>
        </is>
      </c>
      <c r="N1353" s="4">
        <f>IF(I1353&lt;=H1353,1,0)</f>
        <v/>
      </c>
      <c r="O1353" s="4">
        <f>IF(J1353&lt;=G1353,1,0)</f>
        <v/>
      </c>
      <c r="P1353" s="4">
        <f>MAX(0,I1353-H1353)</f>
        <v/>
      </c>
      <c r="Q1353" s="4">
        <f>MAX(0,J1353-G1353)</f>
        <v/>
      </c>
      <c r="R1353" s="4">
        <f>IF(AND(N1353=1,O1353=1),"On Track",IF(O1353=0,"Customer Delivery Late","Ship Late"))</f>
        <v/>
      </c>
    </row>
    <row r="1354">
      <c r="A1354" s="2" t="inlineStr">
        <is>
          <t>ORD-01353</t>
        </is>
      </c>
      <c r="B1354" s="2" t="inlineStr">
        <is>
          <t>Customer 21</t>
        </is>
      </c>
      <c r="C1354" s="2" t="inlineStr">
        <is>
          <t>Relay</t>
        </is>
      </c>
      <c r="D1354" s="2" t="inlineStr">
        <is>
          <t>Plant C</t>
        </is>
      </c>
      <c r="E1354" s="2" t="inlineStr">
        <is>
          <t>South</t>
        </is>
      </c>
      <c r="F1354" s="12" t="n">
        <v>46123</v>
      </c>
      <c r="G1354" s="12" t="n">
        <v>46134</v>
      </c>
      <c r="H1354" s="12" t="n">
        <v>46132</v>
      </c>
      <c r="I1354" s="12" t="n">
        <v>46132</v>
      </c>
      <c r="J1354" s="12" t="n">
        <v>46134</v>
      </c>
      <c r="K1354" s="2" t="n">
        <v>811</v>
      </c>
      <c r="L1354" s="2" t="inlineStr">
        <is>
          <t>Road</t>
        </is>
      </c>
      <c r="M1354" s="2" t="inlineStr">
        <is>
          <t>No Delay</t>
        </is>
      </c>
      <c r="N1354" s="4">
        <f>IF(I1354&lt;=H1354,1,0)</f>
        <v/>
      </c>
      <c r="O1354" s="4">
        <f>IF(J1354&lt;=G1354,1,0)</f>
        <v/>
      </c>
      <c r="P1354" s="4">
        <f>MAX(0,I1354-H1354)</f>
        <v/>
      </c>
      <c r="Q1354" s="4">
        <f>MAX(0,J1354-G1354)</f>
        <v/>
      </c>
      <c r="R1354" s="4">
        <f>IF(AND(N1354=1,O1354=1),"On Track",IF(O1354=0,"Customer Delivery Late","Ship Late"))</f>
        <v/>
      </c>
    </row>
    <row r="1355">
      <c r="A1355" s="2" t="inlineStr">
        <is>
          <t>ORD-01354</t>
        </is>
      </c>
      <c r="B1355" s="2" t="inlineStr">
        <is>
          <t>Customer 22</t>
        </is>
      </c>
      <c r="C1355" s="2" t="inlineStr">
        <is>
          <t>Drive</t>
        </is>
      </c>
      <c r="D1355" s="2" t="inlineStr">
        <is>
          <t>Plant A</t>
        </is>
      </c>
      <c r="E1355" s="2" t="inlineStr">
        <is>
          <t>South</t>
        </is>
      </c>
      <c r="F1355" s="12" t="n">
        <v>46072</v>
      </c>
      <c r="G1355" s="12" t="n">
        <v>46094</v>
      </c>
      <c r="H1355" s="12" t="n">
        <v>46089</v>
      </c>
      <c r="I1355" s="12" t="n">
        <v>46088</v>
      </c>
      <c r="J1355" s="12" t="n">
        <v>46093</v>
      </c>
      <c r="K1355" s="2" t="n">
        <v>1489</v>
      </c>
      <c r="L1355" s="2" t="inlineStr">
        <is>
          <t>Air</t>
        </is>
      </c>
      <c r="M1355" s="2" t="inlineStr">
        <is>
          <t>No Delay</t>
        </is>
      </c>
      <c r="N1355" s="4">
        <f>IF(I1355&lt;=H1355,1,0)</f>
        <v/>
      </c>
      <c r="O1355" s="4">
        <f>IF(J1355&lt;=G1355,1,0)</f>
        <v/>
      </c>
      <c r="P1355" s="4">
        <f>MAX(0,I1355-H1355)</f>
        <v/>
      </c>
      <c r="Q1355" s="4">
        <f>MAX(0,J1355-G1355)</f>
        <v/>
      </c>
      <c r="R1355" s="4">
        <f>IF(AND(N1355=1,O1355=1),"On Track",IF(O1355=0,"Customer Delivery Late","Ship Late"))</f>
        <v/>
      </c>
    </row>
    <row r="1356">
      <c r="A1356" s="2" t="inlineStr">
        <is>
          <t>ORD-01355</t>
        </is>
      </c>
      <c r="B1356" s="2" t="inlineStr">
        <is>
          <t>Customer 08</t>
        </is>
      </c>
      <c r="C1356" s="2" t="inlineStr">
        <is>
          <t>PLC</t>
        </is>
      </c>
      <c r="D1356" s="2" t="inlineStr">
        <is>
          <t>Plant B</t>
        </is>
      </c>
      <c r="E1356" s="2" t="inlineStr">
        <is>
          <t>South</t>
        </is>
      </c>
      <c r="F1356" s="12" t="n">
        <v>46068</v>
      </c>
      <c r="G1356" s="12" t="n">
        <v>46083</v>
      </c>
      <c r="H1356" s="12" t="n">
        <v>46079</v>
      </c>
      <c r="I1356" s="12" t="n">
        <v>46079</v>
      </c>
      <c r="J1356" s="12" t="n">
        <v>46083</v>
      </c>
      <c r="K1356" s="2" t="n">
        <v>219</v>
      </c>
      <c r="L1356" s="2" t="inlineStr">
        <is>
          <t>Road</t>
        </is>
      </c>
      <c r="M1356" s="2" t="inlineStr">
        <is>
          <t>No Delay</t>
        </is>
      </c>
      <c r="N1356" s="4">
        <f>IF(I1356&lt;=H1356,1,0)</f>
        <v/>
      </c>
      <c r="O1356" s="4">
        <f>IF(J1356&lt;=G1356,1,0)</f>
        <v/>
      </c>
      <c r="P1356" s="4">
        <f>MAX(0,I1356-H1356)</f>
        <v/>
      </c>
      <c r="Q1356" s="4">
        <f>MAX(0,J1356-G1356)</f>
        <v/>
      </c>
      <c r="R1356" s="4">
        <f>IF(AND(N1356=1,O1356=1),"On Track",IF(O1356=0,"Customer Delivery Late","Ship Late"))</f>
        <v/>
      </c>
    </row>
    <row r="1357">
      <c r="A1357" s="2" t="inlineStr">
        <is>
          <t>ORD-01356</t>
        </is>
      </c>
      <c r="B1357" s="2" t="inlineStr">
        <is>
          <t>Customer 16</t>
        </is>
      </c>
      <c r="C1357" s="2" t="inlineStr">
        <is>
          <t>Sensor</t>
        </is>
      </c>
      <c r="D1357" s="2" t="inlineStr">
        <is>
          <t>Plant B</t>
        </is>
      </c>
      <c r="E1357" s="2" t="inlineStr">
        <is>
          <t>South</t>
        </is>
      </c>
      <c r="F1357" s="12" t="n">
        <v>46152</v>
      </c>
      <c r="G1357" s="12" t="n">
        <v>46160</v>
      </c>
      <c r="H1357" s="12" t="n">
        <v>46155</v>
      </c>
      <c r="I1357" s="12" t="n">
        <v>46154</v>
      </c>
      <c r="J1357" s="12" t="n">
        <v>46158</v>
      </c>
      <c r="K1357" s="2" t="n">
        <v>42</v>
      </c>
      <c r="L1357" s="2" t="inlineStr">
        <is>
          <t>Sea</t>
        </is>
      </c>
      <c r="M1357" s="2" t="inlineStr">
        <is>
          <t>No Delay</t>
        </is>
      </c>
      <c r="N1357" s="4">
        <f>IF(I1357&lt;=H1357,1,0)</f>
        <v/>
      </c>
      <c r="O1357" s="4">
        <f>IF(J1357&lt;=G1357,1,0)</f>
        <v/>
      </c>
      <c r="P1357" s="4">
        <f>MAX(0,I1357-H1357)</f>
        <v/>
      </c>
      <c r="Q1357" s="4">
        <f>MAX(0,J1357-G1357)</f>
        <v/>
      </c>
      <c r="R1357" s="4">
        <f>IF(AND(N1357=1,O1357=1),"On Track",IF(O1357=0,"Customer Delivery Late","Ship Late"))</f>
        <v/>
      </c>
    </row>
    <row r="1358">
      <c r="A1358" s="2" t="inlineStr">
        <is>
          <t>ORD-01357</t>
        </is>
      </c>
      <c r="B1358" s="2" t="inlineStr">
        <is>
          <t>Customer 20</t>
        </is>
      </c>
      <c r="C1358" s="2" t="inlineStr">
        <is>
          <t>Contactor</t>
        </is>
      </c>
      <c r="D1358" s="2" t="inlineStr">
        <is>
          <t>Plant C</t>
        </is>
      </c>
      <c r="E1358" s="2" t="inlineStr">
        <is>
          <t>North</t>
        </is>
      </c>
      <c r="F1358" s="12" t="n">
        <v>46105</v>
      </c>
      <c r="G1358" s="12" t="n">
        <v>46125</v>
      </c>
      <c r="H1358" s="12" t="n">
        <v>46122</v>
      </c>
      <c r="I1358" s="12" t="n">
        <v>46120</v>
      </c>
      <c r="J1358" s="12" t="n">
        <v>46123</v>
      </c>
      <c r="K1358" s="2" t="n">
        <v>241</v>
      </c>
      <c r="L1358" s="2" t="inlineStr">
        <is>
          <t>Air</t>
        </is>
      </c>
      <c r="M1358" s="2" t="inlineStr">
        <is>
          <t>No Delay</t>
        </is>
      </c>
      <c r="N1358" s="4">
        <f>IF(I1358&lt;=H1358,1,0)</f>
        <v/>
      </c>
      <c r="O1358" s="4">
        <f>IF(J1358&lt;=G1358,1,0)</f>
        <v/>
      </c>
      <c r="P1358" s="4">
        <f>MAX(0,I1358-H1358)</f>
        <v/>
      </c>
      <c r="Q1358" s="4">
        <f>MAX(0,J1358-G1358)</f>
        <v/>
      </c>
      <c r="R1358" s="4">
        <f>IF(AND(N1358=1,O1358=1),"On Track",IF(O1358=0,"Customer Delivery Late","Ship Late"))</f>
        <v/>
      </c>
    </row>
    <row r="1359">
      <c r="A1359" s="2" t="inlineStr">
        <is>
          <t>ORD-01358</t>
        </is>
      </c>
      <c r="B1359" s="2" t="inlineStr">
        <is>
          <t>Customer 03</t>
        </is>
      </c>
      <c r="C1359" s="2" t="inlineStr">
        <is>
          <t>Drive</t>
        </is>
      </c>
      <c r="D1359" s="2" t="inlineStr">
        <is>
          <t>Plant A</t>
        </is>
      </c>
      <c r="E1359" s="2" t="inlineStr">
        <is>
          <t>Export</t>
        </is>
      </c>
      <c r="F1359" s="12" t="n">
        <v>46176</v>
      </c>
      <c r="G1359" s="12" t="n">
        <v>46196</v>
      </c>
      <c r="H1359" s="12" t="n">
        <v>46194</v>
      </c>
      <c r="I1359" s="12" t="n">
        <v>46194</v>
      </c>
      <c r="J1359" s="12" t="n">
        <v>46197</v>
      </c>
      <c r="K1359" s="2" t="n">
        <v>639</v>
      </c>
      <c r="L1359" s="2" t="inlineStr">
        <is>
          <t>Road</t>
        </is>
      </c>
      <c r="M1359" s="2" t="inlineStr">
        <is>
          <t>Material Shortage</t>
        </is>
      </c>
      <c r="N1359" s="4">
        <f>IF(I1359&lt;=H1359,1,0)</f>
        <v/>
      </c>
      <c r="O1359" s="4">
        <f>IF(J1359&lt;=G1359,1,0)</f>
        <v/>
      </c>
      <c r="P1359" s="4">
        <f>MAX(0,I1359-H1359)</f>
        <v/>
      </c>
      <c r="Q1359" s="4">
        <f>MAX(0,J1359-G1359)</f>
        <v/>
      </c>
      <c r="R1359" s="4">
        <f>IF(AND(N1359=1,O1359=1),"On Track",IF(O1359=0,"Customer Delivery Late","Ship Late"))</f>
        <v/>
      </c>
    </row>
    <row r="1360">
      <c r="A1360" s="2" t="inlineStr">
        <is>
          <t>ORD-01359</t>
        </is>
      </c>
      <c r="B1360" s="2" t="inlineStr">
        <is>
          <t>Customer 06</t>
        </is>
      </c>
      <c r="C1360" s="2" t="inlineStr">
        <is>
          <t>Drive</t>
        </is>
      </c>
      <c r="D1360" s="2" t="inlineStr">
        <is>
          <t>Plant C</t>
        </is>
      </c>
      <c r="E1360" s="2" t="inlineStr">
        <is>
          <t>Central</t>
        </is>
      </c>
      <c r="F1360" s="12" t="n">
        <v>46106</v>
      </c>
      <c r="G1360" s="12" t="n">
        <v>46120</v>
      </c>
      <c r="H1360" s="12" t="n">
        <v>46116</v>
      </c>
      <c r="I1360" s="12" t="n">
        <v>46115</v>
      </c>
      <c r="J1360" s="12" t="n">
        <v>46118</v>
      </c>
      <c r="K1360" s="2" t="n">
        <v>869</v>
      </c>
      <c r="L1360" s="2" t="inlineStr">
        <is>
          <t>Air</t>
        </is>
      </c>
      <c r="M1360" s="2" t="inlineStr">
        <is>
          <t>No Delay</t>
        </is>
      </c>
      <c r="N1360" s="4">
        <f>IF(I1360&lt;=H1360,1,0)</f>
        <v/>
      </c>
      <c r="O1360" s="4">
        <f>IF(J1360&lt;=G1360,1,0)</f>
        <v/>
      </c>
      <c r="P1360" s="4">
        <f>MAX(0,I1360-H1360)</f>
        <v/>
      </c>
      <c r="Q1360" s="4">
        <f>MAX(0,J1360-G1360)</f>
        <v/>
      </c>
      <c r="R1360" s="4">
        <f>IF(AND(N1360=1,O1360=1),"On Track",IF(O1360=0,"Customer Delivery Late","Ship Late"))</f>
        <v/>
      </c>
    </row>
    <row r="1361">
      <c r="A1361" s="2" t="inlineStr">
        <is>
          <t>ORD-01360</t>
        </is>
      </c>
      <c r="B1361" s="2" t="inlineStr">
        <is>
          <t>Customer 28</t>
        </is>
      </c>
      <c r="C1361" s="2" t="inlineStr">
        <is>
          <t>Relay</t>
        </is>
      </c>
      <c r="D1361" s="2" t="inlineStr">
        <is>
          <t>Plant C</t>
        </is>
      </c>
      <c r="E1361" s="2" t="inlineStr">
        <is>
          <t>North</t>
        </is>
      </c>
      <c r="F1361" s="12" t="n">
        <v>46157</v>
      </c>
      <c r="G1361" s="12" t="n">
        <v>46165</v>
      </c>
      <c r="H1361" s="12" t="n">
        <v>46163</v>
      </c>
      <c r="I1361" s="12" t="n">
        <v>46162</v>
      </c>
      <c r="J1361" s="12" t="n">
        <v>46170</v>
      </c>
      <c r="K1361" s="2" t="n">
        <v>590</v>
      </c>
      <c r="L1361" s="2" t="inlineStr">
        <is>
          <t>Road</t>
        </is>
      </c>
      <c r="M1361" s="2" t="inlineStr">
        <is>
          <t>Carrier Delay</t>
        </is>
      </c>
      <c r="N1361" s="4">
        <f>IF(I1361&lt;=H1361,1,0)</f>
        <v/>
      </c>
      <c r="O1361" s="4">
        <f>IF(J1361&lt;=G1361,1,0)</f>
        <v/>
      </c>
      <c r="P1361" s="4">
        <f>MAX(0,I1361-H1361)</f>
        <v/>
      </c>
      <c r="Q1361" s="4">
        <f>MAX(0,J1361-G1361)</f>
        <v/>
      </c>
      <c r="R1361" s="4">
        <f>IF(AND(N1361=1,O1361=1),"On Track",IF(O1361=0,"Customer Delivery Late","Ship Late"))</f>
        <v/>
      </c>
    </row>
    <row r="1362">
      <c r="A1362" s="2" t="inlineStr">
        <is>
          <t>ORD-01361</t>
        </is>
      </c>
      <c r="B1362" s="2" t="inlineStr">
        <is>
          <t>Customer 02</t>
        </is>
      </c>
      <c r="C1362" s="2" t="inlineStr">
        <is>
          <t>Relay</t>
        </is>
      </c>
      <c r="D1362" s="2" t="inlineStr">
        <is>
          <t>Plant B</t>
        </is>
      </c>
      <c r="E1362" s="2" t="inlineStr">
        <is>
          <t>North</t>
        </is>
      </c>
      <c r="F1362" s="12" t="n">
        <v>46032</v>
      </c>
      <c r="G1362" s="12" t="n">
        <v>46048</v>
      </c>
      <c r="H1362" s="12" t="n">
        <v>46046</v>
      </c>
      <c r="I1362" s="12" t="n">
        <v>46046</v>
      </c>
      <c r="J1362" s="12" t="n">
        <v>46049</v>
      </c>
      <c r="K1362" s="2" t="n">
        <v>566</v>
      </c>
      <c r="L1362" s="2" t="inlineStr">
        <is>
          <t>Air</t>
        </is>
      </c>
      <c r="M1362" s="2" t="inlineStr">
        <is>
          <t>Capacity Constraint</t>
        </is>
      </c>
      <c r="N1362" s="4">
        <f>IF(I1362&lt;=H1362,1,0)</f>
        <v/>
      </c>
      <c r="O1362" s="4">
        <f>IF(J1362&lt;=G1362,1,0)</f>
        <v/>
      </c>
      <c r="P1362" s="4">
        <f>MAX(0,I1362-H1362)</f>
        <v/>
      </c>
      <c r="Q1362" s="4">
        <f>MAX(0,J1362-G1362)</f>
        <v/>
      </c>
      <c r="R1362" s="4">
        <f>IF(AND(N1362=1,O1362=1),"On Track",IF(O1362=0,"Customer Delivery Late","Ship Late"))</f>
        <v/>
      </c>
    </row>
    <row r="1363">
      <c r="A1363" s="2" t="inlineStr">
        <is>
          <t>ORD-01362</t>
        </is>
      </c>
      <c r="B1363" s="2" t="inlineStr">
        <is>
          <t>Customer 30</t>
        </is>
      </c>
      <c r="C1363" s="2" t="inlineStr">
        <is>
          <t>Drive</t>
        </is>
      </c>
      <c r="D1363" s="2" t="inlineStr">
        <is>
          <t>Plant C</t>
        </is>
      </c>
      <c r="E1363" s="2" t="inlineStr">
        <is>
          <t>Export</t>
        </is>
      </c>
      <c r="F1363" s="12" t="n">
        <v>46056</v>
      </c>
      <c r="G1363" s="12" t="n">
        <v>46068</v>
      </c>
      <c r="H1363" s="12" t="n">
        <v>46063</v>
      </c>
      <c r="I1363" s="12" t="n">
        <v>46062</v>
      </c>
      <c r="J1363" s="12" t="n">
        <v>46067</v>
      </c>
      <c r="K1363" s="2" t="n">
        <v>862</v>
      </c>
      <c r="L1363" s="2" t="inlineStr">
        <is>
          <t>Road</t>
        </is>
      </c>
      <c r="M1363" s="2" t="inlineStr">
        <is>
          <t>No Delay</t>
        </is>
      </c>
      <c r="N1363" s="4">
        <f>IF(I1363&lt;=H1363,1,0)</f>
        <v/>
      </c>
      <c r="O1363" s="4">
        <f>IF(J1363&lt;=G1363,1,0)</f>
        <v/>
      </c>
      <c r="P1363" s="4">
        <f>MAX(0,I1363-H1363)</f>
        <v/>
      </c>
      <c r="Q1363" s="4">
        <f>MAX(0,J1363-G1363)</f>
        <v/>
      </c>
      <c r="R1363" s="4">
        <f>IF(AND(N1363=1,O1363=1),"On Track",IF(O1363=0,"Customer Delivery Late","Ship Late"))</f>
        <v/>
      </c>
    </row>
    <row r="1364">
      <c r="A1364" s="2" t="inlineStr">
        <is>
          <t>ORD-01363</t>
        </is>
      </c>
      <c r="B1364" s="2" t="inlineStr">
        <is>
          <t>Customer 06</t>
        </is>
      </c>
      <c r="C1364" s="2" t="inlineStr">
        <is>
          <t>Relay</t>
        </is>
      </c>
      <c r="D1364" s="2" t="inlineStr">
        <is>
          <t>Plant B</t>
        </is>
      </c>
      <c r="E1364" s="2" t="inlineStr">
        <is>
          <t>South</t>
        </is>
      </c>
      <c r="F1364" s="12" t="n">
        <v>46106</v>
      </c>
      <c r="G1364" s="12" t="n">
        <v>46129</v>
      </c>
      <c r="H1364" s="12" t="n">
        <v>46124</v>
      </c>
      <c r="I1364" s="12" t="n">
        <v>46123</v>
      </c>
      <c r="J1364" s="12" t="n">
        <v>46128</v>
      </c>
      <c r="K1364" s="2" t="n">
        <v>1054</v>
      </c>
      <c r="L1364" s="2" t="inlineStr">
        <is>
          <t>Air</t>
        </is>
      </c>
      <c r="M1364" s="2" t="inlineStr">
        <is>
          <t>No Delay</t>
        </is>
      </c>
      <c r="N1364" s="4">
        <f>IF(I1364&lt;=H1364,1,0)</f>
        <v/>
      </c>
      <c r="O1364" s="4">
        <f>IF(J1364&lt;=G1364,1,0)</f>
        <v/>
      </c>
      <c r="P1364" s="4">
        <f>MAX(0,I1364-H1364)</f>
        <v/>
      </c>
      <c r="Q1364" s="4">
        <f>MAX(0,J1364-G1364)</f>
        <v/>
      </c>
      <c r="R1364" s="4">
        <f>IF(AND(N1364=1,O1364=1),"On Track",IF(O1364=0,"Customer Delivery Late","Ship Late"))</f>
        <v/>
      </c>
    </row>
    <row r="1365">
      <c r="A1365" s="2" t="inlineStr">
        <is>
          <t>ORD-01364</t>
        </is>
      </c>
      <c r="B1365" s="2" t="inlineStr">
        <is>
          <t>Customer 11</t>
        </is>
      </c>
      <c r="C1365" s="2" t="inlineStr">
        <is>
          <t>Sensor</t>
        </is>
      </c>
      <c r="D1365" s="2" t="inlineStr">
        <is>
          <t>Plant A</t>
        </is>
      </c>
      <c r="E1365" s="2" t="inlineStr">
        <is>
          <t>Central</t>
        </is>
      </c>
      <c r="F1365" s="12" t="n">
        <v>46194</v>
      </c>
      <c r="G1365" s="12" t="n">
        <v>46207</v>
      </c>
      <c r="H1365" s="12" t="n">
        <v>46202</v>
      </c>
      <c r="I1365" s="12" t="n">
        <v>46202</v>
      </c>
      <c r="J1365" s="12" t="n">
        <v>46207</v>
      </c>
      <c r="K1365" s="2" t="n">
        <v>633</v>
      </c>
      <c r="L1365" s="2" t="inlineStr">
        <is>
          <t>Sea</t>
        </is>
      </c>
      <c r="M1365" s="2" t="inlineStr">
        <is>
          <t>No Delay</t>
        </is>
      </c>
      <c r="N1365" s="4">
        <f>IF(I1365&lt;=H1365,1,0)</f>
        <v/>
      </c>
      <c r="O1365" s="4">
        <f>IF(J1365&lt;=G1365,1,0)</f>
        <v/>
      </c>
      <c r="P1365" s="4">
        <f>MAX(0,I1365-H1365)</f>
        <v/>
      </c>
      <c r="Q1365" s="4">
        <f>MAX(0,J1365-G1365)</f>
        <v/>
      </c>
      <c r="R1365" s="4">
        <f>IF(AND(N1365=1,O1365=1),"On Track",IF(O1365=0,"Customer Delivery Late","Ship Late"))</f>
        <v/>
      </c>
    </row>
    <row r="1366">
      <c r="A1366" s="2" t="inlineStr">
        <is>
          <t>ORD-01365</t>
        </is>
      </c>
      <c r="B1366" s="2" t="inlineStr">
        <is>
          <t>Customer 05</t>
        </is>
      </c>
      <c r="C1366" s="2" t="inlineStr">
        <is>
          <t>Sensor</t>
        </is>
      </c>
      <c r="D1366" s="2" t="inlineStr">
        <is>
          <t>Plant B</t>
        </is>
      </c>
      <c r="E1366" s="2" t="inlineStr">
        <is>
          <t>Central</t>
        </is>
      </c>
      <c r="F1366" s="12" t="n">
        <v>46053</v>
      </c>
      <c r="G1366" s="12" t="n">
        <v>46060</v>
      </c>
      <c r="H1366" s="12" t="n">
        <v>46056</v>
      </c>
      <c r="I1366" s="12" t="n">
        <v>46057</v>
      </c>
      <c r="J1366" s="12" t="n">
        <v>46060</v>
      </c>
      <c r="K1366" s="2" t="n">
        <v>1210</v>
      </c>
      <c r="L1366" s="2" t="inlineStr">
        <is>
          <t>Sea</t>
        </is>
      </c>
      <c r="M1366" s="2" t="inlineStr">
        <is>
          <t>Material Shortage</t>
        </is>
      </c>
      <c r="N1366" s="4">
        <f>IF(I1366&lt;=H1366,1,0)</f>
        <v/>
      </c>
      <c r="O1366" s="4">
        <f>IF(J1366&lt;=G1366,1,0)</f>
        <v/>
      </c>
      <c r="P1366" s="4">
        <f>MAX(0,I1366-H1366)</f>
        <v/>
      </c>
      <c r="Q1366" s="4">
        <f>MAX(0,J1366-G1366)</f>
        <v/>
      </c>
      <c r="R1366" s="4">
        <f>IF(AND(N1366=1,O1366=1),"On Track",IF(O1366=0,"Customer Delivery Late","Ship Late"))</f>
        <v/>
      </c>
    </row>
    <row r="1367">
      <c r="A1367" s="2" t="inlineStr">
        <is>
          <t>ORD-01366</t>
        </is>
      </c>
      <c r="B1367" s="2" t="inlineStr">
        <is>
          <t>Customer 01</t>
        </is>
      </c>
      <c r="C1367" s="2" t="inlineStr">
        <is>
          <t>Drive</t>
        </is>
      </c>
      <c r="D1367" s="2" t="inlineStr">
        <is>
          <t>Plant B</t>
        </is>
      </c>
      <c r="E1367" s="2" t="inlineStr">
        <is>
          <t>Export</t>
        </is>
      </c>
      <c r="F1367" s="12" t="n">
        <v>46082</v>
      </c>
      <c r="G1367" s="12" t="n">
        <v>46089</v>
      </c>
      <c r="H1367" s="12" t="n">
        <v>46087</v>
      </c>
      <c r="I1367" s="12" t="n">
        <v>46085</v>
      </c>
      <c r="J1367" s="12" t="n">
        <v>46087</v>
      </c>
      <c r="K1367" s="2" t="n">
        <v>79</v>
      </c>
      <c r="L1367" s="2" t="inlineStr">
        <is>
          <t>Sea</t>
        </is>
      </c>
      <c r="M1367" s="2" t="inlineStr">
        <is>
          <t>No Delay</t>
        </is>
      </c>
      <c r="N1367" s="4">
        <f>IF(I1367&lt;=H1367,1,0)</f>
        <v/>
      </c>
      <c r="O1367" s="4">
        <f>IF(J1367&lt;=G1367,1,0)</f>
        <v/>
      </c>
      <c r="P1367" s="4">
        <f>MAX(0,I1367-H1367)</f>
        <v/>
      </c>
      <c r="Q1367" s="4">
        <f>MAX(0,J1367-G1367)</f>
        <v/>
      </c>
      <c r="R1367" s="4">
        <f>IF(AND(N1367=1,O1367=1),"On Track",IF(O1367=0,"Customer Delivery Late","Ship Late"))</f>
        <v/>
      </c>
    </row>
    <row r="1368">
      <c r="A1368" s="2" t="inlineStr">
        <is>
          <t>ORD-01367</t>
        </is>
      </c>
      <c r="B1368" s="2" t="inlineStr">
        <is>
          <t>Customer 28</t>
        </is>
      </c>
      <c r="C1368" s="2" t="inlineStr">
        <is>
          <t>Power Supply</t>
        </is>
      </c>
      <c r="D1368" s="2" t="inlineStr">
        <is>
          <t>Plant B</t>
        </is>
      </c>
      <c r="E1368" s="2" t="inlineStr">
        <is>
          <t>Export</t>
        </is>
      </c>
      <c r="F1368" s="12" t="n">
        <v>46075</v>
      </c>
      <c r="G1368" s="12" t="n">
        <v>46100</v>
      </c>
      <c r="H1368" s="12" t="n">
        <v>46096</v>
      </c>
      <c r="I1368" s="12" t="n">
        <v>46094</v>
      </c>
      <c r="J1368" s="12" t="n">
        <v>46098</v>
      </c>
      <c r="K1368" s="2" t="n">
        <v>305</v>
      </c>
      <c r="L1368" s="2" t="inlineStr">
        <is>
          <t>Air</t>
        </is>
      </c>
      <c r="M1368" s="2" t="inlineStr">
        <is>
          <t>No Delay</t>
        </is>
      </c>
      <c r="N1368" s="4">
        <f>IF(I1368&lt;=H1368,1,0)</f>
        <v/>
      </c>
      <c r="O1368" s="4">
        <f>IF(J1368&lt;=G1368,1,0)</f>
        <v/>
      </c>
      <c r="P1368" s="4">
        <f>MAX(0,I1368-H1368)</f>
        <v/>
      </c>
      <c r="Q1368" s="4">
        <f>MAX(0,J1368-G1368)</f>
        <v/>
      </c>
      <c r="R1368" s="4">
        <f>IF(AND(N1368=1,O1368=1),"On Track",IF(O1368=0,"Customer Delivery Late","Ship Late"))</f>
        <v/>
      </c>
    </row>
    <row r="1369">
      <c r="A1369" s="2" t="inlineStr">
        <is>
          <t>ORD-01368</t>
        </is>
      </c>
      <c r="B1369" s="2" t="inlineStr">
        <is>
          <t>Customer 05</t>
        </is>
      </c>
      <c r="C1369" s="2" t="inlineStr">
        <is>
          <t>Breaker</t>
        </is>
      </c>
      <c r="D1369" s="2" t="inlineStr">
        <is>
          <t>Plant A</t>
        </is>
      </c>
      <c r="E1369" s="2" t="inlineStr">
        <is>
          <t>South</t>
        </is>
      </c>
      <c r="F1369" s="12" t="n">
        <v>46199</v>
      </c>
      <c r="G1369" s="12" t="n">
        <v>46211</v>
      </c>
      <c r="H1369" s="12" t="n">
        <v>46207</v>
      </c>
      <c r="I1369" s="12" t="n">
        <v>46207</v>
      </c>
      <c r="J1369" s="12" t="n">
        <v>46211</v>
      </c>
      <c r="K1369" s="2" t="n">
        <v>1065</v>
      </c>
      <c r="L1369" s="2" t="inlineStr">
        <is>
          <t>Sea</t>
        </is>
      </c>
      <c r="M1369" s="2" t="inlineStr">
        <is>
          <t>No Delay</t>
        </is>
      </c>
      <c r="N1369" s="4">
        <f>IF(I1369&lt;=H1369,1,0)</f>
        <v/>
      </c>
      <c r="O1369" s="4">
        <f>IF(J1369&lt;=G1369,1,0)</f>
        <v/>
      </c>
      <c r="P1369" s="4">
        <f>MAX(0,I1369-H1369)</f>
        <v/>
      </c>
      <c r="Q1369" s="4">
        <f>MAX(0,J1369-G1369)</f>
        <v/>
      </c>
      <c r="R1369" s="4">
        <f>IF(AND(N1369=1,O1369=1),"On Track",IF(O1369=0,"Customer Delivery Late","Ship Late"))</f>
        <v/>
      </c>
    </row>
    <row r="1370">
      <c r="A1370" s="2" t="inlineStr">
        <is>
          <t>ORD-01369</t>
        </is>
      </c>
      <c r="B1370" s="2" t="inlineStr">
        <is>
          <t>Customer 26</t>
        </is>
      </c>
      <c r="C1370" s="2" t="inlineStr">
        <is>
          <t>Contactor</t>
        </is>
      </c>
      <c r="D1370" s="2" t="inlineStr">
        <is>
          <t>Plant C</t>
        </is>
      </c>
      <c r="E1370" s="2" t="inlineStr">
        <is>
          <t>Central</t>
        </is>
      </c>
      <c r="F1370" s="12" t="n">
        <v>46203</v>
      </c>
      <c r="G1370" s="12" t="n">
        <v>46213</v>
      </c>
      <c r="H1370" s="12" t="n">
        <v>46210</v>
      </c>
      <c r="I1370" s="12" t="n">
        <v>46208</v>
      </c>
      <c r="J1370" s="12" t="n">
        <v>46211</v>
      </c>
      <c r="K1370" s="2" t="n">
        <v>399</v>
      </c>
      <c r="L1370" s="2" t="inlineStr">
        <is>
          <t>Road</t>
        </is>
      </c>
      <c r="M1370" s="2" t="inlineStr">
        <is>
          <t>No Delay</t>
        </is>
      </c>
      <c r="N1370" s="4">
        <f>IF(I1370&lt;=H1370,1,0)</f>
        <v/>
      </c>
      <c r="O1370" s="4">
        <f>IF(J1370&lt;=G1370,1,0)</f>
        <v/>
      </c>
      <c r="P1370" s="4">
        <f>MAX(0,I1370-H1370)</f>
        <v/>
      </c>
      <c r="Q1370" s="4">
        <f>MAX(0,J1370-G1370)</f>
        <v/>
      </c>
      <c r="R1370" s="4">
        <f>IF(AND(N1370=1,O1370=1),"On Track",IF(O1370=0,"Customer Delivery Late","Ship Late"))</f>
        <v/>
      </c>
    </row>
    <row r="1371">
      <c r="A1371" s="2" t="inlineStr">
        <is>
          <t>ORD-01370</t>
        </is>
      </c>
      <c r="B1371" s="2" t="inlineStr">
        <is>
          <t>Customer 02</t>
        </is>
      </c>
      <c r="C1371" s="2" t="inlineStr">
        <is>
          <t>Power Supply</t>
        </is>
      </c>
      <c r="D1371" s="2" t="inlineStr">
        <is>
          <t>Plant C</t>
        </is>
      </c>
      <c r="E1371" s="2" t="inlineStr">
        <is>
          <t>North</t>
        </is>
      </c>
      <c r="F1371" s="12" t="n">
        <v>46055</v>
      </c>
      <c r="G1371" s="12" t="n">
        <v>46066</v>
      </c>
      <c r="H1371" s="12" t="n">
        <v>46061</v>
      </c>
      <c r="I1371" s="12" t="n">
        <v>46061</v>
      </c>
      <c r="J1371" s="12" t="n">
        <v>46066</v>
      </c>
      <c r="K1371" s="2" t="n">
        <v>194</v>
      </c>
      <c r="L1371" s="2" t="inlineStr">
        <is>
          <t>Sea</t>
        </is>
      </c>
      <c r="M1371" s="2" t="inlineStr">
        <is>
          <t>No Delay</t>
        </is>
      </c>
      <c r="N1371" s="4">
        <f>IF(I1371&lt;=H1371,1,0)</f>
        <v/>
      </c>
      <c r="O1371" s="4">
        <f>IF(J1371&lt;=G1371,1,0)</f>
        <v/>
      </c>
      <c r="P1371" s="4">
        <f>MAX(0,I1371-H1371)</f>
        <v/>
      </c>
      <c r="Q1371" s="4">
        <f>MAX(0,J1371-G1371)</f>
        <v/>
      </c>
      <c r="R1371" s="4">
        <f>IF(AND(N1371=1,O1371=1),"On Track",IF(O1371=0,"Customer Delivery Late","Ship Late"))</f>
        <v/>
      </c>
    </row>
    <row r="1372">
      <c r="A1372" s="2" t="inlineStr">
        <is>
          <t>ORD-01371</t>
        </is>
      </c>
      <c r="B1372" s="2" t="inlineStr">
        <is>
          <t>Customer 06</t>
        </is>
      </c>
      <c r="C1372" s="2" t="inlineStr">
        <is>
          <t>Switchgear</t>
        </is>
      </c>
      <c r="D1372" s="2" t="inlineStr">
        <is>
          <t>Plant B</t>
        </is>
      </c>
      <c r="E1372" s="2" t="inlineStr">
        <is>
          <t>North</t>
        </is>
      </c>
      <c r="F1372" s="12" t="n">
        <v>46085</v>
      </c>
      <c r="G1372" s="12" t="n">
        <v>46103</v>
      </c>
      <c r="H1372" s="12" t="n">
        <v>46100</v>
      </c>
      <c r="I1372" s="12" t="n">
        <v>46098</v>
      </c>
      <c r="J1372" s="12" t="n">
        <v>46101</v>
      </c>
      <c r="K1372" s="2" t="n">
        <v>1372</v>
      </c>
      <c r="L1372" s="2" t="inlineStr">
        <is>
          <t>Air</t>
        </is>
      </c>
      <c r="M1372" s="2" t="inlineStr">
        <is>
          <t>No Delay</t>
        </is>
      </c>
      <c r="N1372" s="4">
        <f>IF(I1372&lt;=H1372,1,0)</f>
        <v/>
      </c>
      <c r="O1372" s="4">
        <f>IF(J1372&lt;=G1372,1,0)</f>
        <v/>
      </c>
      <c r="P1372" s="4">
        <f>MAX(0,I1372-H1372)</f>
        <v/>
      </c>
      <c r="Q1372" s="4">
        <f>MAX(0,J1372-G1372)</f>
        <v/>
      </c>
      <c r="R1372" s="4">
        <f>IF(AND(N1372=1,O1372=1),"On Track",IF(O1372=0,"Customer Delivery Late","Ship Late"))</f>
        <v/>
      </c>
    </row>
    <row r="1373">
      <c r="A1373" s="2" t="inlineStr">
        <is>
          <t>ORD-01372</t>
        </is>
      </c>
      <c r="B1373" s="2" t="inlineStr">
        <is>
          <t>Customer 09</t>
        </is>
      </c>
      <c r="C1373" s="2" t="inlineStr">
        <is>
          <t>Switchgear</t>
        </is>
      </c>
      <c r="D1373" s="2" t="inlineStr">
        <is>
          <t>Plant A</t>
        </is>
      </c>
      <c r="E1373" s="2" t="inlineStr">
        <is>
          <t>Export</t>
        </is>
      </c>
      <c r="F1373" s="12" t="n">
        <v>46068</v>
      </c>
      <c r="G1373" s="12" t="n">
        <v>46078</v>
      </c>
      <c r="H1373" s="12" t="n">
        <v>46075</v>
      </c>
      <c r="I1373" s="12" t="n">
        <v>46074</v>
      </c>
      <c r="J1373" s="12" t="n">
        <v>46077</v>
      </c>
      <c r="K1373" s="2" t="n">
        <v>326</v>
      </c>
      <c r="L1373" s="2" t="inlineStr">
        <is>
          <t>Sea</t>
        </is>
      </c>
      <c r="M1373" s="2" t="inlineStr">
        <is>
          <t>No Delay</t>
        </is>
      </c>
      <c r="N1373" s="4">
        <f>IF(I1373&lt;=H1373,1,0)</f>
        <v/>
      </c>
      <c r="O1373" s="4">
        <f>IF(J1373&lt;=G1373,1,0)</f>
        <v/>
      </c>
      <c r="P1373" s="4">
        <f>MAX(0,I1373-H1373)</f>
        <v/>
      </c>
      <c r="Q1373" s="4">
        <f>MAX(0,J1373-G1373)</f>
        <v/>
      </c>
      <c r="R1373" s="4">
        <f>IF(AND(N1373=1,O1373=1),"On Track",IF(O1373=0,"Customer Delivery Late","Ship Late"))</f>
        <v/>
      </c>
    </row>
    <row r="1374">
      <c r="A1374" s="2" t="inlineStr">
        <is>
          <t>ORD-01373</t>
        </is>
      </c>
      <c r="B1374" s="2" t="inlineStr">
        <is>
          <t>Customer 18</t>
        </is>
      </c>
      <c r="C1374" s="2" t="inlineStr">
        <is>
          <t>PLC</t>
        </is>
      </c>
      <c r="D1374" s="2" t="inlineStr">
        <is>
          <t>Plant C</t>
        </is>
      </c>
      <c r="E1374" s="2" t="inlineStr">
        <is>
          <t>North</t>
        </is>
      </c>
      <c r="F1374" s="12" t="n">
        <v>46031</v>
      </c>
      <c r="G1374" s="12" t="n">
        <v>46046</v>
      </c>
      <c r="H1374" s="12" t="n">
        <v>46044</v>
      </c>
      <c r="I1374" s="12" t="n">
        <v>46044</v>
      </c>
      <c r="J1374" s="12" t="n">
        <v>46046</v>
      </c>
      <c r="K1374" s="2" t="n">
        <v>813</v>
      </c>
      <c r="L1374" s="2" t="inlineStr">
        <is>
          <t>Road</t>
        </is>
      </c>
      <c r="M1374" s="2" t="inlineStr">
        <is>
          <t>No Delay</t>
        </is>
      </c>
      <c r="N1374" s="4">
        <f>IF(I1374&lt;=H1374,1,0)</f>
        <v/>
      </c>
      <c r="O1374" s="4">
        <f>IF(J1374&lt;=G1374,1,0)</f>
        <v/>
      </c>
      <c r="P1374" s="4">
        <f>MAX(0,I1374-H1374)</f>
        <v/>
      </c>
      <c r="Q1374" s="4">
        <f>MAX(0,J1374-G1374)</f>
        <v/>
      </c>
      <c r="R1374" s="4">
        <f>IF(AND(N1374=1,O1374=1),"On Track",IF(O1374=0,"Customer Delivery Late","Ship Late"))</f>
        <v/>
      </c>
    </row>
    <row r="1375">
      <c r="A1375" s="2" t="inlineStr">
        <is>
          <t>ORD-01374</t>
        </is>
      </c>
      <c r="B1375" s="2" t="inlineStr">
        <is>
          <t>Customer 22</t>
        </is>
      </c>
      <c r="C1375" s="2" t="inlineStr">
        <is>
          <t>PLC</t>
        </is>
      </c>
      <c r="D1375" s="2" t="inlineStr">
        <is>
          <t>Plant A</t>
        </is>
      </c>
      <c r="E1375" s="2" t="inlineStr">
        <is>
          <t>Export</t>
        </is>
      </c>
      <c r="F1375" s="12" t="n">
        <v>46163</v>
      </c>
      <c r="G1375" s="12" t="n">
        <v>46173</v>
      </c>
      <c r="H1375" s="12" t="n">
        <v>46169</v>
      </c>
      <c r="I1375" s="12" t="n">
        <v>46169</v>
      </c>
      <c r="J1375" s="12" t="n">
        <v>46173</v>
      </c>
      <c r="K1375" s="2" t="n">
        <v>1478</v>
      </c>
      <c r="L1375" s="2" t="inlineStr">
        <is>
          <t>Sea</t>
        </is>
      </c>
      <c r="M1375" s="2" t="inlineStr">
        <is>
          <t>No Delay</t>
        </is>
      </c>
      <c r="N1375" s="4">
        <f>IF(I1375&lt;=H1375,1,0)</f>
        <v/>
      </c>
      <c r="O1375" s="4">
        <f>IF(J1375&lt;=G1375,1,0)</f>
        <v/>
      </c>
      <c r="P1375" s="4">
        <f>MAX(0,I1375-H1375)</f>
        <v/>
      </c>
      <c r="Q1375" s="4">
        <f>MAX(0,J1375-G1375)</f>
        <v/>
      </c>
      <c r="R1375" s="4">
        <f>IF(AND(N1375=1,O1375=1),"On Track",IF(O1375=0,"Customer Delivery Late","Ship Late"))</f>
        <v/>
      </c>
    </row>
    <row r="1376">
      <c r="A1376" s="2" t="inlineStr">
        <is>
          <t>ORD-01375</t>
        </is>
      </c>
      <c r="B1376" s="2" t="inlineStr">
        <is>
          <t>Customer 19</t>
        </is>
      </c>
      <c r="C1376" s="2" t="inlineStr">
        <is>
          <t>PLC</t>
        </is>
      </c>
      <c r="D1376" s="2" t="inlineStr">
        <is>
          <t>Plant C</t>
        </is>
      </c>
      <c r="E1376" s="2" t="inlineStr">
        <is>
          <t>Export</t>
        </is>
      </c>
      <c r="F1376" s="12" t="n">
        <v>46078</v>
      </c>
      <c r="G1376" s="12" t="n">
        <v>46101</v>
      </c>
      <c r="H1376" s="12" t="n">
        <v>46096</v>
      </c>
      <c r="I1376" s="12" t="n">
        <v>46097</v>
      </c>
      <c r="J1376" s="12" t="n">
        <v>46102</v>
      </c>
      <c r="K1376" s="2" t="n">
        <v>360</v>
      </c>
      <c r="L1376" s="2" t="inlineStr">
        <is>
          <t>Road</t>
        </is>
      </c>
      <c r="M1376" s="2" t="inlineStr">
        <is>
          <t>Capacity Constraint</t>
        </is>
      </c>
      <c r="N1376" s="4">
        <f>IF(I1376&lt;=H1376,1,0)</f>
        <v/>
      </c>
      <c r="O1376" s="4">
        <f>IF(J1376&lt;=G1376,1,0)</f>
        <v/>
      </c>
      <c r="P1376" s="4">
        <f>MAX(0,I1376-H1376)</f>
        <v/>
      </c>
      <c r="Q1376" s="4">
        <f>MAX(0,J1376-G1376)</f>
        <v/>
      </c>
      <c r="R1376" s="4">
        <f>IF(AND(N1376=1,O1376=1),"On Track",IF(O1376=0,"Customer Delivery Late","Ship Late"))</f>
        <v/>
      </c>
    </row>
    <row r="1377">
      <c r="A1377" s="2" t="inlineStr">
        <is>
          <t>ORD-01376</t>
        </is>
      </c>
      <c r="B1377" s="2" t="inlineStr">
        <is>
          <t>Customer 08</t>
        </is>
      </c>
      <c r="C1377" s="2" t="inlineStr">
        <is>
          <t>Relay</t>
        </is>
      </c>
      <c r="D1377" s="2" t="inlineStr">
        <is>
          <t>Plant B</t>
        </is>
      </c>
      <c r="E1377" s="2" t="inlineStr">
        <is>
          <t>South</t>
        </is>
      </c>
      <c r="F1377" s="12" t="n">
        <v>46132</v>
      </c>
      <c r="G1377" s="12" t="n">
        <v>46147</v>
      </c>
      <c r="H1377" s="12" t="n">
        <v>46142</v>
      </c>
      <c r="I1377" s="12" t="n">
        <v>46141</v>
      </c>
      <c r="J1377" s="12" t="n">
        <v>46147</v>
      </c>
      <c r="K1377" s="2" t="n">
        <v>1448</v>
      </c>
      <c r="L1377" s="2" t="inlineStr">
        <is>
          <t>Road</t>
        </is>
      </c>
      <c r="M1377" s="2" t="inlineStr">
        <is>
          <t>No Delay</t>
        </is>
      </c>
      <c r="N1377" s="4">
        <f>IF(I1377&lt;=H1377,1,0)</f>
        <v/>
      </c>
      <c r="O1377" s="4">
        <f>IF(J1377&lt;=G1377,1,0)</f>
        <v/>
      </c>
      <c r="P1377" s="4">
        <f>MAX(0,I1377-H1377)</f>
        <v/>
      </c>
      <c r="Q1377" s="4">
        <f>MAX(0,J1377-G1377)</f>
        <v/>
      </c>
      <c r="R1377" s="4">
        <f>IF(AND(N1377=1,O1377=1),"On Track",IF(O1377=0,"Customer Delivery Late","Ship Late"))</f>
        <v/>
      </c>
    </row>
    <row r="1378">
      <c r="A1378" s="2" t="inlineStr">
        <is>
          <t>ORD-01377</t>
        </is>
      </c>
      <c r="B1378" s="2" t="inlineStr">
        <is>
          <t>Customer 24</t>
        </is>
      </c>
      <c r="C1378" s="2" t="inlineStr">
        <is>
          <t>Switchgear</t>
        </is>
      </c>
      <c r="D1378" s="2" t="inlineStr">
        <is>
          <t>Plant C</t>
        </is>
      </c>
      <c r="E1378" s="2" t="inlineStr">
        <is>
          <t>Export</t>
        </is>
      </c>
      <c r="F1378" s="12" t="n">
        <v>46170</v>
      </c>
      <c r="G1378" s="12" t="n">
        <v>46192</v>
      </c>
      <c r="H1378" s="12" t="n">
        <v>46190</v>
      </c>
      <c r="I1378" s="12" t="n">
        <v>46189</v>
      </c>
      <c r="J1378" s="12" t="n">
        <v>46191</v>
      </c>
      <c r="K1378" s="2" t="n">
        <v>458</v>
      </c>
      <c r="L1378" s="2" t="inlineStr">
        <is>
          <t>Road</t>
        </is>
      </c>
      <c r="M1378" s="2" t="inlineStr">
        <is>
          <t>No Delay</t>
        </is>
      </c>
      <c r="N1378" s="4">
        <f>IF(I1378&lt;=H1378,1,0)</f>
        <v/>
      </c>
      <c r="O1378" s="4">
        <f>IF(J1378&lt;=G1378,1,0)</f>
        <v/>
      </c>
      <c r="P1378" s="4">
        <f>MAX(0,I1378-H1378)</f>
        <v/>
      </c>
      <c r="Q1378" s="4">
        <f>MAX(0,J1378-G1378)</f>
        <v/>
      </c>
      <c r="R1378" s="4">
        <f>IF(AND(N1378=1,O1378=1),"On Track",IF(O1378=0,"Customer Delivery Late","Ship Late"))</f>
        <v/>
      </c>
    </row>
    <row r="1379">
      <c r="A1379" s="2" t="inlineStr">
        <is>
          <t>ORD-01378</t>
        </is>
      </c>
      <c r="B1379" s="2" t="inlineStr">
        <is>
          <t>Customer 19</t>
        </is>
      </c>
      <c r="C1379" s="2" t="inlineStr">
        <is>
          <t>Switchgear</t>
        </is>
      </c>
      <c r="D1379" s="2" t="inlineStr">
        <is>
          <t>Plant C</t>
        </is>
      </c>
      <c r="E1379" s="2" t="inlineStr">
        <is>
          <t>North</t>
        </is>
      </c>
      <c r="F1379" s="12" t="n">
        <v>46123</v>
      </c>
      <c r="G1379" s="12" t="n">
        <v>46137</v>
      </c>
      <c r="H1379" s="12" t="n">
        <v>46135</v>
      </c>
      <c r="I1379" s="12" t="n">
        <v>46135</v>
      </c>
      <c r="J1379" s="12" t="n">
        <v>46137</v>
      </c>
      <c r="K1379" s="2" t="n">
        <v>379</v>
      </c>
      <c r="L1379" s="2" t="inlineStr">
        <is>
          <t>Air</t>
        </is>
      </c>
      <c r="M1379" s="2" t="inlineStr">
        <is>
          <t>No Delay</t>
        </is>
      </c>
      <c r="N1379" s="4">
        <f>IF(I1379&lt;=H1379,1,0)</f>
        <v/>
      </c>
      <c r="O1379" s="4">
        <f>IF(J1379&lt;=G1379,1,0)</f>
        <v/>
      </c>
      <c r="P1379" s="4">
        <f>MAX(0,I1379-H1379)</f>
        <v/>
      </c>
      <c r="Q1379" s="4">
        <f>MAX(0,J1379-G1379)</f>
        <v/>
      </c>
      <c r="R1379" s="4">
        <f>IF(AND(N1379=1,O1379=1),"On Track",IF(O1379=0,"Customer Delivery Late","Ship Late"))</f>
        <v/>
      </c>
    </row>
    <row r="1380">
      <c r="A1380" s="2" t="inlineStr">
        <is>
          <t>ORD-01379</t>
        </is>
      </c>
      <c r="B1380" s="2" t="inlineStr">
        <is>
          <t>Customer 02</t>
        </is>
      </c>
      <c r="C1380" s="2" t="inlineStr">
        <is>
          <t>Drive</t>
        </is>
      </c>
      <c r="D1380" s="2" t="inlineStr">
        <is>
          <t>Plant A</t>
        </is>
      </c>
      <c r="E1380" s="2" t="inlineStr">
        <is>
          <t>Export</t>
        </is>
      </c>
      <c r="F1380" s="12" t="n">
        <v>46177</v>
      </c>
      <c r="G1380" s="12" t="n">
        <v>46200</v>
      </c>
      <c r="H1380" s="12" t="n">
        <v>46196</v>
      </c>
      <c r="I1380" s="12" t="n">
        <v>46196</v>
      </c>
      <c r="J1380" s="12" t="n">
        <v>46200</v>
      </c>
      <c r="K1380" s="2" t="n">
        <v>1089</v>
      </c>
      <c r="L1380" s="2" t="inlineStr">
        <is>
          <t>Air</t>
        </is>
      </c>
      <c r="M1380" s="2" t="inlineStr">
        <is>
          <t>No Delay</t>
        </is>
      </c>
      <c r="N1380" s="4">
        <f>IF(I1380&lt;=H1380,1,0)</f>
        <v/>
      </c>
      <c r="O1380" s="4">
        <f>IF(J1380&lt;=G1380,1,0)</f>
        <v/>
      </c>
      <c r="P1380" s="4">
        <f>MAX(0,I1380-H1380)</f>
        <v/>
      </c>
      <c r="Q1380" s="4">
        <f>MAX(0,J1380-G1380)</f>
        <v/>
      </c>
      <c r="R1380" s="4">
        <f>IF(AND(N1380=1,O1380=1),"On Track",IF(O1380=0,"Customer Delivery Late","Ship Late"))</f>
        <v/>
      </c>
    </row>
    <row r="1381">
      <c r="A1381" s="2" t="inlineStr">
        <is>
          <t>ORD-01380</t>
        </is>
      </c>
      <c r="B1381" s="2" t="inlineStr">
        <is>
          <t>Customer 30</t>
        </is>
      </c>
      <c r="C1381" s="2" t="inlineStr">
        <is>
          <t>PLC</t>
        </is>
      </c>
      <c r="D1381" s="2" t="inlineStr">
        <is>
          <t>Plant A</t>
        </is>
      </c>
      <c r="E1381" s="2" t="inlineStr">
        <is>
          <t>Central</t>
        </is>
      </c>
      <c r="F1381" s="12" t="n">
        <v>46051</v>
      </c>
      <c r="G1381" s="12" t="n">
        <v>46062</v>
      </c>
      <c r="H1381" s="12" t="n">
        <v>46058</v>
      </c>
      <c r="I1381" s="12" t="n">
        <v>46057</v>
      </c>
      <c r="J1381" s="12" t="n">
        <v>46062</v>
      </c>
      <c r="K1381" s="2" t="n">
        <v>67</v>
      </c>
      <c r="L1381" s="2" t="inlineStr">
        <is>
          <t>Sea</t>
        </is>
      </c>
      <c r="M1381" s="2" t="inlineStr">
        <is>
          <t>No Delay</t>
        </is>
      </c>
      <c r="N1381" s="4">
        <f>IF(I1381&lt;=H1381,1,0)</f>
        <v/>
      </c>
      <c r="O1381" s="4">
        <f>IF(J1381&lt;=G1381,1,0)</f>
        <v/>
      </c>
      <c r="P1381" s="4">
        <f>MAX(0,I1381-H1381)</f>
        <v/>
      </c>
      <c r="Q1381" s="4">
        <f>MAX(0,J1381-G1381)</f>
        <v/>
      </c>
      <c r="R1381" s="4">
        <f>IF(AND(N1381=1,O1381=1),"On Track",IF(O1381=0,"Customer Delivery Late","Ship Late"))</f>
        <v/>
      </c>
    </row>
    <row r="1382">
      <c r="A1382" s="2" t="inlineStr">
        <is>
          <t>ORD-01381</t>
        </is>
      </c>
      <c r="B1382" s="2" t="inlineStr">
        <is>
          <t>Customer 29</t>
        </is>
      </c>
      <c r="C1382" s="2" t="inlineStr">
        <is>
          <t>Breaker</t>
        </is>
      </c>
      <c r="D1382" s="2" t="inlineStr">
        <is>
          <t>Plant B</t>
        </is>
      </c>
      <c r="E1382" s="2" t="inlineStr">
        <is>
          <t>Export</t>
        </is>
      </c>
      <c r="F1382" s="12" t="n">
        <v>46048</v>
      </c>
      <c r="G1382" s="12" t="n">
        <v>46057</v>
      </c>
      <c r="H1382" s="12" t="n">
        <v>46054</v>
      </c>
      <c r="I1382" s="12" t="n">
        <v>46054</v>
      </c>
      <c r="J1382" s="12" t="n">
        <v>46058</v>
      </c>
      <c r="K1382" s="2" t="n">
        <v>1252</v>
      </c>
      <c r="L1382" s="2" t="inlineStr">
        <is>
          <t>Sea</t>
        </is>
      </c>
      <c r="M1382" s="2" t="inlineStr">
        <is>
          <t>Material Shortage</t>
        </is>
      </c>
      <c r="N1382" s="4">
        <f>IF(I1382&lt;=H1382,1,0)</f>
        <v/>
      </c>
      <c r="O1382" s="4">
        <f>IF(J1382&lt;=G1382,1,0)</f>
        <v/>
      </c>
      <c r="P1382" s="4">
        <f>MAX(0,I1382-H1382)</f>
        <v/>
      </c>
      <c r="Q1382" s="4">
        <f>MAX(0,J1382-G1382)</f>
        <v/>
      </c>
      <c r="R1382" s="4">
        <f>IF(AND(N1382=1,O1382=1),"On Track",IF(O1382=0,"Customer Delivery Late","Ship Late"))</f>
        <v/>
      </c>
    </row>
    <row r="1383">
      <c r="A1383" s="2" t="inlineStr">
        <is>
          <t>ORD-01382</t>
        </is>
      </c>
      <c r="B1383" s="2" t="inlineStr">
        <is>
          <t>Customer 23</t>
        </is>
      </c>
      <c r="C1383" s="2" t="inlineStr">
        <is>
          <t>Drive</t>
        </is>
      </c>
      <c r="D1383" s="2" t="inlineStr">
        <is>
          <t>Plant C</t>
        </is>
      </c>
      <c r="E1383" s="2" t="inlineStr">
        <is>
          <t>South</t>
        </is>
      </c>
      <c r="F1383" s="12" t="n">
        <v>46142</v>
      </c>
      <c r="G1383" s="12" t="n">
        <v>46163</v>
      </c>
      <c r="H1383" s="12" t="n">
        <v>46158</v>
      </c>
      <c r="I1383" s="12" t="n">
        <v>46158</v>
      </c>
      <c r="J1383" s="12" t="n">
        <v>46163</v>
      </c>
      <c r="K1383" s="2" t="n">
        <v>388</v>
      </c>
      <c r="L1383" s="2" t="inlineStr">
        <is>
          <t>Road</t>
        </is>
      </c>
      <c r="M1383" s="2" t="inlineStr">
        <is>
          <t>No Delay</t>
        </is>
      </c>
      <c r="N1383" s="4">
        <f>IF(I1383&lt;=H1383,1,0)</f>
        <v/>
      </c>
      <c r="O1383" s="4">
        <f>IF(J1383&lt;=G1383,1,0)</f>
        <v/>
      </c>
      <c r="P1383" s="4">
        <f>MAX(0,I1383-H1383)</f>
        <v/>
      </c>
      <c r="Q1383" s="4">
        <f>MAX(0,J1383-G1383)</f>
        <v/>
      </c>
      <c r="R1383" s="4">
        <f>IF(AND(N1383=1,O1383=1),"On Track",IF(O1383=0,"Customer Delivery Late","Ship Late"))</f>
        <v/>
      </c>
    </row>
    <row r="1384">
      <c r="A1384" s="2" t="inlineStr">
        <is>
          <t>ORD-01383</t>
        </is>
      </c>
      <c r="B1384" s="2" t="inlineStr">
        <is>
          <t>Customer 10</t>
        </is>
      </c>
      <c r="C1384" s="2" t="inlineStr">
        <is>
          <t>PLC</t>
        </is>
      </c>
      <c r="D1384" s="2" t="inlineStr">
        <is>
          <t>Plant B</t>
        </is>
      </c>
      <c r="E1384" s="2" t="inlineStr">
        <is>
          <t>North</t>
        </is>
      </c>
      <c r="F1384" s="12" t="n">
        <v>46186</v>
      </c>
      <c r="G1384" s="12" t="n">
        <v>46208</v>
      </c>
      <c r="H1384" s="12" t="n">
        <v>46204</v>
      </c>
      <c r="I1384" s="12" t="n">
        <v>46202</v>
      </c>
      <c r="J1384" s="12" t="n">
        <v>46205</v>
      </c>
      <c r="K1384" s="2" t="n">
        <v>1182</v>
      </c>
      <c r="L1384" s="2" t="inlineStr">
        <is>
          <t>Sea</t>
        </is>
      </c>
      <c r="M1384" s="2" t="inlineStr">
        <is>
          <t>No Delay</t>
        </is>
      </c>
      <c r="N1384" s="4">
        <f>IF(I1384&lt;=H1384,1,0)</f>
        <v/>
      </c>
      <c r="O1384" s="4">
        <f>IF(J1384&lt;=G1384,1,0)</f>
        <v/>
      </c>
      <c r="P1384" s="4">
        <f>MAX(0,I1384-H1384)</f>
        <v/>
      </c>
      <c r="Q1384" s="4">
        <f>MAX(0,J1384-G1384)</f>
        <v/>
      </c>
      <c r="R1384" s="4">
        <f>IF(AND(N1384=1,O1384=1),"On Track",IF(O1384=0,"Customer Delivery Late","Ship Late"))</f>
        <v/>
      </c>
    </row>
    <row r="1385">
      <c r="A1385" s="2" t="inlineStr">
        <is>
          <t>ORD-01384</t>
        </is>
      </c>
      <c r="B1385" s="2" t="inlineStr">
        <is>
          <t>Customer 28</t>
        </is>
      </c>
      <c r="C1385" s="2" t="inlineStr">
        <is>
          <t>Contactor</t>
        </is>
      </c>
      <c r="D1385" s="2" t="inlineStr">
        <is>
          <t>Plant A</t>
        </is>
      </c>
      <c r="E1385" s="2" t="inlineStr">
        <is>
          <t>Central</t>
        </is>
      </c>
      <c r="F1385" s="12" t="n">
        <v>46105</v>
      </c>
      <c r="G1385" s="12" t="n">
        <v>46113</v>
      </c>
      <c r="H1385" s="12" t="n">
        <v>46109</v>
      </c>
      <c r="I1385" s="12" t="n">
        <v>46107</v>
      </c>
      <c r="J1385" s="12" t="n">
        <v>46112</v>
      </c>
      <c r="K1385" s="2" t="n">
        <v>1326</v>
      </c>
      <c r="L1385" s="2" t="inlineStr">
        <is>
          <t>Sea</t>
        </is>
      </c>
      <c r="M1385" s="2" t="inlineStr">
        <is>
          <t>No Delay</t>
        </is>
      </c>
      <c r="N1385" s="4">
        <f>IF(I1385&lt;=H1385,1,0)</f>
        <v/>
      </c>
      <c r="O1385" s="4">
        <f>IF(J1385&lt;=G1385,1,0)</f>
        <v/>
      </c>
      <c r="P1385" s="4">
        <f>MAX(0,I1385-H1385)</f>
        <v/>
      </c>
      <c r="Q1385" s="4">
        <f>MAX(0,J1385-G1385)</f>
        <v/>
      </c>
      <c r="R1385" s="4">
        <f>IF(AND(N1385=1,O1385=1),"On Track",IF(O1385=0,"Customer Delivery Late","Ship Late"))</f>
        <v/>
      </c>
    </row>
    <row r="1386">
      <c r="A1386" s="2" t="inlineStr">
        <is>
          <t>ORD-01385</t>
        </is>
      </c>
      <c r="B1386" s="2" t="inlineStr">
        <is>
          <t>Customer 21</t>
        </is>
      </c>
      <c r="C1386" s="2" t="inlineStr">
        <is>
          <t>PLC</t>
        </is>
      </c>
      <c r="D1386" s="2" t="inlineStr">
        <is>
          <t>Plant A</t>
        </is>
      </c>
      <c r="E1386" s="2" t="inlineStr">
        <is>
          <t>Central</t>
        </is>
      </c>
      <c r="F1386" s="12" t="n">
        <v>46065</v>
      </c>
      <c r="G1386" s="12" t="n">
        <v>46088</v>
      </c>
      <c r="H1386" s="12" t="n">
        <v>46085</v>
      </c>
      <c r="I1386" s="12" t="n">
        <v>46083</v>
      </c>
      <c r="J1386" s="12" t="n">
        <v>46086</v>
      </c>
      <c r="K1386" s="2" t="n">
        <v>20</v>
      </c>
      <c r="L1386" s="2" t="inlineStr">
        <is>
          <t>Sea</t>
        </is>
      </c>
      <c r="M1386" s="2" t="inlineStr">
        <is>
          <t>No Delay</t>
        </is>
      </c>
      <c r="N1386" s="4">
        <f>IF(I1386&lt;=H1386,1,0)</f>
        <v/>
      </c>
      <c r="O1386" s="4">
        <f>IF(J1386&lt;=G1386,1,0)</f>
        <v/>
      </c>
      <c r="P1386" s="4">
        <f>MAX(0,I1386-H1386)</f>
        <v/>
      </c>
      <c r="Q1386" s="4">
        <f>MAX(0,J1386-G1386)</f>
        <v/>
      </c>
      <c r="R1386" s="4">
        <f>IF(AND(N1386=1,O1386=1),"On Track",IF(O1386=0,"Customer Delivery Late","Ship Late"))</f>
        <v/>
      </c>
    </row>
    <row r="1387">
      <c r="A1387" s="2" t="inlineStr">
        <is>
          <t>ORD-01386</t>
        </is>
      </c>
      <c r="B1387" s="2" t="inlineStr">
        <is>
          <t>Customer 04</t>
        </is>
      </c>
      <c r="C1387" s="2" t="inlineStr">
        <is>
          <t>Relay</t>
        </is>
      </c>
      <c r="D1387" s="2" t="inlineStr">
        <is>
          <t>Plant B</t>
        </is>
      </c>
      <c r="E1387" s="2" t="inlineStr">
        <is>
          <t>North</t>
        </is>
      </c>
      <c r="F1387" s="12" t="n">
        <v>46129</v>
      </c>
      <c r="G1387" s="12" t="n">
        <v>46149</v>
      </c>
      <c r="H1387" s="12" t="n">
        <v>46148</v>
      </c>
      <c r="I1387" s="12" t="n">
        <v>46148</v>
      </c>
      <c r="J1387" s="12" t="n">
        <v>46149</v>
      </c>
      <c r="K1387" s="2" t="n">
        <v>1306</v>
      </c>
      <c r="L1387" s="2" t="inlineStr">
        <is>
          <t>Road</t>
        </is>
      </c>
      <c r="M1387" s="2" t="inlineStr">
        <is>
          <t>No Delay</t>
        </is>
      </c>
      <c r="N1387" s="4">
        <f>IF(I1387&lt;=H1387,1,0)</f>
        <v/>
      </c>
      <c r="O1387" s="4">
        <f>IF(J1387&lt;=G1387,1,0)</f>
        <v/>
      </c>
      <c r="P1387" s="4">
        <f>MAX(0,I1387-H1387)</f>
        <v/>
      </c>
      <c r="Q1387" s="4">
        <f>MAX(0,J1387-G1387)</f>
        <v/>
      </c>
      <c r="R1387" s="4">
        <f>IF(AND(N1387=1,O1387=1),"On Track",IF(O1387=0,"Customer Delivery Late","Ship Late"))</f>
        <v/>
      </c>
    </row>
    <row r="1388">
      <c r="A1388" s="2" t="inlineStr">
        <is>
          <t>ORD-01387</t>
        </is>
      </c>
      <c r="B1388" s="2" t="inlineStr">
        <is>
          <t>Customer 22</t>
        </is>
      </c>
      <c r="C1388" s="2" t="inlineStr">
        <is>
          <t>Relay</t>
        </is>
      </c>
      <c r="D1388" s="2" t="inlineStr">
        <is>
          <t>Plant A</t>
        </is>
      </c>
      <c r="E1388" s="2" t="inlineStr">
        <is>
          <t>North</t>
        </is>
      </c>
      <c r="F1388" s="12" t="n">
        <v>46061</v>
      </c>
      <c r="G1388" s="12" t="n">
        <v>46069</v>
      </c>
      <c r="H1388" s="12" t="n">
        <v>46067</v>
      </c>
      <c r="I1388" s="12" t="n">
        <v>46067</v>
      </c>
      <c r="J1388" s="12" t="n">
        <v>46069</v>
      </c>
      <c r="K1388" s="2" t="n">
        <v>1250</v>
      </c>
      <c r="L1388" s="2" t="inlineStr">
        <is>
          <t>Sea</t>
        </is>
      </c>
      <c r="M1388" s="2" t="inlineStr">
        <is>
          <t>No Delay</t>
        </is>
      </c>
      <c r="N1388" s="4">
        <f>IF(I1388&lt;=H1388,1,0)</f>
        <v/>
      </c>
      <c r="O1388" s="4">
        <f>IF(J1388&lt;=G1388,1,0)</f>
        <v/>
      </c>
      <c r="P1388" s="4">
        <f>MAX(0,I1388-H1388)</f>
        <v/>
      </c>
      <c r="Q1388" s="4">
        <f>MAX(0,J1388-G1388)</f>
        <v/>
      </c>
      <c r="R1388" s="4">
        <f>IF(AND(N1388=1,O1388=1),"On Track",IF(O1388=0,"Customer Delivery Late","Ship Late"))</f>
        <v/>
      </c>
    </row>
    <row r="1389">
      <c r="A1389" s="2" t="inlineStr">
        <is>
          <t>ORD-01388</t>
        </is>
      </c>
      <c r="B1389" s="2" t="inlineStr">
        <is>
          <t>Customer 02</t>
        </is>
      </c>
      <c r="C1389" s="2" t="inlineStr">
        <is>
          <t>Contactor</t>
        </is>
      </c>
      <c r="D1389" s="2" t="inlineStr">
        <is>
          <t>Plant C</t>
        </is>
      </c>
      <c r="E1389" s="2" t="inlineStr">
        <is>
          <t>North</t>
        </is>
      </c>
      <c r="F1389" s="12" t="n">
        <v>46195</v>
      </c>
      <c r="G1389" s="12" t="n">
        <v>46202</v>
      </c>
      <c r="H1389" s="12" t="n">
        <v>46201</v>
      </c>
      <c r="I1389" s="12" t="n">
        <v>46200</v>
      </c>
      <c r="J1389" s="12" t="n">
        <v>46201</v>
      </c>
      <c r="K1389" s="2" t="n">
        <v>924</v>
      </c>
      <c r="L1389" s="2" t="inlineStr">
        <is>
          <t>Road</t>
        </is>
      </c>
      <c r="M1389" s="2" t="inlineStr">
        <is>
          <t>No Delay</t>
        </is>
      </c>
      <c r="N1389" s="4">
        <f>IF(I1389&lt;=H1389,1,0)</f>
        <v/>
      </c>
      <c r="O1389" s="4">
        <f>IF(J1389&lt;=G1389,1,0)</f>
        <v/>
      </c>
      <c r="P1389" s="4">
        <f>MAX(0,I1389-H1389)</f>
        <v/>
      </c>
      <c r="Q1389" s="4">
        <f>MAX(0,J1389-G1389)</f>
        <v/>
      </c>
      <c r="R1389" s="4">
        <f>IF(AND(N1389=1,O1389=1),"On Track",IF(O1389=0,"Customer Delivery Late","Ship Late"))</f>
        <v/>
      </c>
    </row>
    <row r="1390">
      <c r="A1390" s="2" t="inlineStr">
        <is>
          <t>ORD-01389</t>
        </is>
      </c>
      <c r="B1390" s="2" t="inlineStr">
        <is>
          <t>Customer 07</t>
        </is>
      </c>
      <c r="C1390" s="2" t="inlineStr">
        <is>
          <t>Power Supply</t>
        </is>
      </c>
      <c r="D1390" s="2" t="inlineStr">
        <is>
          <t>Plant B</t>
        </is>
      </c>
      <c r="E1390" s="2" t="inlineStr">
        <is>
          <t>South</t>
        </is>
      </c>
      <c r="F1390" s="12" t="n">
        <v>46110</v>
      </c>
      <c r="G1390" s="12" t="n">
        <v>46131</v>
      </c>
      <c r="H1390" s="12" t="n">
        <v>46127</v>
      </c>
      <c r="I1390" s="12" t="n">
        <v>46125</v>
      </c>
      <c r="J1390" s="12" t="n">
        <v>46128</v>
      </c>
      <c r="K1390" s="2" t="n">
        <v>436</v>
      </c>
      <c r="L1390" s="2" t="inlineStr">
        <is>
          <t>Sea</t>
        </is>
      </c>
      <c r="M1390" s="2" t="inlineStr">
        <is>
          <t>No Delay</t>
        </is>
      </c>
      <c r="N1390" s="4">
        <f>IF(I1390&lt;=H1390,1,0)</f>
        <v/>
      </c>
      <c r="O1390" s="4">
        <f>IF(J1390&lt;=G1390,1,0)</f>
        <v/>
      </c>
      <c r="P1390" s="4">
        <f>MAX(0,I1390-H1390)</f>
        <v/>
      </c>
      <c r="Q1390" s="4">
        <f>MAX(0,J1390-G1390)</f>
        <v/>
      </c>
      <c r="R1390" s="4">
        <f>IF(AND(N1390=1,O1390=1),"On Track",IF(O1390=0,"Customer Delivery Late","Ship Late"))</f>
        <v/>
      </c>
    </row>
    <row r="1391">
      <c r="A1391" s="2" t="inlineStr">
        <is>
          <t>ORD-01390</t>
        </is>
      </c>
      <c r="B1391" s="2" t="inlineStr">
        <is>
          <t>Customer 06</t>
        </is>
      </c>
      <c r="C1391" s="2" t="inlineStr">
        <is>
          <t>Contactor</t>
        </is>
      </c>
      <c r="D1391" s="2" t="inlineStr">
        <is>
          <t>Plant A</t>
        </is>
      </c>
      <c r="E1391" s="2" t="inlineStr">
        <is>
          <t>South</t>
        </is>
      </c>
      <c r="F1391" s="12" t="n">
        <v>46026</v>
      </c>
      <c r="G1391" s="12" t="n">
        <v>46036</v>
      </c>
      <c r="H1391" s="12" t="n">
        <v>46032</v>
      </c>
      <c r="I1391" s="12" t="n">
        <v>46032</v>
      </c>
      <c r="J1391" s="12" t="n">
        <v>46037</v>
      </c>
      <c r="K1391" s="2" t="n">
        <v>56</v>
      </c>
      <c r="L1391" s="2" t="inlineStr">
        <is>
          <t>Sea</t>
        </is>
      </c>
      <c r="M1391" s="2" t="inlineStr">
        <is>
          <t>Carrier Delay</t>
        </is>
      </c>
      <c r="N1391" s="4">
        <f>IF(I1391&lt;=H1391,1,0)</f>
        <v/>
      </c>
      <c r="O1391" s="4">
        <f>IF(J1391&lt;=G1391,1,0)</f>
        <v/>
      </c>
      <c r="P1391" s="4">
        <f>MAX(0,I1391-H1391)</f>
        <v/>
      </c>
      <c r="Q1391" s="4">
        <f>MAX(0,J1391-G1391)</f>
        <v/>
      </c>
      <c r="R1391" s="4">
        <f>IF(AND(N1391=1,O1391=1),"On Track",IF(O1391=0,"Customer Delivery Late","Ship Late"))</f>
        <v/>
      </c>
    </row>
    <row r="1392">
      <c r="A1392" s="2" t="inlineStr">
        <is>
          <t>ORD-01391</t>
        </is>
      </c>
      <c r="B1392" s="2" t="inlineStr">
        <is>
          <t>Customer 05</t>
        </is>
      </c>
      <c r="C1392" s="2" t="inlineStr">
        <is>
          <t>Relay</t>
        </is>
      </c>
      <c r="D1392" s="2" t="inlineStr">
        <is>
          <t>Plant C</t>
        </is>
      </c>
      <c r="E1392" s="2" t="inlineStr">
        <is>
          <t>South</t>
        </is>
      </c>
      <c r="F1392" s="12" t="n">
        <v>46197</v>
      </c>
      <c r="G1392" s="12" t="n">
        <v>46214</v>
      </c>
      <c r="H1392" s="12" t="n">
        <v>46209</v>
      </c>
      <c r="I1392" s="12" t="n">
        <v>46208</v>
      </c>
      <c r="J1392" s="12" t="n">
        <v>46214</v>
      </c>
      <c r="K1392" s="2" t="n">
        <v>779</v>
      </c>
      <c r="L1392" s="2" t="inlineStr">
        <is>
          <t>Road</t>
        </is>
      </c>
      <c r="M1392" s="2" t="inlineStr">
        <is>
          <t>No Delay</t>
        </is>
      </c>
      <c r="N1392" s="4">
        <f>IF(I1392&lt;=H1392,1,0)</f>
        <v/>
      </c>
      <c r="O1392" s="4">
        <f>IF(J1392&lt;=G1392,1,0)</f>
        <v/>
      </c>
      <c r="P1392" s="4">
        <f>MAX(0,I1392-H1392)</f>
        <v/>
      </c>
      <c r="Q1392" s="4">
        <f>MAX(0,J1392-G1392)</f>
        <v/>
      </c>
      <c r="R1392" s="4">
        <f>IF(AND(N1392=1,O1392=1),"On Track",IF(O1392=0,"Customer Delivery Late","Ship Late"))</f>
        <v/>
      </c>
    </row>
    <row r="1393">
      <c r="A1393" s="2" t="inlineStr">
        <is>
          <t>ORD-01392</t>
        </is>
      </c>
      <c r="B1393" s="2" t="inlineStr">
        <is>
          <t>Customer 03</t>
        </is>
      </c>
      <c r="C1393" s="2" t="inlineStr">
        <is>
          <t>Breaker</t>
        </is>
      </c>
      <c r="D1393" s="2" t="inlineStr">
        <is>
          <t>Plant A</t>
        </is>
      </c>
      <c r="E1393" s="2" t="inlineStr">
        <is>
          <t>South</t>
        </is>
      </c>
      <c r="F1393" s="12" t="n">
        <v>46027</v>
      </c>
      <c r="G1393" s="12" t="n">
        <v>46050</v>
      </c>
      <c r="H1393" s="12" t="n">
        <v>46048</v>
      </c>
      <c r="I1393" s="12" t="n">
        <v>46047</v>
      </c>
      <c r="J1393" s="12" t="n">
        <v>46049</v>
      </c>
      <c r="K1393" s="2" t="n">
        <v>272</v>
      </c>
      <c r="L1393" s="2" t="inlineStr">
        <is>
          <t>Sea</t>
        </is>
      </c>
      <c r="M1393" s="2" t="inlineStr">
        <is>
          <t>No Delay</t>
        </is>
      </c>
      <c r="N1393" s="4">
        <f>IF(I1393&lt;=H1393,1,0)</f>
        <v/>
      </c>
      <c r="O1393" s="4">
        <f>IF(J1393&lt;=G1393,1,0)</f>
        <v/>
      </c>
      <c r="P1393" s="4">
        <f>MAX(0,I1393-H1393)</f>
        <v/>
      </c>
      <c r="Q1393" s="4">
        <f>MAX(0,J1393-G1393)</f>
        <v/>
      </c>
      <c r="R1393" s="4">
        <f>IF(AND(N1393=1,O1393=1),"On Track",IF(O1393=0,"Customer Delivery Late","Ship Late"))</f>
        <v/>
      </c>
    </row>
    <row r="1394">
      <c r="A1394" s="2" t="inlineStr">
        <is>
          <t>ORD-01393</t>
        </is>
      </c>
      <c r="B1394" s="2" t="inlineStr">
        <is>
          <t>Customer 07</t>
        </is>
      </c>
      <c r="C1394" s="2" t="inlineStr">
        <is>
          <t>Power Supply</t>
        </is>
      </c>
      <c r="D1394" s="2" t="inlineStr">
        <is>
          <t>Plant B</t>
        </is>
      </c>
      <c r="E1394" s="2" t="inlineStr">
        <is>
          <t>South</t>
        </is>
      </c>
      <c r="F1394" s="12" t="n">
        <v>46172</v>
      </c>
      <c r="G1394" s="12" t="n">
        <v>46192</v>
      </c>
      <c r="H1394" s="12" t="n">
        <v>46191</v>
      </c>
      <c r="I1394" s="12" t="n">
        <v>46189</v>
      </c>
      <c r="J1394" s="12" t="n">
        <v>46190</v>
      </c>
      <c r="K1394" s="2" t="n">
        <v>1115</v>
      </c>
      <c r="L1394" s="2" t="inlineStr">
        <is>
          <t>Air</t>
        </is>
      </c>
      <c r="M1394" s="2" t="inlineStr">
        <is>
          <t>No Delay</t>
        </is>
      </c>
      <c r="N1394" s="4">
        <f>IF(I1394&lt;=H1394,1,0)</f>
        <v/>
      </c>
      <c r="O1394" s="4">
        <f>IF(J1394&lt;=G1394,1,0)</f>
        <v/>
      </c>
      <c r="P1394" s="4">
        <f>MAX(0,I1394-H1394)</f>
        <v/>
      </c>
      <c r="Q1394" s="4">
        <f>MAX(0,J1394-G1394)</f>
        <v/>
      </c>
      <c r="R1394" s="4">
        <f>IF(AND(N1394=1,O1394=1),"On Track",IF(O1394=0,"Customer Delivery Late","Ship Late"))</f>
        <v/>
      </c>
    </row>
    <row r="1395">
      <c r="A1395" s="2" t="inlineStr">
        <is>
          <t>ORD-01394</t>
        </is>
      </c>
      <c r="B1395" s="2" t="inlineStr">
        <is>
          <t>Customer 25</t>
        </is>
      </c>
      <c r="C1395" s="2" t="inlineStr">
        <is>
          <t>Relay</t>
        </is>
      </c>
      <c r="D1395" s="2" t="inlineStr">
        <is>
          <t>Plant A</t>
        </is>
      </c>
      <c r="E1395" s="2" t="inlineStr">
        <is>
          <t>Central</t>
        </is>
      </c>
      <c r="F1395" s="12" t="n">
        <v>46122</v>
      </c>
      <c r="G1395" s="12" t="n">
        <v>46136</v>
      </c>
      <c r="H1395" s="12" t="n">
        <v>46134</v>
      </c>
      <c r="I1395" s="12" t="n">
        <v>46132</v>
      </c>
      <c r="J1395" s="12" t="n">
        <v>46133</v>
      </c>
      <c r="K1395" s="2" t="n">
        <v>996</v>
      </c>
      <c r="L1395" s="2" t="inlineStr">
        <is>
          <t>Road</t>
        </is>
      </c>
      <c r="M1395" s="2" t="inlineStr">
        <is>
          <t>No Delay</t>
        </is>
      </c>
      <c r="N1395" s="4">
        <f>IF(I1395&lt;=H1395,1,0)</f>
        <v/>
      </c>
      <c r="O1395" s="4">
        <f>IF(J1395&lt;=G1395,1,0)</f>
        <v/>
      </c>
      <c r="P1395" s="4">
        <f>MAX(0,I1395-H1395)</f>
        <v/>
      </c>
      <c r="Q1395" s="4">
        <f>MAX(0,J1395-G1395)</f>
        <v/>
      </c>
      <c r="R1395" s="4">
        <f>IF(AND(N1395=1,O1395=1),"On Track",IF(O1395=0,"Customer Delivery Late","Ship Late"))</f>
        <v/>
      </c>
    </row>
    <row r="1396">
      <c r="A1396" s="2" t="inlineStr">
        <is>
          <t>ORD-01395</t>
        </is>
      </c>
      <c r="B1396" s="2" t="inlineStr">
        <is>
          <t>Customer 02</t>
        </is>
      </c>
      <c r="C1396" s="2" t="inlineStr">
        <is>
          <t>Relay</t>
        </is>
      </c>
      <c r="D1396" s="2" t="inlineStr">
        <is>
          <t>Plant C</t>
        </is>
      </c>
      <c r="E1396" s="2" t="inlineStr">
        <is>
          <t>North</t>
        </is>
      </c>
      <c r="F1396" s="12" t="n">
        <v>46131</v>
      </c>
      <c r="G1396" s="12" t="n">
        <v>46139</v>
      </c>
      <c r="H1396" s="12" t="n">
        <v>46136</v>
      </c>
      <c r="I1396" s="12" t="n">
        <v>46135</v>
      </c>
      <c r="J1396" s="12" t="n">
        <v>46139</v>
      </c>
      <c r="K1396" s="2" t="n">
        <v>917</v>
      </c>
      <c r="L1396" s="2" t="inlineStr">
        <is>
          <t>Sea</t>
        </is>
      </c>
      <c r="M1396" s="2" t="inlineStr">
        <is>
          <t>No Delay</t>
        </is>
      </c>
      <c r="N1396" s="4">
        <f>IF(I1396&lt;=H1396,1,0)</f>
        <v/>
      </c>
      <c r="O1396" s="4">
        <f>IF(J1396&lt;=G1396,1,0)</f>
        <v/>
      </c>
      <c r="P1396" s="4">
        <f>MAX(0,I1396-H1396)</f>
        <v/>
      </c>
      <c r="Q1396" s="4">
        <f>MAX(0,J1396-G1396)</f>
        <v/>
      </c>
      <c r="R1396" s="4">
        <f>IF(AND(N1396=1,O1396=1),"On Track",IF(O1396=0,"Customer Delivery Late","Ship Late"))</f>
        <v/>
      </c>
    </row>
    <row r="1397">
      <c r="A1397" s="2" t="inlineStr">
        <is>
          <t>ORD-01396</t>
        </is>
      </c>
      <c r="B1397" s="2" t="inlineStr">
        <is>
          <t>Customer 28</t>
        </is>
      </c>
      <c r="C1397" s="2" t="inlineStr">
        <is>
          <t>Sensor</t>
        </is>
      </c>
      <c r="D1397" s="2" t="inlineStr">
        <is>
          <t>Plant C</t>
        </is>
      </c>
      <c r="E1397" s="2" t="inlineStr">
        <is>
          <t>North</t>
        </is>
      </c>
      <c r="F1397" s="12" t="n">
        <v>46044</v>
      </c>
      <c r="G1397" s="12" t="n">
        <v>46062</v>
      </c>
      <c r="H1397" s="12" t="n">
        <v>46058</v>
      </c>
      <c r="I1397" s="12" t="n">
        <v>46056</v>
      </c>
      <c r="J1397" s="12" t="n">
        <v>46060</v>
      </c>
      <c r="K1397" s="2" t="n">
        <v>711</v>
      </c>
      <c r="L1397" s="2" t="inlineStr">
        <is>
          <t>Air</t>
        </is>
      </c>
      <c r="M1397" s="2" t="inlineStr">
        <is>
          <t>No Delay</t>
        </is>
      </c>
      <c r="N1397" s="4">
        <f>IF(I1397&lt;=H1397,1,0)</f>
        <v/>
      </c>
      <c r="O1397" s="4">
        <f>IF(J1397&lt;=G1397,1,0)</f>
        <v/>
      </c>
      <c r="P1397" s="4">
        <f>MAX(0,I1397-H1397)</f>
        <v/>
      </c>
      <c r="Q1397" s="4">
        <f>MAX(0,J1397-G1397)</f>
        <v/>
      </c>
      <c r="R1397" s="4">
        <f>IF(AND(N1397=1,O1397=1),"On Track",IF(O1397=0,"Customer Delivery Late","Ship Late"))</f>
        <v/>
      </c>
    </row>
    <row r="1398">
      <c r="A1398" s="2" t="inlineStr">
        <is>
          <t>ORD-01397</t>
        </is>
      </c>
      <c r="B1398" s="2" t="inlineStr">
        <is>
          <t>Customer 04</t>
        </is>
      </c>
      <c r="C1398" s="2" t="inlineStr">
        <is>
          <t>Breaker</t>
        </is>
      </c>
      <c r="D1398" s="2" t="inlineStr">
        <is>
          <t>Plant C</t>
        </is>
      </c>
      <c r="E1398" s="2" t="inlineStr">
        <is>
          <t>South</t>
        </is>
      </c>
      <c r="F1398" s="12" t="n">
        <v>46089</v>
      </c>
      <c r="G1398" s="12" t="n">
        <v>46099</v>
      </c>
      <c r="H1398" s="12" t="n">
        <v>46098</v>
      </c>
      <c r="I1398" s="12" t="n">
        <v>46098</v>
      </c>
      <c r="J1398" s="12" t="n">
        <v>46099</v>
      </c>
      <c r="K1398" s="2" t="n">
        <v>840</v>
      </c>
      <c r="L1398" s="2" t="inlineStr">
        <is>
          <t>Air</t>
        </is>
      </c>
      <c r="M1398" s="2" t="inlineStr">
        <is>
          <t>No Delay</t>
        </is>
      </c>
      <c r="N1398" s="4">
        <f>IF(I1398&lt;=H1398,1,0)</f>
        <v/>
      </c>
      <c r="O1398" s="4">
        <f>IF(J1398&lt;=G1398,1,0)</f>
        <v/>
      </c>
      <c r="P1398" s="4">
        <f>MAX(0,I1398-H1398)</f>
        <v/>
      </c>
      <c r="Q1398" s="4">
        <f>MAX(0,J1398-G1398)</f>
        <v/>
      </c>
      <c r="R1398" s="4">
        <f>IF(AND(N1398=1,O1398=1),"On Track",IF(O1398=0,"Customer Delivery Late","Ship Late"))</f>
        <v/>
      </c>
    </row>
    <row r="1399">
      <c r="A1399" s="2" t="inlineStr">
        <is>
          <t>ORD-01398</t>
        </is>
      </c>
      <c r="B1399" s="2" t="inlineStr">
        <is>
          <t>Customer 22</t>
        </is>
      </c>
      <c r="C1399" s="2" t="inlineStr">
        <is>
          <t>Drive</t>
        </is>
      </c>
      <c r="D1399" s="2" t="inlineStr">
        <is>
          <t>Plant B</t>
        </is>
      </c>
      <c r="E1399" s="2" t="inlineStr">
        <is>
          <t>South</t>
        </is>
      </c>
      <c r="F1399" s="12" t="n">
        <v>46167</v>
      </c>
      <c r="G1399" s="12" t="n">
        <v>46192</v>
      </c>
      <c r="H1399" s="12" t="n">
        <v>46188</v>
      </c>
      <c r="I1399" s="12" t="n">
        <v>46187</v>
      </c>
      <c r="J1399" s="12" t="n">
        <v>46191</v>
      </c>
      <c r="K1399" s="2" t="n">
        <v>880</v>
      </c>
      <c r="L1399" s="2" t="inlineStr">
        <is>
          <t>Road</t>
        </is>
      </c>
      <c r="M1399" s="2" t="inlineStr">
        <is>
          <t>No Delay</t>
        </is>
      </c>
      <c r="N1399" s="4">
        <f>IF(I1399&lt;=H1399,1,0)</f>
        <v/>
      </c>
      <c r="O1399" s="4">
        <f>IF(J1399&lt;=G1399,1,0)</f>
        <v/>
      </c>
      <c r="P1399" s="4">
        <f>MAX(0,I1399-H1399)</f>
        <v/>
      </c>
      <c r="Q1399" s="4">
        <f>MAX(0,J1399-G1399)</f>
        <v/>
      </c>
      <c r="R1399" s="4">
        <f>IF(AND(N1399=1,O1399=1),"On Track",IF(O1399=0,"Customer Delivery Late","Ship Late"))</f>
        <v/>
      </c>
    </row>
    <row r="1400">
      <c r="A1400" s="2" t="inlineStr">
        <is>
          <t>ORD-01399</t>
        </is>
      </c>
      <c r="B1400" s="2" t="inlineStr">
        <is>
          <t>Customer 04</t>
        </is>
      </c>
      <c r="C1400" s="2" t="inlineStr">
        <is>
          <t>Breaker</t>
        </is>
      </c>
      <c r="D1400" s="2" t="inlineStr">
        <is>
          <t>Plant C</t>
        </is>
      </c>
      <c r="E1400" s="2" t="inlineStr">
        <is>
          <t>North</t>
        </is>
      </c>
      <c r="F1400" s="12" t="n">
        <v>46086</v>
      </c>
      <c r="G1400" s="12" t="n">
        <v>46099</v>
      </c>
      <c r="H1400" s="12" t="n">
        <v>46095</v>
      </c>
      <c r="I1400" s="12" t="n">
        <v>46093</v>
      </c>
      <c r="J1400" s="12" t="n">
        <v>46097</v>
      </c>
      <c r="K1400" s="2" t="n">
        <v>252</v>
      </c>
      <c r="L1400" s="2" t="inlineStr">
        <is>
          <t>Sea</t>
        </is>
      </c>
      <c r="M1400" s="2" t="inlineStr">
        <is>
          <t>No Delay</t>
        </is>
      </c>
      <c r="N1400" s="4">
        <f>IF(I1400&lt;=H1400,1,0)</f>
        <v/>
      </c>
      <c r="O1400" s="4">
        <f>IF(J1400&lt;=G1400,1,0)</f>
        <v/>
      </c>
      <c r="P1400" s="4">
        <f>MAX(0,I1400-H1400)</f>
        <v/>
      </c>
      <c r="Q1400" s="4">
        <f>MAX(0,J1400-G1400)</f>
        <v/>
      </c>
      <c r="R1400" s="4">
        <f>IF(AND(N1400=1,O1400=1),"On Track",IF(O1400=0,"Customer Delivery Late","Ship Late"))</f>
        <v/>
      </c>
    </row>
    <row r="1401">
      <c r="A1401" s="2" t="inlineStr">
        <is>
          <t>ORD-01400</t>
        </is>
      </c>
      <c r="B1401" s="2" t="inlineStr">
        <is>
          <t>Customer 13</t>
        </is>
      </c>
      <c r="C1401" s="2" t="inlineStr">
        <is>
          <t>Sensor</t>
        </is>
      </c>
      <c r="D1401" s="2" t="inlineStr">
        <is>
          <t>Plant A</t>
        </is>
      </c>
      <c r="E1401" s="2" t="inlineStr">
        <is>
          <t>Export</t>
        </is>
      </c>
      <c r="F1401" s="12" t="n">
        <v>46054</v>
      </c>
      <c r="G1401" s="12" t="n">
        <v>46060</v>
      </c>
      <c r="H1401" s="12" t="n">
        <v>46058</v>
      </c>
      <c r="I1401" s="12" t="n">
        <v>46058</v>
      </c>
      <c r="J1401" s="12" t="n">
        <v>46061</v>
      </c>
      <c r="K1401" s="2" t="n">
        <v>341</v>
      </c>
      <c r="L1401" s="2" t="inlineStr">
        <is>
          <t>Air</t>
        </is>
      </c>
      <c r="M1401" s="2" t="inlineStr">
        <is>
          <t>Documentation Issue</t>
        </is>
      </c>
      <c r="N1401" s="4">
        <f>IF(I1401&lt;=H1401,1,0)</f>
        <v/>
      </c>
      <c r="O1401" s="4">
        <f>IF(J1401&lt;=G1401,1,0)</f>
        <v/>
      </c>
      <c r="P1401" s="4">
        <f>MAX(0,I1401-H1401)</f>
        <v/>
      </c>
      <c r="Q1401" s="4">
        <f>MAX(0,J1401-G1401)</f>
        <v/>
      </c>
      <c r="R1401" s="4">
        <f>IF(AND(N1401=1,O1401=1),"On Track",IF(O1401=0,"Customer Delivery Late","Ship Late"))</f>
        <v/>
      </c>
    </row>
    <row r="1402">
      <c r="A1402" s="2" t="inlineStr">
        <is>
          <t>ORD-01401</t>
        </is>
      </c>
      <c r="B1402" s="2" t="inlineStr">
        <is>
          <t>Customer 19</t>
        </is>
      </c>
      <c r="C1402" s="2" t="inlineStr">
        <is>
          <t>Breaker</t>
        </is>
      </c>
      <c r="D1402" s="2" t="inlineStr">
        <is>
          <t>Plant C</t>
        </is>
      </c>
      <c r="E1402" s="2" t="inlineStr">
        <is>
          <t>North</t>
        </is>
      </c>
      <c r="F1402" s="12" t="n">
        <v>46155</v>
      </c>
      <c r="G1402" s="12" t="n">
        <v>46161</v>
      </c>
      <c r="H1402" s="12" t="n">
        <v>46156</v>
      </c>
      <c r="I1402" s="12" t="n">
        <v>46154</v>
      </c>
      <c r="J1402" s="12" t="n">
        <v>46159</v>
      </c>
      <c r="K1402" s="2" t="n">
        <v>711</v>
      </c>
      <c r="L1402" s="2" t="inlineStr">
        <is>
          <t>Sea</t>
        </is>
      </c>
      <c r="M1402" s="2" t="inlineStr">
        <is>
          <t>No Delay</t>
        </is>
      </c>
      <c r="N1402" s="4">
        <f>IF(I1402&lt;=H1402,1,0)</f>
        <v/>
      </c>
      <c r="O1402" s="4">
        <f>IF(J1402&lt;=G1402,1,0)</f>
        <v/>
      </c>
      <c r="P1402" s="4">
        <f>MAX(0,I1402-H1402)</f>
        <v/>
      </c>
      <c r="Q1402" s="4">
        <f>MAX(0,J1402-G1402)</f>
        <v/>
      </c>
      <c r="R1402" s="4">
        <f>IF(AND(N1402=1,O1402=1),"On Track",IF(O1402=0,"Customer Delivery Late","Ship Late"))</f>
        <v/>
      </c>
    </row>
    <row r="1403">
      <c r="A1403" s="2" t="inlineStr">
        <is>
          <t>ORD-01402</t>
        </is>
      </c>
      <c r="B1403" s="2" t="inlineStr">
        <is>
          <t>Customer 02</t>
        </is>
      </c>
      <c r="C1403" s="2" t="inlineStr">
        <is>
          <t>Switchgear</t>
        </is>
      </c>
      <c r="D1403" s="2" t="inlineStr">
        <is>
          <t>Plant C</t>
        </is>
      </c>
      <c r="E1403" s="2" t="inlineStr">
        <is>
          <t>Central</t>
        </is>
      </c>
      <c r="F1403" s="12" t="n">
        <v>46038</v>
      </c>
      <c r="G1403" s="12" t="n">
        <v>46057</v>
      </c>
      <c r="H1403" s="12" t="n">
        <v>46056</v>
      </c>
      <c r="I1403" s="12" t="n">
        <v>46054</v>
      </c>
      <c r="J1403" s="12" t="n">
        <v>46055</v>
      </c>
      <c r="K1403" s="2" t="n">
        <v>690</v>
      </c>
      <c r="L1403" s="2" t="inlineStr">
        <is>
          <t>Road</t>
        </is>
      </c>
      <c r="M1403" s="2" t="inlineStr">
        <is>
          <t>No Delay</t>
        </is>
      </c>
      <c r="N1403" s="4">
        <f>IF(I1403&lt;=H1403,1,0)</f>
        <v/>
      </c>
      <c r="O1403" s="4">
        <f>IF(J1403&lt;=G1403,1,0)</f>
        <v/>
      </c>
      <c r="P1403" s="4">
        <f>MAX(0,I1403-H1403)</f>
        <v/>
      </c>
      <c r="Q1403" s="4">
        <f>MAX(0,J1403-G1403)</f>
        <v/>
      </c>
      <c r="R1403" s="4">
        <f>IF(AND(N1403=1,O1403=1),"On Track",IF(O1403=0,"Customer Delivery Late","Ship Late"))</f>
        <v/>
      </c>
    </row>
    <row r="1404">
      <c r="A1404" s="2" t="inlineStr">
        <is>
          <t>ORD-01403</t>
        </is>
      </c>
      <c r="B1404" s="2" t="inlineStr">
        <is>
          <t>Customer 06</t>
        </is>
      </c>
      <c r="C1404" s="2" t="inlineStr">
        <is>
          <t>Contactor</t>
        </is>
      </c>
      <c r="D1404" s="2" t="inlineStr">
        <is>
          <t>Plant C</t>
        </is>
      </c>
      <c r="E1404" s="2" t="inlineStr">
        <is>
          <t>Central</t>
        </is>
      </c>
      <c r="F1404" s="12" t="n">
        <v>46035</v>
      </c>
      <c r="G1404" s="12" t="n">
        <v>46049</v>
      </c>
      <c r="H1404" s="12" t="n">
        <v>46046</v>
      </c>
      <c r="I1404" s="12" t="n">
        <v>46051</v>
      </c>
      <c r="J1404" s="12" t="n">
        <v>46054</v>
      </c>
      <c r="K1404" s="2" t="n">
        <v>60</v>
      </c>
      <c r="L1404" s="2" t="inlineStr">
        <is>
          <t>Road</t>
        </is>
      </c>
      <c r="M1404" s="2" t="inlineStr">
        <is>
          <t>Documentation Issue</t>
        </is>
      </c>
      <c r="N1404" s="4">
        <f>IF(I1404&lt;=H1404,1,0)</f>
        <v/>
      </c>
      <c r="O1404" s="4">
        <f>IF(J1404&lt;=G1404,1,0)</f>
        <v/>
      </c>
      <c r="P1404" s="4">
        <f>MAX(0,I1404-H1404)</f>
        <v/>
      </c>
      <c r="Q1404" s="4">
        <f>MAX(0,J1404-G1404)</f>
        <v/>
      </c>
      <c r="R1404" s="4">
        <f>IF(AND(N1404=1,O1404=1),"On Track",IF(O1404=0,"Customer Delivery Late","Ship Late"))</f>
        <v/>
      </c>
    </row>
    <row r="1405">
      <c r="A1405" s="2" t="inlineStr">
        <is>
          <t>ORD-01404</t>
        </is>
      </c>
      <c r="B1405" s="2" t="inlineStr">
        <is>
          <t>Customer 14</t>
        </is>
      </c>
      <c r="C1405" s="2" t="inlineStr">
        <is>
          <t>Sensor</t>
        </is>
      </c>
      <c r="D1405" s="2" t="inlineStr">
        <is>
          <t>Plant B</t>
        </is>
      </c>
      <c r="E1405" s="2" t="inlineStr">
        <is>
          <t>North</t>
        </is>
      </c>
      <c r="F1405" s="12" t="n">
        <v>46167</v>
      </c>
      <c r="G1405" s="12" t="n">
        <v>46185</v>
      </c>
      <c r="H1405" s="12" t="n">
        <v>46183</v>
      </c>
      <c r="I1405" s="12" t="n">
        <v>46183</v>
      </c>
      <c r="J1405" s="12" t="n">
        <v>46185</v>
      </c>
      <c r="K1405" s="2" t="n">
        <v>428</v>
      </c>
      <c r="L1405" s="2" t="inlineStr">
        <is>
          <t>Road</t>
        </is>
      </c>
      <c r="M1405" s="2" t="inlineStr">
        <is>
          <t>No Delay</t>
        </is>
      </c>
      <c r="N1405" s="4">
        <f>IF(I1405&lt;=H1405,1,0)</f>
        <v/>
      </c>
      <c r="O1405" s="4">
        <f>IF(J1405&lt;=G1405,1,0)</f>
        <v/>
      </c>
      <c r="P1405" s="4">
        <f>MAX(0,I1405-H1405)</f>
        <v/>
      </c>
      <c r="Q1405" s="4">
        <f>MAX(0,J1405-G1405)</f>
        <v/>
      </c>
      <c r="R1405" s="4">
        <f>IF(AND(N1405=1,O1405=1),"On Track",IF(O1405=0,"Customer Delivery Late","Ship Late"))</f>
        <v/>
      </c>
    </row>
    <row r="1406">
      <c r="A1406" s="2" t="inlineStr">
        <is>
          <t>ORD-01405</t>
        </is>
      </c>
      <c r="B1406" s="2" t="inlineStr">
        <is>
          <t>Customer 30</t>
        </is>
      </c>
      <c r="C1406" s="2" t="inlineStr">
        <is>
          <t>Sensor</t>
        </is>
      </c>
      <c r="D1406" s="2" t="inlineStr">
        <is>
          <t>Plant B</t>
        </is>
      </c>
      <c r="E1406" s="2" t="inlineStr">
        <is>
          <t>Export</t>
        </is>
      </c>
      <c r="F1406" s="12" t="n">
        <v>46166</v>
      </c>
      <c r="G1406" s="12" t="n">
        <v>46171</v>
      </c>
      <c r="H1406" s="12" t="n">
        <v>46168</v>
      </c>
      <c r="I1406" s="12" t="n">
        <v>46168</v>
      </c>
      <c r="J1406" s="12" t="n">
        <v>46172</v>
      </c>
      <c r="K1406" s="2" t="n">
        <v>904</v>
      </c>
      <c r="L1406" s="2" t="inlineStr">
        <is>
          <t>Road</t>
        </is>
      </c>
      <c r="M1406" s="2" t="inlineStr">
        <is>
          <t>Documentation Issue</t>
        </is>
      </c>
      <c r="N1406" s="4">
        <f>IF(I1406&lt;=H1406,1,0)</f>
        <v/>
      </c>
      <c r="O1406" s="4">
        <f>IF(J1406&lt;=G1406,1,0)</f>
        <v/>
      </c>
      <c r="P1406" s="4">
        <f>MAX(0,I1406-H1406)</f>
        <v/>
      </c>
      <c r="Q1406" s="4">
        <f>MAX(0,J1406-G1406)</f>
        <v/>
      </c>
      <c r="R1406" s="4">
        <f>IF(AND(N1406=1,O1406=1),"On Track",IF(O1406=0,"Customer Delivery Late","Ship Late"))</f>
        <v/>
      </c>
    </row>
    <row r="1407">
      <c r="A1407" s="2" t="inlineStr">
        <is>
          <t>ORD-01406</t>
        </is>
      </c>
      <c r="B1407" s="2" t="inlineStr">
        <is>
          <t>Customer 02</t>
        </is>
      </c>
      <c r="C1407" s="2" t="inlineStr">
        <is>
          <t>Sensor</t>
        </is>
      </c>
      <c r="D1407" s="2" t="inlineStr">
        <is>
          <t>Plant B</t>
        </is>
      </c>
      <c r="E1407" s="2" t="inlineStr">
        <is>
          <t>Export</t>
        </is>
      </c>
      <c r="F1407" s="12" t="n">
        <v>46043</v>
      </c>
      <c r="G1407" s="12" t="n">
        <v>46059</v>
      </c>
      <c r="H1407" s="12" t="n">
        <v>46054</v>
      </c>
      <c r="I1407" s="12" t="n">
        <v>46052</v>
      </c>
      <c r="J1407" s="12" t="n">
        <v>46057</v>
      </c>
      <c r="K1407" s="2" t="n">
        <v>881</v>
      </c>
      <c r="L1407" s="2" t="inlineStr">
        <is>
          <t>Road</t>
        </is>
      </c>
      <c r="M1407" s="2" t="inlineStr">
        <is>
          <t>No Delay</t>
        </is>
      </c>
      <c r="N1407" s="4">
        <f>IF(I1407&lt;=H1407,1,0)</f>
        <v/>
      </c>
      <c r="O1407" s="4">
        <f>IF(J1407&lt;=G1407,1,0)</f>
        <v/>
      </c>
      <c r="P1407" s="4">
        <f>MAX(0,I1407-H1407)</f>
        <v/>
      </c>
      <c r="Q1407" s="4">
        <f>MAX(0,J1407-G1407)</f>
        <v/>
      </c>
      <c r="R1407" s="4">
        <f>IF(AND(N1407=1,O1407=1),"On Track",IF(O1407=0,"Customer Delivery Late","Ship Late"))</f>
        <v/>
      </c>
    </row>
    <row r="1408">
      <c r="A1408" s="2" t="inlineStr">
        <is>
          <t>ORD-01407</t>
        </is>
      </c>
      <c r="B1408" s="2" t="inlineStr">
        <is>
          <t>Customer 16</t>
        </is>
      </c>
      <c r="C1408" s="2" t="inlineStr">
        <is>
          <t>Switchgear</t>
        </is>
      </c>
      <c r="D1408" s="2" t="inlineStr">
        <is>
          <t>Plant A</t>
        </is>
      </c>
      <c r="E1408" s="2" t="inlineStr">
        <is>
          <t>South</t>
        </is>
      </c>
      <c r="F1408" s="12" t="n">
        <v>46102</v>
      </c>
      <c r="G1408" s="12" t="n">
        <v>46117</v>
      </c>
      <c r="H1408" s="12" t="n">
        <v>46112</v>
      </c>
      <c r="I1408" s="12" t="n">
        <v>46110</v>
      </c>
      <c r="J1408" s="12" t="n">
        <v>46114</v>
      </c>
      <c r="K1408" s="2" t="n">
        <v>86</v>
      </c>
      <c r="L1408" s="2" t="inlineStr">
        <is>
          <t>Road</t>
        </is>
      </c>
      <c r="M1408" s="2" t="inlineStr">
        <is>
          <t>No Delay</t>
        </is>
      </c>
      <c r="N1408" s="4">
        <f>IF(I1408&lt;=H1408,1,0)</f>
        <v/>
      </c>
      <c r="O1408" s="4">
        <f>IF(J1408&lt;=G1408,1,0)</f>
        <v/>
      </c>
      <c r="P1408" s="4">
        <f>MAX(0,I1408-H1408)</f>
        <v/>
      </c>
      <c r="Q1408" s="4">
        <f>MAX(0,J1408-G1408)</f>
        <v/>
      </c>
      <c r="R1408" s="4">
        <f>IF(AND(N1408=1,O1408=1),"On Track",IF(O1408=0,"Customer Delivery Late","Ship Late"))</f>
        <v/>
      </c>
    </row>
    <row r="1409">
      <c r="A1409" s="2" t="inlineStr">
        <is>
          <t>ORD-01408</t>
        </is>
      </c>
      <c r="B1409" s="2" t="inlineStr">
        <is>
          <t>Customer 21</t>
        </is>
      </c>
      <c r="C1409" s="2" t="inlineStr">
        <is>
          <t>Sensor</t>
        </is>
      </c>
      <c r="D1409" s="2" t="inlineStr">
        <is>
          <t>Plant C</t>
        </is>
      </c>
      <c r="E1409" s="2" t="inlineStr">
        <is>
          <t>North</t>
        </is>
      </c>
      <c r="F1409" s="12" t="n">
        <v>46190</v>
      </c>
      <c r="G1409" s="12" t="n">
        <v>46203</v>
      </c>
      <c r="H1409" s="12" t="n">
        <v>46198</v>
      </c>
      <c r="I1409" s="12" t="n">
        <v>46198</v>
      </c>
      <c r="J1409" s="12" t="n">
        <v>46204</v>
      </c>
      <c r="K1409" s="2" t="n">
        <v>655</v>
      </c>
      <c r="L1409" s="2" t="inlineStr">
        <is>
          <t>Road</t>
        </is>
      </c>
      <c r="M1409" s="2" t="inlineStr">
        <is>
          <t>Customer Change</t>
        </is>
      </c>
      <c r="N1409" s="4">
        <f>IF(I1409&lt;=H1409,1,0)</f>
        <v/>
      </c>
      <c r="O1409" s="4">
        <f>IF(J1409&lt;=G1409,1,0)</f>
        <v/>
      </c>
      <c r="P1409" s="4">
        <f>MAX(0,I1409-H1409)</f>
        <v/>
      </c>
      <c r="Q1409" s="4">
        <f>MAX(0,J1409-G1409)</f>
        <v/>
      </c>
      <c r="R1409" s="4">
        <f>IF(AND(N1409=1,O1409=1),"On Track",IF(O1409=0,"Customer Delivery Late","Ship Late"))</f>
        <v/>
      </c>
    </row>
    <row r="1410">
      <c r="A1410" s="2" t="inlineStr">
        <is>
          <t>ORD-01409</t>
        </is>
      </c>
      <c r="B1410" s="2" t="inlineStr">
        <is>
          <t>Customer 02</t>
        </is>
      </c>
      <c r="C1410" s="2" t="inlineStr">
        <is>
          <t>Sensor</t>
        </is>
      </c>
      <c r="D1410" s="2" t="inlineStr">
        <is>
          <t>Plant C</t>
        </is>
      </c>
      <c r="E1410" s="2" t="inlineStr">
        <is>
          <t>Export</t>
        </is>
      </c>
      <c r="F1410" s="12" t="n">
        <v>46193</v>
      </c>
      <c r="G1410" s="12" t="n">
        <v>46200</v>
      </c>
      <c r="H1410" s="12" t="n">
        <v>46197</v>
      </c>
      <c r="I1410" s="12" t="n">
        <v>46195</v>
      </c>
      <c r="J1410" s="12" t="n">
        <v>46199</v>
      </c>
      <c r="K1410" s="2" t="n">
        <v>818</v>
      </c>
      <c r="L1410" s="2" t="inlineStr">
        <is>
          <t>Sea</t>
        </is>
      </c>
      <c r="M1410" s="2" t="inlineStr">
        <is>
          <t>No Delay</t>
        </is>
      </c>
      <c r="N1410" s="4">
        <f>IF(I1410&lt;=H1410,1,0)</f>
        <v/>
      </c>
      <c r="O1410" s="4">
        <f>IF(J1410&lt;=G1410,1,0)</f>
        <v/>
      </c>
      <c r="P1410" s="4">
        <f>MAX(0,I1410-H1410)</f>
        <v/>
      </c>
      <c r="Q1410" s="4">
        <f>MAX(0,J1410-G1410)</f>
        <v/>
      </c>
      <c r="R1410" s="4">
        <f>IF(AND(N1410=1,O1410=1),"On Track",IF(O1410=0,"Customer Delivery Late","Ship Late"))</f>
        <v/>
      </c>
    </row>
    <row r="1411">
      <c r="A1411" s="2" t="inlineStr">
        <is>
          <t>ORD-01410</t>
        </is>
      </c>
      <c r="B1411" s="2" t="inlineStr">
        <is>
          <t>Customer 04</t>
        </is>
      </c>
      <c r="C1411" s="2" t="inlineStr">
        <is>
          <t>Power Supply</t>
        </is>
      </c>
      <c r="D1411" s="2" t="inlineStr">
        <is>
          <t>Plant B</t>
        </is>
      </c>
      <c r="E1411" s="2" t="inlineStr">
        <is>
          <t>South</t>
        </is>
      </c>
      <c r="F1411" s="12" t="n">
        <v>46158</v>
      </c>
      <c r="G1411" s="12" t="n">
        <v>46178</v>
      </c>
      <c r="H1411" s="12" t="n">
        <v>46176</v>
      </c>
      <c r="I1411" s="12" t="n">
        <v>46174</v>
      </c>
      <c r="J1411" s="12" t="n">
        <v>46177</v>
      </c>
      <c r="K1411" s="2" t="n">
        <v>219</v>
      </c>
      <c r="L1411" s="2" t="inlineStr">
        <is>
          <t>Air</t>
        </is>
      </c>
      <c r="M1411" s="2" t="inlineStr">
        <is>
          <t>No Delay</t>
        </is>
      </c>
      <c r="N1411" s="4">
        <f>IF(I1411&lt;=H1411,1,0)</f>
        <v/>
      </c>
      <c r="O1411" s="4">
        <f>IF(J1411&lt;=G1411,1,0)</f>
        <v/>
      </c>
      <c r="P1411" s="4">
        <f>MAX(0,I1411-H1411)</f>
        <v/>
      </c>
      <c r="Q1411" s="4">
        <f>MAX(0,J1411-G1411)</f>
        <v/>
      </c>
      <c r="R1411" s="4">
        <f>IF(AND(N1411=1,O1411=1),"On Track",IF(O1411=0,"Customer Delivery Late","Ship Late"))</f>
        <v/>
      </c>
    </row>
    <row r="1412">
      <c r="A1412" s="2" t="inlineStr">
        <is>
          <t>ORD-01411</t>
        </is>
      </c>
      <c r="B1412" s="2" t="inlineStr">
        <is>
          <t>Customer 09</t>
        </is>
      </c>
      <c r="C1412" s="2" t="inlineStr">
        <is>
          <t>PLC</t>
        </is>
      </c>
      <c r="D1412" s="2" t="inlineStr">
        <is>
          <t>Plant A</t>
        </is>
      </c>
      <c r="E1412" s="2" t="inlineStr">
        <is>
          <t>Central</t>
        </is>
      </c>
      <c r="F1412" s="12" t="n">
        <v>46120</v>
      </c>
      <c r="G1412" s="12" t="n">
        <v>46128</v>
      </c>
      <c r="H1412" s="12" t="n">
        <v>46126</v>
      </c>
      <c r="I1412" s="12" t="n">
        <v>46125</v>
      </c>
      <c r="J1412" s="12" t="n">
        <v>46127</v>
      </c>
      <c r="K1412" s="2" t="n">
        <v>670</v>
      </c>
      <c r="L1412" s="2" t="inlineStr">
        <is>
          <t>Air</t>
        </is>
      </c>
      <c r="M1412" s="2" t="inlineStr">
        <is>
          <t>No Delay</t>
        </is>
      </c>
      <c r="N1412" s="4">
        <f>IF(I1412&lt;=H1412,1,0)</f>
        <v/>
      </c>
      <c r="O1412" s="4">
        <f>IF(J1412&lt;=G1412,1,0)</f>
        <v/>
      </c>
      <c r="P1412" s="4">
        <f>MAX(0,I1412-H1412)</f>
        <v/>
      </c>
      <c r="Q1412" s="4">
        <f>MAX(0,J1412-G1412)</f>
        <v/>
      </c>
      <c r="R1412" s="4">
        <f>IF(AND(N1412=1,O1412=1),"On Track",IF(O1412=0,"Customer Delivery Late","Ship Late"))</f>
        <v/>
      </c>
    </row>
    <row r="1413">
      <c r="A1413" s="2" t="inlineStr">
        <is>
          <t>ORD-01412</t>
        </is>
      </c>
      <c r="B1413" s="2" t="inlineStr">
        <is>
          <t>Customer 20</t>
        </is>
      </c>
      <c r="C1413" s="2" t="inlineStr">
        <is>
          <t>Switchgear</t>
        </is>
      </c>
      <c r="D1413" s="2" t="inlineStr">
        <is>
          <t>Plant A</t>
        </is>
      </c>
      <c r="E1413" s="2" t="inlineStr">
        <is>
          <t>North</t>
        </is>
      </c>
      <c r="F1413" s="12" t="n">
        <v>46069</v>
      </c>
      <c r="G1413" s="12" t="n">
        <v>46080</v>
      </c>
      <c r="H1413" s="12" t="n">
        <v>46075</v>
      </c>
      <c r="I1413" s="12" t="n">
        <v>46075</v>
      </c>
      <c r="J1413" s="12" t="n">
        <v>46081</v>
      </c>
      <c r="K1413" s="2" t="n">
        <v>1467</v>
      </c>
      <c r="L1413" s="2" t="inlineStr">
        <is>
          <t>Air</t>
        </is>
      </c>
      <c r="M1413" s="2" t="inlineStr">
        <is>
          <t>Material Shortage</t>
        </is>
      </c>
      <c r="N1413" s="4">
        <f>IF(I1413&lt;=H1413,1,0)</f>
        <v/>
      </c>
      <c r="O1413" s="4">
        <f>IF(J1413&lt;=G1413,1,0)</f>
        <v/>
      </c>
      <c r="P1413" s="4">
        <f>MAX(0,I1413-H1413)</f>
        <v/>
      </c>
      <c r="Q1413" s="4">
        <f>MAX(0,J1413-G1413)</f>
        <v/>
      </c>
      <c r="R1413" s="4">
        <f>IF(AND(N1413=1,O1413=1),"On Track",IF(O1413=0,"Customer Delivery Late","Ship Late"))</f>
        <v/>
      </c>
    </row>
    <row r="1414">
      <c r="A1414" s="2" t="inlineStr">
        <is>
          <t>ORD-01413</t>
        </is>
      </c>
      <c r="B1414" s="2" t="inlineStr">
        <is>
          <t>Customer 29</t>
        </is>
      </c>
      <c r="C1414" s="2" t="inlineStr">
        <is>
          <t>Relay</t>
        </is>
      </c>
      <c r="D1414" s="2" t="inlineStr">
        <is>
          <t>Plant A</t>
        </is>
      </c>
      <c r="E1414" s="2" t="inlineStr">
        <is>
          <t>North</t>
        </is>
      </c>
      <c r="F1414" s="12" t="n">
        <v>46065</v>
      </c>
      <c r="G1414" s="12" t="n">
        <v>46083</v>
      </c>
      <c r="H1414" s="12" t="n">
        <v>46081</v>
      </c>
      <c r="I1414" s="12" t="n">
        <v>46080</v>
      </c>
      <c r="J1414" s="12" t="n">
        <v>46083</v>
      </c>
      <c r="K1414" s="2" t="n">
        <v>851</v>
      </c>
      <c r="L1414" s="2" t="inlineStr">
        <is>
          <t>Road</t>
        </is>
      </c>
      <c r="M1414" s="2" t="inlineStr">
        <is>
          <t>No Delay</t>
        </is>
      </c>
      <c r="N1414" s="4">
        <f>IF(I1414&lt;=H1414,1,0)</f>
        <v/>
      </c>
      <c r="O1414" s="4">
        <f>IF(J1414&lt;=G1414,1,0)</f>
        <v/>
      </c>
      <c r="P1414" s="4">
        <f>MAX(0,I1414-H1414)</f>
        <v/>
      </c>
      <c r="Q1414" s="4">
        <f>MAX(0,J1414-G1414)</f>
        <v/>
      </c>
      <c r="R1414" s="4">
        <f>IF(AND(N1414=1,O1414=1),"On Track",IF(O1414=0,"Customer Delivery Late","Ship Late"))</f>
        <v/>
      </c>
    </row>
    <row r="1415">
      <c r="A1415" s="2" t="inlineStr">
        <is>
          <t>ORD-01414</t>
        </is>
      </c>
      <c r="B1415" s="2" t="inlineStr">
        <is>
          <t>Customer 23</t>
        </is>
      </c>
      <c r="C1415" s="2" t="inlineStr">
        <is>
          <t>Switchgear</t>
        </is>
      </c>
      <c r="D1415" s="2" t="inlineStr">
        <is>
          <t>Plant A</t>
        </is>
      </c>
      <c r="E1415" s="2" t="inlineStr">
        <is>
          <t>North</t>
        </is>
      </c>
      <c r="F1415" s="12" t="n">
        <v>46063</v>
      </c>
      <c r="G1415" s="12" t="n">
        <v>46068</v>
      </c>
      <c r="H1415" s="12" t="n">
        <v>46065</v>
      </c>
      <c r="I1415" s="12" t="n">
        <v>46065</v>
      </c>
      <c r="J1415" s="12" t="n">
        <v>46068</v>
      </c>
      <c r="K1415" s="2" t="n">
        <v>181</v>
      </c>
      <c r="L1415" s="2" t="inlineStr">
        <is>
          <t>Air</t>
        </is>
      </c>
      <c r="M1415" s="2" t="inlineStr">
        <is>
          <t>No Delay</t>
        </is>
      </c>
      <c r="N1415" s="4">
        <f>IF(I1415&lt;=H1415,1,0)</f>
        <v/>
      </c>
      <c r="O1415" s="4">
        <f>IF(J1415&lt;=G1415,1,0)</f>
        <v/>
      </c>
      <c r="P1415" s="4">
        <f>MAX(0,I1415-H1415)</f>
        <v/>
      </c>
      <c r="Q1415" s="4">
        <f>MAX(0,J1415-G1415)</f>
        <v/>
      </c>
      <c r="R1415" s="4">
        <f>IF(AND(N1415=1,O1415=1),"On Track",IF(O1415=0,"Customer Delivery Late","Ship Late"))</f>
        <v/>
      </c>
    </row>
    <row r="1416">
      <c r="A1416" s="2" t="inlineStr">
        <is>
          <t>ORD-01415</t>
        </is>
      </c>
      <c r="B1416" s="2" t="inlineStr">
        <is>
          <t>Customer 30</t>
        </is>
      </c>
      <c r="C1416" s="2" t="inlineStr">
        <is>
          <t>Power Supply</t>
        </is>
      </c>
      <c r="D1416" s="2" t="inlineStr">
        <is>
          <t>Plant B</t>
        </is>
      </c>
      <c r="E1416" s="2" t="inlineStr">
        <is>
          <t>South</t>
        </is>
      </c>
      <c r="F1416" s="12" t="n">
        <v>46028</v>
      </c>
      <c r="G1416" s="12" t="n">
        <v>46050</v>
      </c>
      <c r="H1416" s="12" t="n">
        <v>46045</v>
      </c>
      <c r="I1416" s="12" t="n">
        <v>46044</v>
      </c>
      <c r="J1416" s="12" t="n">
        <v>46048</v>
      </c>
      <c r="K1416" s="2" t="n">
        <v>1105</v>
      </c>
      <c r="L1416" s="2" t="inlineStr">
        <is>
          <t>Road</t>
        </is>
      </c>
      <c r="M1416" s="2" t="inlineStr">
        <is>
          <t>No Delay</t>
        </is>
      </c>
      <c r="N1416" s="4">
        <f>IF(I1416&lt;=H1416,1,0)</f>
        <v/>
      </c>
      <c r="O1416" s="4">
        <f>IF(J1416&lt;=G1416,1,0)</f>
        <v/>
      </c>
      <c r="P1416" s="4">
        <f>MAX(0,I1416-H1416)</f>
        <v/>
      </c>
      <c r="Q1416" s="4">
        <f>MAX(0,J1416-G1416)</f>
        <v/>
      </c>
      <c r="R1416" s="4">
        <f>IF(AND(N1416=1,O1416=1),"On Track",IF(O1416=0,"Customer Delivery Late","Ship Late"))</f>
        <v/>
      </c>
    </row>
    <row r="1417">
      <c r="A1417" s="2" t="inlineStr">
        <is>
          <t>ORD-01416</t>
        </is>
      </c>
      <c r="B1417" s="2" t="inlineStr">
        <is>
          <t>Customer 17</t>
        </is>
      </c>
      <c r="C1417" s="2" t="inlineStr">
        <is>
          <t>Drive</t>
        </is>
      </c>
      <c r="D1417" s="2" t="inlineStr">
        <is>
          <t>Plant B</t>
        </is>
      </c>
      <c r="E1417" s="2" t="inlineStr">
        <is>
          <t>North</t>
        </is>
      </c>
      <c r="F1417" s="12" t="n">
        <v>46064</v>
      </c>
      <c r="G1417" s="12" t="n">
        <v>46072</v>
      </c>
      <c r="H1417" s="12" t="n">
        <v>46068</v>
      </c>
      <c r="I1417" s="12" t="n">
        <v>46067</v>
      </c>
      <c r="J1417" s="12" t="n">
        <v>46072</v>
      </c>
      <c r="K1417" s="2" t="n">
        <v>1114</v>
      </c>
      <c r="L1417" s="2" t="inlineStr">
        <is>
          <t>Road</t>
        </is>
      </c>
      <c r="M1417" s="2" t="inlineStr">
        <is>
          <t>No Delay</t>
        </is>
      </c>
      <c r="N1417" s="4">
        <f>IF(I1417&lt;=H1417,1,0)</f>
        <v/>
      </c>
      <c r="O1417" s="4">
        <f>IF(J1417&lt;=G1417,1,0)</f>
        <v/>
      </c>
      <c r="P1417" s="4">
        <f>MAX(0,I1417-H1417)</f>
        <v/>
      </c>
      <c r="Q1417" s="4">
        <f>MAX(0,J1417-G1417)</f>
        <v/>
      </c>
      <c r="R1417" s="4">
        <f>IF(AND(N1417=1,O1417=1),"On Track",IF(O1417=0,"Customer Delivery Late","Ship Late"))</f>
        <v/>
      </c>
    </row>
    <row r="1418">
      <c r="A1418" s="2" t="inlineStr">
        <is>
          <t>ORD-01417</t>
        </is>
      </c>
      <c r="B1418" s="2" t="inlineStr">
        <is>
          <t>Customer 03</t>
        </is>
      </c>
      <c r="C1418" s="2" t="inlineStr">
        <is>
          <t>Relay</t>
        </is>
      </c>
      <c r="D1418" s="2" t="inlineStr">
        <is>
          <t>Plant A</t>
        </is>
      </c>
      <c r="E1418" s="2" t="inlineStr">
        <is>
          <t>Export</t>
        </is>
      </c>
      <c r="F1418" s="12" t="n">
        <v>46038</v>
      </c>
      <c r="G1418" s="12" t="n">
        <v>46043</v>
      </c>
      <c r="H1418" s="12" t="n">
        <v>46040</v>
      </c>
      <c r="I1418" s="12" t="n">
        <v>46039</v>
      </c>
      <c r="J1418" s="12" t="n">
        <v>46042</v>
      </c>
      <c r="K1418" s="2" t="n">
        <v>1163</v>
      </c>
      <c r="L1418" s="2" t="inlineStr">
        <is>
          <t>Road</t>
        </is>
      </c>
      <c r="M1418" s="2" t="inlineStr">
        <is>
          <t>No Delay</t>
        </is>
      </c>
      <c r="N1418" s="4">
        <f>IF(I1418&lt;=H1418,1,0)</f>
        <v/>
      </c>
      <c r="O1418" s="4">
        <f>IF(J1418&lt;=G1418,1,0)</f>
        <v/>
      </c>
      <c r="P1418" s="4">
        <f>MAX(0,I1418-H1418)</f>
        <v/>
      </c>
      <c r="Q1418" s="4">
        <f>MAX(0,J1418-G1418)</f>
        <v/>
      </c>
      <c r="R1418" s="4">
        <f>IF(AND(N1418=1,O1418=1),"On Track",IF(O1418=0,"Customer Delivery Late","Ship Late"))</f>
        <v/>
      </c>
    </row>
    <row r="1419">
      <c r="A1419" s="2" t="inlineStr">
        <is>
          <t>ORD-01418</t>
        </is>
      </c>
      <c r="B1419" s="2" t="inlineStr">
        <is>
          <t>Customer 16</t>
        </is>
      </c>
      <c r="C1419" s="2" t="inlineStr">
        <is>
          <t>Sensor</t>
        </is>
      </c>
      <c r="D1419" s="2" t="inlineStr">
        <is>
          <t>Plant A</t>
        </is>
      </c>
      <c r="E1419" s="2" t="inlineStr">
        <is>
          <t>Export</t>
        </is>
      </c>
      <c r="F1419" s="12" t="n">
        <v>46099</v>
      </c>
      <c r="G1419" s="12" t="n">
        <v>46123</v>
      </c>
      <c r="H1419" s="12" t="n">
        <v>46119</v>
      </c>
      <c r="I1419" s="12" t="n">
        <v>46119</v>
      </c>
      <c r="J1419" s="12" t="n">
        <v>46123</v>
      </c>
      <c r="K1419" s="2" t="n">
        <v>1156</v>
      </c>
      <c r="L1419" s="2" t="inlineStr">
        <is>
          <t>Sea</t>
        </is>
      </c>
      <c r="M1419" s="2" t="inlineStr">
        <is>
          <t>No Delay</t>
        </is>
      </c>
      <c r="N1419" s="4">
        <f>IF(I1419&lt;=H1419,1,0)</f>
        <v/>
      </c>
      <c r="O1419" s="4">
        <f>IF(J1419&lt;=G1419,1,0)</f>
        <v/>
      </c>
      <c r="P1419" s="4">
        <f>MAX(0,I1419-H1419)</f>
        <v/>
      </c>
      <c r="Q1419" s="4">
        <f>MAX(0,J1419-G1419)</f>
        <v/>
      </c>
      <c r="R1419" s="4">
        <f>IF(AND(N1419=1,O1419=1),"On Track",IF(O1419=0,"Customer Delivery Late","Ship Late"))</f>
        <v/>
      </c>
    </row>
    <row r="1420">
      <c r="A1420" s="2" t="inlineStr">
        <is>
          <t>ORD-01419</t>
        </is>
      </c>
      <c r="B1420" s="2" t="inlineStr">
        <is>
          <t>Customer 19</t>
        </is>
      </c>
      <c r="C1420" s="2" t="inlineStr">
        <is>
          <t>Drive</t>
        </is>
      </c>
      <c r="D1420" s="2" t="inlineStr">
        <is>
          <t>Plant A</t>
        </is>
      </c>
      <c r="E1420" s="2" t="inlineStr">
        <is>
          <t>North</t>
        </is>
      </c>
      <c r="F1420" s="12" t="n">
        <v>46061</v>
      </c>
      <c r="G1420" s="12" t="n">
        <v>46080</v>
      </c>
      <c r="H1420" s="12" t="n">
        <v>46076</v>
      </c>
      <c r="I1420" s="12" t="n">
        <v>46076</v>
      </c>
      <c r="J1420" s="12" t="n">
        <v>46079</v>
      </c>
      <c r="K1420" s="2" t="n">
        <v>539</v>
      </c>
      <c r="L1420" s="2" t="inlineStr">
        <is>
          <t>Road</t>
        </is>
      </c>
      <c r="M1420" s="2" t="inlineStr">
        <is>
          <t>No Delay</t>
        </is>
      </c>
      <c r="N1420" s="4">
        <f>IF(I1420&lt;=H1420,1,0)</f>
        <v/>
      </c>
      <c r="O1420" s="4">
        <f>IF(J1420&lt;=G1420,1,0)</f>
        <v/>
      </c>
      <c r="P1420" s="4">
        <f>MAX(0,I1420-H1420)</f>
        <v/>
      </c>
      <c r="Q1420" s="4">
        <f>MAX(0,J1420-G1420)</f>
        <v/>
      </c>
      <c r="R1420" s="4">
        <f>IF(AND(N1420=1,O1420=1),"On Track",IF(O1420=0,"Customer Delivery Late","Ship Late"))</f>
        <v/>
      </c>
    </row>
    <row r="1421">
      <c r="A1421" s="2" t="inlineStr">
        <is>
          <t>ORD-01420</t>
        </is>
      </c>
      <c r="B1421" s="2" t="inlineStr">
        <is>
          <t>Customer 06</t>
        </is>
      </c>
      <c r="C1421" s="2" t="inlineStr">
        <is>
          <t>Switchgear</t>
        </is>
      </c>
      <c r="D1421" s="2" t="inlineStr">
        <is>
          <t>Plant B</t>
        </is>
      </c>
      <c r="E1421" s="2" t="inlineStr">
        <is>
          <t>Central</t>
        </is>
      </c>
      <c r="F1421" s="12" t="n">
        <v>46171</v>
      </c>
      <c r="G1421" s="12" t="n">
        <v>46189</v>
      </c>
      <c r="H1421" s="12" t="n">
        <v>46188</v>
      </c>
      <c r="I1421" s="12" t="n">
        <v>46186</v>
      </c>
      <c r="J1421" s="12" t="n">
        <v>46188</v>
      </c>
      <c r="K1421" s="2" t="n">
        <v>692</v>
      </c>
      <c r="L1421" s="2" t="inlineStr">
        <is>
          <t>Sea</t>
        </is>
      </c>
      <c r="M1421" s="2" t="inlineStr">
        <is>
          <t>No Delay</t>
        </is>
      </c>
      <c r="N1421" s="4">
        <f>IF(I1421&lt;=H1421,1,0)</f>
        <v/>
      </c>
      <c r="O1421" s="4">
        <f>IF(J1421&lt;=G1421,1,0)</f>
        <v/>
      </c>
      <c r="P1421" s="4">
        <f>MAX(0,I1421-H1421)</f>
        <v/>
      </c>
      <c r="Q1421" s="4">
        <f>MAX(0,J1421-G1421)</f>
        <v/>
      </c>
      <c r="R1421" s="4">
        <f>IF(AND(N1421=1,O1421=1),"On Track",IF(O1421=0,"Customer Delivery Late","Ship Late"))</f>
        <v/>
      </c>
    </row>
    <row r="1422">
      <c r="A1422" s="2" t="inlineStr">
        <is>
          <t>ORD-01421</t>
        </is>
      </c>
      <c r="B1422" s="2" t="inlineStr">
        <is>
          <t>Customer 02</t>
        </is>
      </c>
      <c r="C1422" s="2" t="inlineStr">
        <is>
          <t>Power Supply</t>
        </is>
      </c>
      <c r="D1422" s="2" t="inlineStr">
        <is>
          <t>Plant C</t>
        </is>
      </c>
      <c r="E1422" s="2" t="inlineStr">
        <is>
          <t>South</t>
        </is>
      </c>
      <c r="F1422" s="12" t="n">
        <v>46119</v>
      </c>
      <c r="G1422" s="12" t="n">
        <v>46135</v>
      </c>
      <c r="H1422" s="12" t="n">
        <v>46134</v>
      </c>
      <c r="I1422" s="12" t="n">
        <v>46133</v>
      </c>
      <c r="J1422" s="12" t="n">
        <v>46134</v>
      </c>
      <c r="K1422" s="2" t="n">
        <v>1258</v>
      </c>
      <c r="L1422" s="2" t="inlineStr">
        <is>
          <t>Air</t>
        </is>
      </c>
      <c r="M1422" s="2" t="inlineStr">
        <is>
          <t>No Delay</t>
        </is>
      </c>
      <c r="N1422" s="4">
        <f>IF(I1422&lt;=H1422,1,0)</f>
        <v/>
      </c>
      <c r="O1422" s="4">
        <f>IF(J1422&lt;=G1422,1,0)</f>
        <v/>
      </c>
      <c r="P1422" s="4">
        <f>MAX(0,I1422-H1422)</f>
        <v/>
      </c>
      <c r="Q1422" s="4">
        <f>MAX(0,J1422-G1422)</f>
        <v/>
      </c>
      <c r="R1422" s="4">
        <f>IF(AND(N1422=1,O1422=1),"On Track",IF(O1422=0,"Customer Delivery Late","Ship Late"))</f>
        <v/>
      </c>
    </row>
    <row r="1423">
      <c r="A1423" s="2" t="inlineStr">
        <is>
          <t>ORD-01422</t>
        </is>
      </c>
      <c r="B1423" s="2" t="inlineStr">
        <is>
          <t>Customer 17</t>
        </is>
      </c>
      <c r="C1423" s="2" t="inlineStr">
        <is>
          <t>Sensor</t>
        </is>
      </c>
      <c r="D1423" s="2" t="inlineStr">
        <is>
          <t>Plant A</t>
        </is>
      </c>
      <c r="E1423" s="2" t="inlineStr">
        <is>
          <t>North</t>
        </is>
      </c>
      <c r="F1423" s="12" t="n">
        <v>46121</v>
      </c>
      <c r="G1423" s="12" t="n">
        <v>46143</v>
      </c>
      <c r="H1423" s="12" t="n">
        <v>46141</v>
      </c>
      <c r="I1423" s="12" t="n">
        <v>46141</v>
      </c>
      <c r="J1423" s="12" t="n">
        <v>46142</v>
      </c>
      <c r="K1423" s="2" t="n">
        <v>919</v>
      </c>
      <c r="L1423" s="2" t="inlineStr">
        <is>
          <t>Road</t>
        </is>
      </c>
      <c r="M1423" s="2" t="inlineStr">
        <is>
          <t>No Delay</t>
        </is>
      </c>
      <c r="N1423" s="4">
        <f>IF(I1423&lt;=H1423,1,0)</f>
        <v/>
      </c>
      <c r="O1423" s="4">
        <f>IF(J1423&lt;=G1423,1,0)</f>
        <v/>
      </c>
      <c r="P1423" s="4">
        <f>MAX(0,I1423-H1423)</f>
        <v/>
      </c>
      <c r="Q1423" s="4">
        <f>MAX(0,J1423-G1423)</f>
        <v/>
      </c>
      <c r="R1423" s="4">
        <f>IF(AND(N1423=1,O1423=1),"On Track",IF(O1423=0,"Customer Delivery Late","Ship Late"))</f>
        <v/>
      </c>
    </row>
    <row r="1424">
      <c r="A1424" s="2" t="inlineStr">
        <is>
          <t>ORD-01423</t>
        </is>
      </c>
      <c r="B1424" s="2" t="inlineStr">
        <is>
          <t>Customer 08</t>
        </is>
      </c>
      <c r="C1424" s="2" t="inlineStr">
        <is>
          <t>Power Supply</t>
        </is>
      </c>
      <c r="D1424" s="2" t="inlineStr">
        <is>
          <t>Plant B</t>
        </is>
      </c>
      <c r="E1424" s="2" t="inlineStr">
        <is>
          <t>Central</t>
        </is>
      </c>
      <c r="F1424" s="12" t="n">
        <v>46062</v>
      </c>
      <c r="G1424" s="12" t="n">
        <v>46084</v>
      </c>
      <c r="H1424" s="12" t="n">
        <v>46081</v>
      </c>
      <c r="I1424" s="12" t="n">
        <v>46079</v>
      </c>
      <c r="J1424" s="12" t="n">
        <v>46082</v>
      </c>
      <c r="K1424" s="2" t="n">
        <v>10</v>
      </c>
      <c r="L1424" s="2" t="inlineStr">
        <is>
          <t>Sea</t>
        </is>
      </c>
      <c r="M1424" s="2" t="inlineStr">
        <is>
          <t>No Delay</t>
        </is>
      </c>
      <c r="N1424" s="4">
        <f>IF(I1424&lt;=H1424,1,0)</f>
        <v/>
      </c>
      <c r="O1424" s="4">
        <f>IF(J1424&lt;=G1424,1,0)</f>
        <v/>
      </c>
      <c r="P1424" s="4">
        <f>MAX(0,I1424-H1424)</f>
        <v/>
      </c>
      <c r="Q1424" s="4">
        <f>MAX(0,J1424-G1424)</f>
        <v/>
      </c>
      <c r="R1424" s="4">
        <f>IF(AND(N1424=1,O1424=1),"On Track",IF(O1424=0,"Customer Delivery Late","Ship Late"))</f>
        <v/>
      </c>
    </row>
    <row r="1425">
      <c r="A1425" s="2" t="inlineStr">
        <is>
          <t>ORD-01424</t>
        </is>
      </c>
      <c r="B1425" s="2" t="inlineStr">
        <is>
          <t>Customer 05</t>
        </is>
      </c>
      <c r="C1425" s="2" t="inlineStr">
        <is>
          <t>Sensor</t>
        </is>
      </c>
      <c r="D1425" s="2" t="inlineStr">
        <is>
          <t>Plant B</t>
        </is>
      </c>
      <c r="E1425" s="2" t="inlineStr">
        <is>
          <t>Export</t>
        </is>
      </c>
      <c r="F1425" s="12" t="n">
        <v>46169</v>
      </c>
      <c r="G1425" s="12" t="n">
        <v>46181</v>
      </c>
      <c r="H1425" s="12" t="n">
        <v>46178</v>
      </c>
      <c r="I1425" s="12" t="n">
        <v>46178</v>
      </c>
      <c r="J1425" s="12" t="n">
        <v>46182</v>
      </c>
      <c r="K1425" s="2" t="n">
        <v>319</v>
      </c>
      <c r="L1425" s="2" t="inlineStr">
        <is>
          <t>Sea</t>
        </is>
      </c>
      <c r="M1425" s="2" t="inlineStr">
        <is>
          <t>Documentation Issue</t>
        </is>
      </c>
      <c r="N1425" s="4">
        <f>IF(I1425&lt;=H1425,1,0)</f>
        <v/>
      </c>
      <c r="O1425" s="4">
        <f>IF(J1425&lt;=G1425,1,0)</f>
        <v/>
      </c>
      <c r="P1425" s="4">
        <f>MAX(0,I1425-H1425)</f>
        <v/>
      </c>
      <c r="Q1425" s="4">
        <f>MAX(0,J1425-G1425)</f>
        <v/>
      </c>
      <c r="R1425" s="4">
        <f>IF(AND(N1425=1,O1425=1),"On Track",IF(O1425=0,"Customer Delivery Late","Ship Late"))</f>
        <v/>
      </c>
    </row>
    <row r="1426">
      <c r="A1426" s="2" t="inlineStr">
        <is>
          <t>ORD-01425</t>
        </is>
      </c>
      <c r="B1426" s="2" t="inlineStr">
        <is>
          <t>Customer 07</t>
        </is>
      </c>
      <c r="C1426" s="2" t="inlineStr">
        <is>
          <t>Contactor</t>
        </is>
      </c>
      <c r="D1426" s="2" t="inlineStr">
        <is>
          <t>Plant C</t>
        </is>
      </c>
      <c r="E1426" s="2" t="inlineStr">
        <is>
          <t>Central</t>
        </is>
      </c>
      <c r="F1426" s="12" t="n">
        <v>46136</v>
      </c>
      <c r="G1426" s="12" t="n">
        <v>46160</v>
      </c>
      <c r="H1426" s="12" t="n">
        <v>46155</v>
      </c>
      <c r="I1426" s="12" t="n">
        <v>46153</v>
      </c>
      <c r="J1426" s="12" t="n">
        <v>46157</v>
      </c>
      <c r="K1426" s="2" t="n">
        <v>742</v>
      </c>
      <c r="L1426" s="2" t="inlineStr">
        <is>
          <t>Sea</t>
        </is>
      </c>
      <c r="M1426" s="2" t="inlineStr">
        <is>
          <t>No Delay</t>
        </is>
      </c>
      <c r="N1426" s="4">
        <f>IF(I1426&lt;=H1426,1,0)</f>
        <v/>
      </c>
      <c r="O1426" s="4">
        <f>IF(J1426&lt;=G1426,1,0)</f>
        <v/>
      </c>
      <c r="P1426" s="4">
        <f>MAX(0,I1426-H1426)</f>
        <v/>
      </c>
      <c r="Q1426" s="4">
        <f>MAX(0,J1426-G1426)</f>
        <v/>
      </c>
      <c r="R1426" s="4">
        <f>IF(AND(N1426=1,O1426=1),"On Track",IF(O1426=0,"Customer Delivery Late","Ship Late"))</f>
        <v/>
      </c>
    </row>
    <row r="1427">
      <c r="A1427" s="2" t="inlineStr">
        <is>
          <t>ORD-01426</t>
        </is>
      </c>
      <c r="B1427" s="2" t="inlineStr">
        <is>
          <t>Customer 24</t>
        </is>
      </c>
      <c r="C1427" s="2" t="inlineStr">
        <is>
          <t>Power Supply</t>
        </is>
      </c>
      <c r="D1427" s="2" t="inlineStr">
        <is>
          <t>Plant A</t>
        </is>
      </c>
      <c r="E1427" s="2" t="inlineStr">
        <is>
          <t>South</t>
        </is>
      </c>
      <c r="F1427" s="12" t="n">
        <v>46176</v>
      </c>
      <c r="G1427" s="12" t="n">
        <v>46201</v>
      </c>
      <c r="H1427" s="12" t="n">
        <v>46199</v>
      </c>
      <c r="I1427" s="12" t="n">
        <v>46203</v>
      </c>
      <c r="J1427" s="12" t="n">
        <v>46204</v>
      </c>
      <c r="K1427" s="2" t="n">
        <v>392</v>
      </c>
      <c r="L1427" s="2" t="inlineStr">
        <is>
          <t>Road</t>
        </is>
      </c>
      <c r="M1427" s="2" t="inlineStr">
        <is>
          <t>Documentation Issue</t>
        </is>
      </c>
      <c r="N1427" s="4">
        <f>IF(I1427&lt;=H1427,1,0)</f>
        <v/>
      </c>
      <c r="O1427" s="4">
        <f>IF(J1427&lt;=G1427,1,0)</f>
        <v/>
      </c>
      <c r="P1427" s="4">
        <f>MAX(0,I1427-H1427)</f>
        <v/>
      </c>
      <c r="Q1427" s="4">
        <f>MAX(0,J1427-G1427)</f>
        <v/>
      </c>
      <c r="R1427" s="4">
        <f>IF(AND(N1427=1,O1427=1),"On Track",IF(O1427=0,"Customer Delivery Late","Ship Late"))</f>
        <v/>
      </c>
    </row>
    <row r="1428">
      <c r="A1428" s="2" t="inlineStr">
        <is>
          <t>ORD-01427</t>
        </is>
      </c>
      <c r="B1428" s="2" t="inlineStr">
        <is>
          <t>Customer 23</t>
        </is>
      </c>
      <c r="C1428" s="2" t="inlineStr">
        <is>
          <t>Breaker</t>
        </is>
      </c>
      <c r="D1428" s="2" t="inlineStr">
        <is>
          <t>Plant A</t>
        </is>
      </c>
      <c r="E1428" s="2" t="inlineStr">
        <is>
          <t>South</t>
        </is>
      </c>
      <c r="F1428" s="12" t="n">
        <v>46034</v>
      </c>
      <c r="G1428" s="12" t="n">
        <v>46047</v>
      </c>
      <c r="H1428" s="12" t="n">
        <v>46044</v>
      </c>
      <c r="I1428" s="12" t="n">
        <v>46042</v>
      </c>
      <c r="J1428" s="12" t="n">
        <v>46045</v>
      </c>
      <c r="K1428" s="2" t="n">
        <v>580</v>
      </c>
      <c r="L1428" s="2" t="inlineStr">
        <is>
          <t>Air</t>
        </is>
      </c>
      <c r="M1428" s="2" t="inlineStr">
        <is>
          <t>No Delay</t>
        </is>
      </c>
      <c r="N1428" s="4">
        <f>IF(I1428&lt;=H1428,1,0)</f>
        <v/>
      </c>
      <c r="O1428" s="4">
        <f>IF(J1428&lt;=G1428,1,0)</f>
        <v/>
      </c>
      <c r="P1428" s="4">
        <f>MAX(0,I1428-H1428)</f>
        <v/>
      </c>
      <c r="Q1428" s="4">
        <f>MAX(0,J1428-G1428)</f>
        <v/>
      </c>
      <c r="R1428" s="4">
        <f>IF(AND(N1428=1,O1428=1),"On Track",IF(O1428=0,"Customer Delivery Late","Ship Late"))</f>
        <v/>
      </c>
    </row>
    <row r="1429">
      <c r="A1429" s="2" t="inlineStr">
        <is>
          <t>ORD-01428</t>
        </is>
      </c>
      <c r="B1429" s="2" t="inlineStr">
        <is>
          <t>Customer 28</t>
        </is>
      </c>
      <c r="C1429" s="2" t="inlineStr">
        <is>
          <t>PLC</t>
        </is>
      </c>
      <c r="D1429" s="2" t="inlineStr">
        <is>
          <t>Plant C</t>
        </is>
      </c>
      <c r="E1429" s="2" t="inlineStr">
        <is>
          <t>South</t>
        </is>
      </c>
      <c r="F1429" s="12" t="n">
        <v>46149</v>
      </c>
      <c r="G1429" s="12" t="n">
        <v>46158</v>
      </c>
      <c r="H1429" s="12" t="n">
        <v>46155</v>
      </c>
      <c r="I1429" s="12" t="n">
        <v>46153</v>
      </c>
      <c r="J1429" s="12" t="n">
        <v>46156</v>
      </c>
      <c r="K1429" s="2" t="n">
        <v>570</v>
      </c>
      <c r="L1429" s="2" t="inlineStr">
        <is>
          <t>Road</t>
        </is>
      </c>
      <c r="M1429" s="2" t="inlineStr">
        <is>
          <t>No Delay</t>
        </is>
      </c>
      <c r="N1429" s="4">
        <f>IF(I1429&lt;=H1429,1,0)</f>
        <v/>
      </c>
      <c r="O1429" s="4">
        <f>IF(J1429&lt;=G1429,1,0)</f>
        <v/>
      </c>
      <c r="P1429" s="4">
        <f>MAX(0,I1429-H1429)</f>
        <v/>
      </c>
      <c r="Q1429" s="4">
        <f>MAX(0,J1429-G1429)</f>
        <v/>
      </c>
      <c r="R1429" s="4">
        <f>IF(AND(N1429=1,O1429=1),"On Track",IF(O1429=0,"Customer Delivery Late","Ship Late"))</f>
        <v/>
      </c>
    </row>
    <row r="1430">
      <c r="A1430" s="2" t="inlineStr">
        <is>
          <t>ORD-01429</t>
        </is>
      </c>
      <c r="B1430" s="2" t="inlineStr">
        <is>
          <t>Customer 05</t>
        </is>
      </c>
      <c r="C1430" s="2" t="inlineStr">
        <is>
          <t>Sensor</t>
        </is>
      </c>
      <c r="D1430" s="2" t="inlineStr">
        <is>
          <t>Plant C</t>
        </is>
      </c>
      <c r="E1430" s="2" t="inlineStr">
        <is>
          <t>North</t>
        </is>
      </c>
      <c r="F1430" s="12" t="n">
        <v>46168</v>
      </c>
      <c r="G1430" s="12" t="n">
        <v>46186</v>
      </c>
      <c r="H1430" s="12" t="n">
        <v>46182</v>
      </c>
      <c r="I1430" s="12" t="n">
        <v>46181</v>
      </c>
      <c r="J1430" s="12" t="n">
        <v>46184</v>
      </c>
      <c r="K1430" s="2" t="n">
        <v>1129</v>
      </c>
      <c r="L1430" s="2" t="inlineStr">
        <is>
          <t>Sea</t>
        </is>
      </c>
      <c r="M1430" s="2" t="inlineStr">
        <is>
          <t>No Delay</t>
        </is>
      </c>
      <c r="N1430" s="4">
        <f>IF(I1430&lt;=H1430,1,0)</f>
        <v/>
      </c>
      <c r="O1430" s="4">
        <f>IF(J1430&lt;=G1430,1,0)</f>
        <v/>
      </c>
      <c r="P1430" s="4">
        <f>MAX(0,I1430-H1430)</f>
        <v/>
      </c>
      <c r="Q1430" s="4">
        <f>MAX(0,J1430-G1430)</f>
        <v/>
      </c>
      <c r="R1430" s="4">
        <f>IF(AND(N1430=1,O1430=1),"On Track",IF(O1430=0,"Customer Delivery Late","Ship Late"))</f>
        <v/>
      </c>
    </row>
    <row r="1431">
      <c r="A1431" s="2" t="inlineStr">
        <is>
          <t>ORD-01430</t>
        </is>
      </c>
      <c r="B1431" s="2" t="inlineStr">
        <is>
          <t>Customer 09</t>
        </is>
      </c>
      <c r="C1431" s="2" t="inlineStr">
        <is>
          <t>Power Supply</t>
        </is>
      </c>
      <c r="D1431" s="2" t="inlineStr">
        <is>
          <t>Plant C</t>
        </is>
      </c>
      <c r="E1431" s="2" t="inlineStr">
        <is>
          <t>North</t>
        </is>
      </c>
      <c r="F1431" s="12" t="n">
        <v>46023</v>
      </c>
      <c r="G1431" s="12" t="n">
        <v>46040</v>
      </c>
      <c r="H1431" s="12" t="n">
        <v>46036</v>
      </c>
      <c r="I1431" s="12" t="n">
        <v>46034</v>
      </c>
      <c r="J1431" s="12" t="n">
        <v>46038</v>
      </c>
      <c r="K1431" s="2" t="n">
        <v>473</v>
      </c>
      <c r="L1431" s="2" t="inlineStr">
        <is>
          <t>Air</t>
        </is>
      </c>
      <c r="M1431" s="2" t="inlineStr">
        <is>
          <t>No Delay</t>
        </is>
      </c>
      <c r="N1431" s="4">
        <f>IF(I1431&lt;=H1431,1,0)</f>
        <v/>
      </c>
      <c r="O1431" s="4">
        <f>IF(J1431&lt;=G1431,1,0)</f>
        <v/>
      </c>
      <c r="P1431" s="4">
        <f>MAX(0,I1431-H1431)</f>
        <v/>
      </c>
      <c r="Q1431" s="4">
        <f>MAX(0,J1431-G1431)</f>
        <v/>
      </c>
      <c r="R1431" s="4">
        <f>IF(AND(N1431=1,O1431=1),"On Track",IF(O1431=0,"Customer Delivery Late","Ship Late"))</f>
        <v/>
      </c>
    </row>
    <row r="1432">
      <c r="A1432" s="2" t="inlineStr">
        <is>
          <t>ORD-01431</t>
        </is>
      </c>
      <c r="B1432" s="2" t="inlineStr">
        <is>
          <t>Customer 20</t>
        </is>
      </c>
      <c r="C1432" s="2" t="inlineStr">
        <is>
          <t>PLC</t>
        </is>
      </c>
      <c r="D1432" s="2" t="inlineStr">
        <is>
          <t>Plant C</t>
        </is>
      </c>
      <c r="E1432" s="2" t="inlineStr">
        <is>
          <t>Export</t>
        </is>
      </c>
      <c r="F1432" s="12" t="n">
        <v>46182</v>
      </c>
      <c r="G1432" s="12" t="n">
        <v>46192</v>
      </c>
      <c r="H1432" s="12" t="n">
        <v>46188</v>
      </c>
      <c r="I1432" s="12" t="n">
        <v>46187</v>
      </c>
      <c r="J1432" s="12" t="n">
        <v>46192</v>
      </c>
      <c r="K1432" s="2" t="n">
        <v>1436</v>
      </c>
      <c r="L1432" s="2" t="inlineStr">
        <is>
          <t>Sea</t>
        </is>
      </c>
      <c r="M1432" s="2" t="inlineStr">
        <is>
          <t>No Delay</t>
        </is>
      </c>
      <c r="N1432" s="4">
        <f>IF(I1432&lt;=H1432,1,0)</f>
        <v/>
      </c>
      <c r="O1432" s="4">
        <f>IF(J1432&lt;=G1432,1,0)</f>
        <v/>
      </c>
      <c r="P1432" s="4">
        <f>MAX(0,I1432-H1432)</f>
        <v/>
      </c>
      <c r="Q1432" s="4">
        <f>MAX(0,J1432-G1432)</f>
        <v/>
      </c>
      <c r="R1432" s="4">
        <f>IF(AND(N1432=1,O1432=1),"On Track",IF(O1432=0,"Customer Delivery Late","Ship Late"))</f>
        <v/>
      </c>
    </row>
    <row r="1433">
      <c r="A1433" s="2" t="inlineStr">
        <is>
          <t>ORD-01432</t>
        </is>
      </c>
      <c r="B1433" s="2" t="inlineStr">
        <is>
          <t>Customer 19</t>
        </is>
      </c>
      <c r="C1433" s="2" t="inlineStr">
        <is>
          <t>Sensor</t>
        </is>
      </c>
      <c r="D1433" s="2" t="inlineStr">
        <is>
          <t>Plant B</t>
        </is>
      </c>
      <c r="E1433" s="2" t="inlineStr">
        <is>
          <t>North</t>
        </is>
      </c>
      <c r="F1433" s="12" t="n">
        <v>46163</v>
      </c>
      <c r="G1433" s="12" t="n">
        <v>46182</v>
      </c>
      <c r="H1433" s="12" t="n">
        <v>46179</v>
      </c>
      <c r="I1433" s="12" t="n">
        <v>46178</v>
      </c>
      <c r="J1433" s="12" t="n">
        <v>46180</v>
      </c>
      <c r="K1433" s="2" t="n">
        <v>236</v>
      </c>
      <c r="L1433" s="2" t="inlineStr">
        <is>
          <t>Road</t>
        </is>
      </c>
      <c r="M1433" s="2" t="inlineStr">
        <is>
          <t>No Delay</t>
        </is>
      </c>
      <c r="N1433" s="4">
        <f>IF(I1433&lt;=H1433,1,0)</f>
        <v/>
      </c>
      <c r="O1433" s="4">
        <f>IF(J1433&lt;=G1433,1,0)</f>
        <v/>
      </c>
      <c r="P1433" s="4">
        <f>MAX(0,I1433-H1433)</f>
        <v/>
      </c>
      <c r="Q1433" s="4">
        <f>MAX(0,J1433-G1433)</f>
        <v/>
      </c>
      <c r="R1433" s="4">
        <f>IF(AND(N1433=1,O1433=1),"On Track",IF(O1433=0,"Customer Delivery Late","Ship Late"))</f>
        <v/>
      </c>
    </row>
    <row r="1434">
      <c r="A1434" s="2" t="inlineStr">
        <is>
          <t>ORD-01433</t>
        </is>
      </c>
      <c r="B1434" s="2" t="inlineStr">
        <is>
          <t>Customer 30</t>
        </is>
      </c>
      <c r="C1434" s="2" t="inlineStr">
        <is>
          <t>Power Supply</t>
        </is>
      </c>
      <c r="D1434" s="2" t="inlineStr">
        <is>
          <t>Plant C</t>
        </is>
      </c>
      <c r="E1434" s="2" t="inlineStr">
        <is>
          <t>North</t>
        </is>
      </c>
      <c r="F1434" s="12" t="n">
        <v>46180</v>
      </c>
      <c r="G1434" s="12" t="n">
        <v>46189</v>
      </c>
      <c r="H1434" s="12" t="n">
        <v>46184</v>
      </c>
      <c r="I1434" s="12" t="n">
        <v>46182</v>
      </c>
      <c r="J1434" s="12" t="n">
        <v>46187</v>
      </c>
      <c r="K1434" s="2" t="n">
        <v>729</v>
      </c>
      <c r="L1434" s="2" t="inlineStr">
        <is>
          <t>Road</t>
        </is>
      </c>
      <c r="M1434" s="2" t="inlineStr">
        <is>
          <t>No Delay</t>
        </is>
      </c>
      <c r="N1434" s="4">
        <f>IF(I1434&lt;=H1434,1,0)</f>
        <v/>
      </c>
      <c r="O1434" s="4">
        <f>IF(J1434&lt;=G1434,1,0)</f>
        <v/>
      </c>
      <c r="P1434" s="4">
        <f>MAX(0,I1434-H1434)</f>
        <v/>
      </c>
      <c r="Q1434" s="4">
        <f>MAX(0,J1434-G1434)</f>
        <v/>
      </c>
      <c r="R1434" s="4">
        <f>IF(AND(N1434=1,O1434=1),"On Track",IF(O1434=0,"Customer Delivery Late","Ship Late"))</f>
        <v/>
      </c>
    </row>
    <row r="1435">
      <c r="A1435" s="2" t="inlineStr">
        <is>
          <t>ORD-01434</t>
        </is>
      </c>
      <c r="B1435" s="2" t="inlineStr">
        <is>
          <t>Customer 18</t>
        </is>
      </c>
      <c r="C1435" s="2" t="inlineStr">
        <is>
          <t>Power Supply</t>
        </is>
      </c>
      <c r="D1435" s="2" t="inlineStr">
        <is>
          <t>Plant A</t>
        </is>
      </c>
      <c r="E1435" s="2" t="inlineStr">
        <is>
          <t>Export</t>
        </is>
      </c>
      <c r="F1435" s="12" t="n">
        <v>46041</v>
      </c>
      <c r="G1435" s="12" t="n">
        <v>46061</v>
      </c>
      <c r="H1435" s="12" t="n">
        <v>46060</v>
      </c>
      <c r="I1435" s="12" t="n">
        <v>46060</v>
      </c>
      <c r="J1435" s="12" t="n">
        <v>46061</v>
      </c>
      <c r="K1435" s="2" t="n">
        <v>653</v>
      </c>
      <c r="L1435" s="2" t="inlineStr">
        <is>
          <t>Road</t>
        </is>
      </c>
      <c r="M1435" s="2" t="inlineStr">
        <is>
          <t>No Delay</t>
        </is>
      </c>
      <c r="N1435" s="4">
        <f>IF(I1435&lt;=H1435,1,0)</f>
        <v/>
      </c>
      <c r="O1435" s="4">
        <f>IF(J1435&lt;=G1435,1,0)</f>
        <v/>
      </c>
      <c r="P1435" s="4">
        <f>MAX(0,I1435-H1435)</f>
        <v/>
      </c>
      <c r="Q1435" s="4">
        <f>MAX(0,J1435-G1435)</f>
        <v/>
      </c>
      <c r="R1435" s="4">
        <f>IF(AND(N1435=1,O1435=1),"On Track",IF(O1435=0,"Customer Delivery Late","Ship Late"))</f>
        <v/>
      </c>
    </row>
    <row r="1436">
      <c r="A1436" s="2" t="inlineStr">
        <is>
          <t>ORD-01435</t>
        </is>
      </c>
      <c r="B1436" s="2" t="inlineStr">
        <is>
          <t>Customer 02</t>
        </is>
      </c>
      <c r="C1436" s="2" t="inlineStr">
        <is>
          <t>Power Supply</t>
        </is>
      </c>
      <c r="D1436" s="2" t="inlineStr">
        <is>
          <t>Plant B</t>
        </is>
      </c>
      <c r="E1436" s="2" t="inlineStr">
        <is>
          <t>North</t>
        </is>
      </c>
      <c r="F1436" s="12" t="n">
        <v>46128</v>
      </c>
      <c r="G1436" s="12" t="n">
        <v>46153</v>
      </c>
      <c r="H1436" s="12" t="n">
        <v>46151</v>
      </c>
      <c r="I1436" s="12" t="n">
        <v>46151</v>
      </c>
      <c r="J1436" s="12" t="n">
        <v>46153</v>
      </c>
      <c r="K1436" s="2" t="n">
        <v>110</v>
      </c>
      <c r="L1436" s="2" t="inlineStr">
        <is>
          <t>Road</t>
        </is>
      </c>
      <c r="M1436" s="2" t="inlineStr">
        <is>
          <t>No Delay</t>
        </is>
      </c>
      <c r="N1436" s="4">
        <f>IF(I1436&lt;=H1436,1,0)</f>
        <v/>
      </c>
      <c r="O1436" s="4">
        <f>IF(J1436&lt;=G1436,1,0)</f>
        <v/>
      </c>
      <c r="P1436" s="4">
        <f>MAX(0,I1436-H1436)</f>
        <v/>
      </c>
      <c r="Q1436" s="4">
        <f>MAX(0,J1436-G1436)</f>
        <v/>
      </c>
      <c r="R1436" s="4">
        <f>IF(AND(N1436=1,O1436=1),"On Track",IF(O1436=0,"Customer Delivery Late","Ship Late"))</f>
        <v/>
      </c>
    </row>
    <row r="1437">
      <c r="A1437" s="2" t="inlineStr">
        <is>
          <t>ORD-01436</t>
        </is>
      </c>
      <c r="B1437" s="2" t="inlineStr">
        <is>
          <t>Customer 09</t>
        </is>
      </c>
      <c r="C1437" s="2" t="inlineStr">
        <is>
          <t>Relay</t>
        </is>
      </c>
      <c r="D1437" s="2" t="inlineStr">
        <is>
          <t>Plant A</t>
        </is>
      </c>
      <c r="E1437" s="2" t="inlineStr">
        <is>
          <t>South</t>
        </is>
      </c>
      <c r="F1437" s="12" t="n">
        <v>46175</v>
      </c>
      <c r="G1437" s="12" t="n">
        <v>46200</v>
      </c>
      <c r="H1437" s="12" t="n">
        <v>46195</v>
      </c>
      <c r="I1437" s="12" t="n">
        <v>46193</v>
      </c>
      <c r="J1437" s="12" t="n">
        <v>46199</v>
      </c>
      <c r="K1437" s="2" t="n">
        <v>780</v>
      </c>
      <c r="L1437" s="2" t="inlineStr">
        <is>
          <t>Air</t>
        </is>
      </c>
      <c r="M1437" s="2" t="inlineStr">
        <is>
          <t>No Delay</t>
        </is>
      </c>
      <c r="N1437" s="4">
        <f>IF(I1437&lt;=H1437,1,0)</f>
        <v/>
      </c>
      <c r="O1437" s="4">
        <f>IF(J1437&lt;=G1437,1,0)</f>
        <v/>
      </c>
      <c r="P1437" s="4">
        <f>MAX(0,I1437-H1437)</f>
        <v/>
      </c>
      <c r="Q1437" s="4">
        <f>MAX(0,J1437-G1437)</f>
        <v/>
      </c>
      <c r="R1437" s="4">
        <f>IF(AND(N1437=1,O1437=1),"On Track",IF(O1437=0,"Customer Delivery Late","Ship Late"))</f>
        <v/>
      </c>
    </row>
    <row r="1438">
      <c r="A1438" s="2" t="inlineStr">
        <is>
          <t>ORD-01437</t>
        </is>
      </c>
      <c r="B1438" s="2" t="inlineStr">
        <is>
          <t>Customer 26</t>
        </is>
      </c>
      <c r="C1438" s="2" t="inlineStr">
        <is>
          <t>Power Supply</t>
        </is>
      </c>
      <c r="D1438" s="2" t="inlineStr">
        <is>
          <t>Plant B</t>
        </is>
      </c>
      <c r="E1438" s="2" t="inlineStr">
        <is>
          <t>Central</t>
        </is>
      </c>
      <c r="F1438" s="12" t="n">
        <v>46197</v>
      </c>
      <c r="G1438" s="12" t="n">
        <v>46210</v>
      </c>
      <c r="H1438" s="12" t="n">
        <v>46205</v>
      </c>
      <c r="I1438" s="12" t="n">
        <v>46204</v>
      </c>
      <c r="J1438" s="12" t="n">
        <v>46209</v>
      </c>
      <c r="K1438" s="2" t="n">
        <v>39</v>
      </c>
      <c r="L1438" s="2" t="inlineStr">
        <is>
          <t>Air</t>
        </is>
      </c>
      <c r="M1438" s="2" t="inlineStr">
        <is>
          <t>No Delay</t>
        </is>
      </c>
      <c r="N1438" s="4">
        <f>IF(I1438&lt;=H1438,1,0)</f>
        <v/>
      </c>
      <c r="O1438" s="4">
        <f>IF(J1438&lt;=G1438,1,0)</f>
        <v/>
      </c>
      <c r="P1438" s="4">
        <f>MAX(0,I1438-H1438)</f>
        <v/>
      </c>
      <c r="Q1438" s="4">
        <f>MAX(0,J1438-G1438)</f>
        <v/>
      </c>
      <c r="R1438" s="4">
        <f>IF(AND(N1438=1,O1438=1),"On Track",IF(O1438=0,"Customer Delivery Late","Ship Late"))</f>
        <v/>
      </c>
    </row>
    <row r="1439">
      <c r="A1439" s="2" t="inlineStr">
        <is>
          <t>ORD-01438</t>
        </is>
      </c>
      <c r="B1439" s="2" t="inlineStr">
        <is>
          <t>Customer 19</t>
        </is>
      </c>
      <c r="C1439" s="2" t="inlineStr">
        <is>
          <t>Switchgear</t>
        </is>
      </c>
      <c r="D1439" s="2" t="inlineStr">
        <is>
          <t>Plant B</t>
        </is>
      </c>
      <c r="E1439" s="2" t="inlineStr">
        <is>
          <t>South</t>
        </is>
      </c>
      <c r="F1439" s="12" t="n">
        <v>46103</v>
      </c>
      <c r="G1439" s="12" t="n">
        <v>46121</v>
      </c>
      <c r="H1439" s="12" t="n">
        <v>46118</v>
      </c>
      <c r="I1439" s="12" t="n">
        <v>46117</v>
      </c>
      <c r="J1439" s="12" t="n">
        <v>46121</v>
      </c>
      <c r="K1439" s="2" t="n">
        <v>462</v>
      </c>
      <c r="L1439" s="2" t="inlineStr">
        <is>
          <t>Road</t>
        </is>
      </c>
      <c r="M1439" s="2" t="inlineStr">
        <is>
          <t>No Delay</t>
        </is>
      </c>
      <c r="N1439" s="4">
        <f>IF(I1439&lt;=H1439,1,0)</f>
        <v/>
      </c>
      <c r="O1439" s="4">
        <f>IF(J1439&lt;=G1439,1,0)</f>
        <v/>
      </c>
      <c r="P1439" s="4">
        <f>MAX(0,I1439-H1439)</f>
        <v/>
      </c>
      <c r="Q1439" s="4">
        <f>MAX(0,J1439-G1439)</f>
        <v/>
      </c>
      <c r="R1439" s="4">
        <f>IF(AND(N1439=1,O1439=1),"On Track",IF(O1439=0,"Customer Delivery Late","Ship Late"))</f>
        <v/>
      </c>
    </row>
    <row r="1440">
      <c r="A1440" s="2" t="inlineStr">
        <is>
          <t>ORD-01439</t>
        </is>
      </c>
      <c r="B1440" s="2" t="inlineStr">
        <is>
          <t>Customer 29</t>
        </is>
      </c>
      <c r="C1440" s="2" t="inlineStr">
        <is>
          <t>Power Supply</t>
        </is>
      </c>
      <c r="D1440" s="2" t="inlineStr">
        <is>
          <t>Plant A</t>
        </is>
      </c>
      <c r="E1440" s="2" t="inlineStr">
        <is>
          <t>Central</t>
        </is>
      </c>
      <c r="F1440" s="12" t="n">
        <v>46152</v>
      </c>
      <c r="G1440" s="12" t="n">
        <v>46176</v>
      </c>
      <c r="H1440" s="12" t="n">
        <v>46175</v>
      </c>
      <c r="I1440" s="12" t="n">
        <v>46173</v>
      </c>
      <c r="J1440" s="12" t="n">
        <v>46174</v>
      </c>
      <c r="K1440" s="2" t="n">
        <v>867</v>
      </c>
      <c r="L1440" s="2" t="inlineStr">
        <is>
          <t>Air</t>
        </is>
      </c>
      <c r="M1440" s="2" t="inlineStr">
        <is>
          <t>No Delay</t>
        </is>
      </c>
      <c r="N1440" s="4">
        <f>IF(I1440&lt;=H1440,1,0)</f>
        <v/>
      </c>
      <c r="O1440" s="4">
        <f>IF(J1440&lt;=G1440,1,0)</f>
        <v/>
      </c>
      <c r="P1440" s="4">
        <f>MAX(0,I1440-H1440)</f>
        <v/>
      </c>
      <c r="Q1440" s="4">
        <f>MAX(0,J1440-G1440)</f>
        <v/>
      </c>
      <c r="R1440" s="4">
        <f>IF(AND(N1440=1,O1440=1),"On Track",IF(O1440=0,"Customer Delivery Late","Ship Late"))</f>
        <v/>
      </c>
    </row>
    <row r="1441">
      <c r="A1441" s="2" t="inlineStr">
        <is>
          <t>ORD-01440</t>
        </is>
      </c>
      <c r="B1441" s="2" t="inlineStr">
        <is>
          <t>Customer 30</t>
        </is>
      </c>
      <c r="C1441" s="2" t="inlineStr">
        <is>
          <t>Breaker</t>
        </is>
      </c>
      <c r="D1441" s="2" t="inlineStr">
        <is>
          <t>Plant A</t>
        </is>
      </c>
      <c r="E1441" s="2" t="inlineStr">
        <is>
          <t>Export</t>
        </is>
      </c>
      <c r="F1441" s="12" t="n">
        <v>46202</v>
      </c>
      <c r="G1441" s="12" t="n">
        <v>46216</v>
      </c>
      <c r="H1441" s="12" t="n">
        <v>46215</v>
      </c>
      <c r="I1441" s="12" t="n">
        <v>46215</v>
      </c>
      <c r="J1441" s="12" t="n">
        <v>46217</v>
      </c>
      <c r="K1441" s="2" t="n">
        <v>338</v>
      </c>
      <c r="L1441" s="2" t="inlineStr">
        <is>
          <t>Road</t>
        </is>
      </c>
      <c r="M1441" s="2" t="inlineStr">
        <is>
          <t>Production Delay</t>
        </is>
      </c>
      <c r="N1441" s="4">
        <f>IF(I1441&lt;=H1441,1,0)</f>
        <v/>
      </c>
      <c r="O1441" s="4">
        <f>IF(J1441&lt;=G1441,1,0)</f>
        <v/>
      </c>
      <c r="P1441" s="4">
        <f>MAX(0,I1441-H1441)</f>
        <v/>
      </c>
      <c r="Q1441" s="4">
        <f>MAX(0,J1441-G1441)</f>
        <v/>
      </c>
      <c r="R1441" s="4">
        <f>IF(AND(N1441=1,O1441=1),"On Track",IF(O1441=0,"Customer Delivery Late","Ship Late"))</f>
        <v/>
      </c>
    </row>
    <row r="1442">
      <c r="A1442" s="2" t="inlineStr">
        <is>
          <t>ORD-01441</t>
        </is>
      </c>
      <c r="B1442" s="2" t="inlineStr">
        <is>
          <t>Customer 16</t>
        </is>
      </c>
      <c r="C1442" s="2" t="inlineStr">
        <is>
          <t>Sensor</t>
        </is>
      </c>
      <c r="D1442" s="2" t="inlineStr">
        <is>
          <t>Plant B</t>
        </is>
      </c>
      <c r="E1442" s="2" t="inlineStr">
        <is>
          <t>Central</t>
        </is>
      </c>
      <c r="F1442" s="12" t="n">
        <v>46053</v>
      </c>
      <c r="G1442" s="12" t="n">
        <v>46063</v>
      </c>
      <c r="H1442" s="12" t="n">
        <v>46061</v>
      </c>
      <c r="I1442" s="12" t="n">
        <v>46060</v>
      </c>
      <c r="J1442" s="12" t="n">
        <v>46062</v>
      </c>
      <c r="K1442" s="2" t="n">
        <v>657</v>
      </c>
      <c r="L1442" s="2" t="inlineStr">
        <is>
          <t>Sea</t>
        </is>
      </c>
      <c r="M1442" s="2" t="inlineStr">
        <is>
          <t>No Delay</t>
        </is>
      </c>
      <c r="N1442" s="4">
        <f>IF(I1442&lt;=H1442,1,0)</f>
        <v/>
      </c>
      <c r="O1442" s="4">
        <f>IF(J1442&lt;=G1442,1,0)</f>
        <v/>
      </c>
      <c r="P1442" s="4">
        <f>MAX(0,I1442-H1442)</f>
        <v/>
      </c>
      <c r="Q1442" s="4">
        <f>MAX(0,J1442-G1442)</f>
        <v/>
      </c>
      <c r="R1442" s="4">
        <f>IF(AND(N1442=1,O1442=1),"On Track",IF(O1442=0,"Customer Delivery Late","Ship Late"))</f>
        <v/>
      </c>
    </row>
    <row r="1443">
      <c r="A1443" s="2" t="inlineStr">
        <is>
          <t>ORD-01442</t>
        </is>
      </c>
      <c r="B1443" s="2" t="inlineStr">
        <is>
          <t>Customer 30</t>
        </is>
      </c>
      <c r="C1443" s="2" t="inlineStr">
        <is>
          <t>Sensor</t>
        </is>
      </c>
      <c r="D1443" s="2" t="inlineStr">
        <is>
          <t>Plant C</t>
        </is>
      </c>
      <c r="E1443" s="2" t="inlineStr">
        <is>
          <t>Export</t>
        </is>
      </c>
      <c r="F1443" s="12" t="n">
        <v>46040</v>
      </c>
      <c r="G1443" s="12" t="n">
        <v>46057</v>
      </c>
      <c r="H1443" s="12" t="n">
        <v>46056</v>
      </c>
      <c r="I1443" s="12" t="n">
        <v>46054</v>
      </c>
      <c r="J1443" s="12" t="n">
        <v>46055</v>
      </c>
      <c r="K1443" s="2" t="n">
        <v>132</v>
      </c>
      <c r="L1443" s="2" t="inlineStr">
        <is>
          <t>Road</t>
        </is>
      </c>
      <c r="M1443" s="2" t="inlineStr">
        <is>
          <t>No Delay</t>
        </is>
      </c>
      <c r="N1443" s="4">
        <f>IF(I1443&lt;=H1443,1,0)</f>
        <v/>
      </c>
      <c r="O1443" s="4">
        <f>IF(J1443&lt;=G1443,1,0)</f>
        <v/>
      </c>
      <c r="P1443" s="4">
        <f>MAX(0,I1443-H1443)</f>
        <v/>
      </c>
      <c r="Q1443" s="4">
        <f>MAX(0,J1443-G1443)</f>
        <v/>
      </c>
      <c r="R1443" s="4">
        <f>IF(AND(N1443=1,O1443=1),"On Track",IF(O1443=0,"Customer Delivery Late","Ship Late"))</f>
        <v/>
      </c>
    </row>
    <row r="1444">
      <c r="A1444" s="2" t="inlineStr">
        <is>
          <t>ORD-01443</t>
        </is>
      </c>
      <c r="B1444" s="2" t="inlineStr">
        <is>
          <t>Customer 18</t>
        </is>
      </c>
      <c r="C1444" s="2" t="inlineStr">
        <is>
          <t>Relay</t>
        </is>
      </c>
      <c r="D1444" s="2" t="inlineStr">
        <is>
          <t>Plant A</t>
        </is>
      </c>
      <c r="E1444" s="2" t="inlineStr">
        <is>
          <t>North</t>
        </is>
      </c>
      <c r="F1444" s="12" t="n">
        <v>46160</v>
      </c>
      <c r="G1444" s="12" t="n">
        <v>46165</v>
      </c>
      <c r="H1444" s="12" t="n">
        <v>46164</v>
      </c>
      <c r="I1444" s="12" t="n">
        <v>46164</v>
      </c>
      <c r="J1444" s="12" t="n">
        <v>46165</v>
      </c>
      <c r="K1444" s="2" t="n">
        <v>364</v>
      </c>
      <c r="L1444" s="2" t="inlineStr">
        <is>
          <t>Sea</t>
        </is>
      </c>
      <c r="M1444" s="2" t="inlineStr">
        <is>
          <t>No Delay</t>
        </is>
      </c>
      <c r="N1444" s="4">
        <f>IF(I1444&lt;=H1444,1,0)</f>
        <v/>
      </c>
      <c r="O1444" s="4">
        <f>IF(J1444&lt;=G1444,1,0)</f>
        <v/>
      </c>
      <c r="P1444" s="4">
        <f>MAX(0,I1444-H1444)</f>
        <v/>
      </c>
      <c r="Q1444" s="4">
        <f>MAX(0,J1444-G1444)</f>
        <v/>
      </c>
      <c r="R1444" s="4">
        <f>IF(AND(N1444=1,O1444=1),"On Track",IF(O1444=0,"Customer Delivery Late","Ship Late"))</f>
        <v/>
      </c>
    </row>
    <row r="1445">
      <c r="A1445" s="2" t="inlineStr">
        <is>
          <t>ORD-01444</t>
        </is>
      </c>
      <c r="B1445" s="2" t="inlineStr">
        <is>
          <t>Customer 23</t>
        </is>
      </c>
      <c r="C1445" s="2" t="inlineStr">
        <is>
          <t>Power Supply</t>
        </is>
      </c>
      <c r="D1445" s="2" t="inlineStr">
        <is>
          <t>Plant B</t>
        </is>
      </c>
      <c r="E1445" s="2" t="inlineStr">
        <is>
          <t>Central</t>
        </is>
      </c>
      <c r="F1445" s="12" t="n">
        <v>46175</v>
      </c>
      <c r="G1445" s="12" t="n">
        <v>46191</v>
      </c>
      <c r="H1445" s="12" t="n">
        <v>46187</v>
      </c>
      <c r="I1445" s="12" t="n">
        <v>46185</v>
      </c>
      <c r="J1445" s="12" t="n">
        <v>46189</v>
      </c>
      <c r="K1445" s="2" t="n">
        <v>1317</v>
      </c>
      <c r="L1445" s="2" t="inlineStr">
        <is>
          <t>Air</t>
        </is>
      </c>
      <c r="M1445" s="2" t="inlineStr">
        <is>
          <t>No Delay</t>
        </is>
      </c>
      <c r="N1445" s="4">
        <f>IF(I1445&lt;=H1445,1,0)</f>
        <v/>
      </c>
      <c r="O1445" s="4">
        <f>IF(J1445&lt;=G1445,1,0)</f>
        <v/>
      </c>
      <c r="P1445" s="4">
        <f>MAX(0,I1445-H1445)</f>
        <v/>
      </c>
      <c r="Q1445" s="4">
        <f>MAX(0,J1445-G1445)</f>
        <v/>
      </c>
      <c r="R1445" s="4">
        <f>IF(AND(N1445=1,O1445=1),"On Track",IF(O1445=0,"Customer Delivery Late","Ship Late"))</f>
        <v/>
      </c>
    </row>
    <row r="1446">
      <c r="A1446" s="2" t="inlineStr">
        <is>
          <t>ORD-01445</t>
        </is>
      </c>
      <c r="B1446" s="2" t="inlineStr">
        <is>
          <t>Customer 24</t>
        </is>
      </c>
      <c r="C1446" s="2" t="inlineStr">
        <is>
          <t>Switchgear</t>
        </is>
      </c>
      <c r="D1446" s="2" t="inlineStr">
        <is>
          <t>Plant B</t>
        </is>
      </c>
      <c r="E1446" s="2" t="inlineStr">
        <is>
          <t>Central</t>
        </is>
      </c>
      <c r="F1446" s="12" t="n">
        <v>46042</v>
      </c>
      <c r="G1446" s="12" t="n">
        <v>46051</v>
      </c>
      <c r="H1446" s="12" t="n">
        <v>46050</v>
      </c>
      <c r="I1446" s="12" t="n">
        <v>46048</v>
      </c>
      <c r="J1446" s="12" t="n">
        <v>46050</v>
      </c>
      <c r="K1446" s="2" t="n">
        <v>890</v>
      </c>
      <c r="L1446" s="2" t="inlineStr">
        <is>
          <t>Air</t>
        </is>
      </c>
      <c r="M1446" s="2" t="inlineStr">
        <is>
          <t>No Delay</t>
        </is>
      </c>
      <c r="N1446" s="4">
        <f>IF(I1446&lt;=H1446,1,0)</f>
        <v/>
      </c>
      <c r="O1446" s="4">
        <f>IF(J1446&lt;=G1446,1,0)</f>
        <v/>
      </c>
      <c r="P1446" s="4">
        <f>MAX(0,I1446-H1446)</f>
        <v/>
      </c>
      <c r="Q1446" s="4">
        <f>MAX(0,J1446-G1446)</f>
        <v/>
      </c>
      <c r="R1446" s="4">
        <f>IF(AND(N1446=1,O1446=1),"On Track",IF(O1446=0,"Customer Delivery Late","Ship Late"))</f>
        <v/>
      </c>
    </row>
    <row r="1447">
      <c r="A1447" s="2" t="inlineStr">
        <is>
          <t>ORD-01446</t>
        </is>
      </c>
      <c r="B1447" s="2" t="inlineStr">
        <is>
          <t>Customer 27</t>
        </is>
      </c>
      <c r="C1447" s="2" t="inlineStr">
        <is>
          <t>Relay</t>
        </is>
      </c>
      <c r="D1447" s="2" t="inlineStr">
        <is>
          <t>Plant B</t>
        </is>
      </c>
      <c r="E1447" s="2" t="inlineStr">
        <is>
          <t>South</t>
        </is>
      </c>
      <c r="F1447" s="12" t="n">
        <v>46201</v>
      </c>
      <c r="G1447" s="12" t="n">
        <v>46224</v>
      </c>
      <c r="H1447" s="12" t="n">
        <v>46220</v>
      </c>
      <c r="I1447" s="12" t="n">
        <v>46220</v>
      </c>
      <c r="J1447" s="12" t="n">
        <v>46224</v>
      </c>
      <c r="K1447" s="2" t="n">
        <v>1062</v>
      </c>
      <c r="L1447" s="2" t="inlineStr">
        <is>
          <t>Road</t>
        </is>
      </c>
      <c r="M1447" s="2" t="inlineStr">
        <is>
          <t>No Delay</t>
        </is>
      </c>
      <c r="N1447" s="4">
        <f>IF(I1447&lt;=H1447,1,0)</f>
        <v/>
      </c>
      <c r="O1447" s="4">
        <f>IF(J1447&lt;=G1447,1,0)</f>
        <v/>
      </c>
      <c r="P1447" s="4">
        <f>MAX(0,I1447-H1447)</f>
        <v/>
      </c>
      <c r="Q1447" s="4">
        <f>MAX(0,J1447-G1447)</f>
        <v/>
      </c>
      <c r="R1447" s="4">
        <f>IF(AND(N1447=1,O1447=1),"On Track",IF(O1447=0,"Customer Delivery Late","Ship Late"))</f>
        <v/>
      </c>
    </row>
    <row r="1448">
      <c r="A1448" s="2" t="inlineStr">
        <is>
          <t>ORD-01447</t>
        </is>
      </c>
      <c r="B1448" s="2" t="inlineStr">
        <is>
          <t>Customer 12</t>
        </is>
      </c>
      <c r="C1448" s="2" t="inlineStr">
        <is>
          <t>Sensor</t>
        </is>
      </c>
      <c r="D1448" s="2" t="inlineStr">
        <is>
          <t>Plant A</t>
        </is>
      </c>
      <c r="E1448" s="2" t="inlineStr">
        <is>
          <t>North</t>
        </is>
      </c>
      <c r="F1448" s="12" t="n">
        <v>46102</v>
      </c>
      <c r="G1448" s="12" t="n">
        <v>46111</v>
      </c>
      <c r="H1448" s="12" t="n">
        <v>46110</v>
      </c>
      <c r="I1448" s="12" t="n">
        <v>46110</v>
      </c>
      <c r="J1448" s="12" t="n">
        <v>46112</v>
      </c>
      <c r="K1448" s="2" t="n">
        <v>1394</v>
      </c>
      <c r="L1448" s="2" t="inlineStr">
        <is>
          <t>Air</t>
        </is>
      </c>
      <c r="M1448" s="2" t="inlineStr">
        <is>
          <t>Carrier Delay</t>
        </is>
      </c>
      <c r="N1448" s="4">
        <f>IF(I1448&lt;=H1448,1,0)</f>
        <v/>
      </c>
      <c r="O1448" s="4">
        <f>IF(J1448&lt;=G1448,1,0)</f>
        <v/>
      </c>
      <c r="P1448" s="4">
        <f>MAX(0,I1448-H1448)</f>
        <v/>
      </c>
      <c r="Q1448" s="4">
        <f>MAX(0,J1448-G1448)</f>
        <v/>
      </c>
      <c r="R1448" s="4">
        <f>IF(AND(N1448=1,O1448=1),"On Track",IF(O1448=0,"Customer Delivery Late","Ship Late"))</f>
        <v/>
      </c>
    </row>
    <row r="1449">
      <c r="A1449" s="2" t="inlineStr">
        <is>
          <t>ORD-01448</t>
        </is>
      </c>
      <c r="B1449" s="2" t="inlineStr">
        <is>
          <t>Customer 28</t>
        </is>
      </c>
      <c r="C1449" s="2" t="inlineStr">
        <is>
          <t>Contactor</t>
        </is>
      </c>
      <c r="D1449" s="2" t="inlineStr">
        <is>
          <t>Plant A</t>
        </is>
      </c>
      <c r="E1449" s="2" t="inlineStr">
        <is>
          <t>Central</t>
        </is>
      </c>
      <c r="F1449" s="12" t="n">
        <v>46088</v>
      </c>
      <c r="G1449" s="12" t="n">
        <v>46102</v>
      </c>
      <c r="H1449" s="12" t="n">
        <v>46099</v>
      </c>
      <c r="I1449" s="12" t="n">
        <v>46098</v>
      </c>
      <c r="J1449" s="12" t="n">
        <v>46101</v>
      </c>
      <c r="K1449" s="2" t="n">
        <v>406</v>
      </c>
      <c r="L1449" s="2" t="inlineStr">
        <is>
          <t>Road</t>
        </is>
      </c>
      <c r="M1449" s="2" t="inlineStr">
        <is>
          <t>No Delay</t>
        </is>
      </c>
      <c r="N1449" s="4">
        <f>IF(I1449&lt;=H1449,1,0)</f>
        <v/>
      </c>
      <c r="O1449" s="4">
        <f>IF(J1449&lt;=G1449,1,0)</f>
        <v/>
      </c>
      <c r="P1449" s="4">
        <f>MAX(0,I1449-H1449)</f>
        <v/>
      </c>
      <c r="Q1449" s="4">
        <f>MAX(0,J1449-G1449)</f>
        <v/>
      </c>
      <c r="R1449" s="4">
        <f>IF(AND(N1449=1,O1449=1),"On Track",IF(O1449=0,"Customer Delivery Late","Ship Late"))</f>
        <v/>
      </c>
    </row>
    <row r="1450">
      <c r="A1450" s="2" t="inlineStr">
        <is>
          <t>ORD-01449</t>
        </is>
      </c>
      <c r="B1450" s="2" t="inlineStr">
        <is>
          <t>Customer 15</t>
        </is>
      </c>
      <c r="C1450" s="2" t="inlineStr">
        <is>
          <t>Switchgear</t>
        </is>
      </c>
      <c r="D1450" s="2" t="inlineStr">
        <is>
          <t>Plant B</t>
        </is>
      </c>
      <c r="E1450" s="2" t="inlineStr">
        <is>
          <t>Central</t>
        </is>
      </c>
      <c r="F1450" s="12" t="n">
        <v>46137</v>
      </c>
      <c r="G1450" s="12" t="n">
        <v>46151</v>
      </c>
      <c r="H1450" s="12" t="n">
        <v>46146</v>
      </c>
      <c r="I1450" s="12" t="n">
        <v>46146</v>
      </c>
      <c r="J1450" s="12" t="n">
        <v>46152</v>
      </c>
      <c r="K1450" s="2" t="n">
        <v>507</v>
      </c>
      <c r="L1450" s="2" t="inlineStr">
        <is>
          <t>Sea</t>
        </is>
      </c>
      <c r="M1450" s="2" t="inlineStr">
        <is>
          <t>Material Shortage</t>
        </is>
      </c>
      <c r="N1450" s="4">
        <f>IF(I1450&lt;=H1450,1,0)</f>
        <v/>
      </c>
      <c r="O1450" s="4">
        <f>IF(J1450&lt;=G1450,1,0)</f>
        <v/>
      </c>
      <c r="P1450" s="4">
        <f>MAX(0,I1450-H1450)</f>
        <v/>
      </c>
      <c r="Q1450" s="4">
        <f>MAX(0,J1450-G1450)</f>
        <v/>
      </c>
      <c r="R1450" s="4">
        <f>IF(AND(N1450=1,O1450=1),"On Track",IF(O1450=0,"Customer Delivery Late","Ship Late"))</f>
        <v/>
      </c>
    </row>
    <row r="1451">
      <c r="A1451" s="2" t="inlineStr">
        <is>
          <t>ORD-01450</t>
        </is>
      </c>
      <c r="B1451" s="2" t="inlineStr">
        <is>
          <t>Customer 22</t>
        </is>
      </c>
      <c r="C1451" s="2" t="inlineStr">
        <is>
          <t>Relay</t>
        </is>
      </c>
      <c r="D1451" s="2" t="inlineStr">
        <is>
          <t>Plant A</t>
        </is>
      </c>
      <c r="E1451" s="2" t="inlineStr">
        <is>
          <t>Export</t>
        </is>
      </c>
      <c r="F1451" s="12" t="n">
        <v>46098</v>
      </c>
      <c r="G1451" s="12" t="n">
        <v>46123</v>
      </c>
      <c r="H1451" s="12" t="n">
        <v>46121</v>
      </c>
      <c r="I1451" s="12" t="n">
        <v>46119</v>
      </c>
      <c r="J1451" s="12" t="n">
        <v>46122</v>
      </c>
      <c r="K1451" s="2" t="n">
        <v>734</v>
      </c>
      <c r="L1451" s="2" t="inlineStr">
        <is>
          <t>Sea</t>
        </is>
      </c>
      <c r="M1451" s="2" t="inlineStr">
        <is>
          <t>No Delay</t>
        </is>
      </c>
      <c r="N1451" s="4">
        <f>IF(I1451&lt;=H1451,1,0)</f>
        <v/>
      </c>
      <c r="O1451" s="4">
        <f>IF(J1451&lt;=G1451,1,0)</f>
        <v/>
      </c>
      <c r="P1451" s="4">
        <f>MAX(0,I1451-H1451)</f>
        <v/>
      </c>
      <c r="Q1451" s="4">
        <f>MAX(0,J1451-G1451)</f>
        <v/>
      </c>
      <c r="R1451" s="4">
        <f>IF(AND(N1451=1,O1451=1),"On Track",IF(O1451=0,"Customer Delivery Late","Ship Late"))</f>
        <v/>
      </c>
    </row>
    <row r="1452">
      <c r="A1452" s="2" t="inlineStr">
        <is>
          <t>ORD-01451</t>
        </is>
      </c>
      <c r="B1452" s="2" t="inlineStr">
        <is>
          <t>Customer 09</t>
        </is>
      </c>
      <c r="C1452" s="2" t="inlineStr">
        <is>
          <t>Drive</t>
        </is>
      </c>
      <c r="D1452" s="2" t="inlineStr">
        <is>
          <t>Plant C</t>
        </is>
      </c>
      <c r="E1452" s="2" t="inlineStr">
        <is>
          <t>Central</t>
        </is>
      </c>
      <c r="F1452" s="12" t="n">
        <v>46026</v>
      </c>
      <c r="G1452" s="12" t="n">
        <v>46051</v>
      </c>
      <c r="H1452" s="12" t="n">
        <v>46046</v>
      </c>
      <c r="I1452" s="12" t="n">
        <v>46044</v>
      </c>
      <c r="J1452" s="12" t="n">
        <v>46049</v>
      </c>
      <c r="K1452" s="2" t="n">
        <v>77</v>
      </c>
      <c r="L1452" s="2" t="inlineStr">
        <is>
          <t>Air</t>
        </is>
      </c>
      <c r="M1452" s="2" t="inlineStr">
        <is>
          <t>No Delay</t>
        </is>
      </c>
      <c r="N1452" s="4">
        <f>IF(I1452&lt;=H1452,1,0)</f>
        <v/>
      </c>
      <c r="O1452" s="4">
        <f>IF(J1452&lt;=G1452,1,0)</f>
        <v/>
      </c>
      <c r="P1452" s="4">
        <f>MAX(0,I1452-H1452)</f>
        <v/>
      </c>
      <c r="Q1452" s="4">
        <f>MAX(0,J1452-G1452)</f>
        <v/>
      </c>
      <c r="R1452" s="4">
        <f>IF(AND(N1452=1,O1452=1),"On Track",IF(O1452=0,"Customer Delivery Late","Ship Late"))</f>
        <v/>
      </c>
    </row>
    <row r="1453">
      <c r="A1453" s="2" t="inlineStr">
        <is>
          <t>ORD-01452</t>
        </is>
      </c>
      <c r="B1453" s="2" t="inlineStr">
        <is>
          <t>Customer 08</t>
        </is>
      </c>
      <c r="C1453" s="2" t="inlineStr">
        <is>
          <t>Drive</t>
        </is>
      </c>
      <c r="D1453" s="2" t="inlineStr">
        <is>
          <t>Plant A</t>
        </is>
      </c>
      <c r="E1453" s="2" t="inlineStr">
        <is>
          <t>South</t>
        </is>
      </c>
      <c r="F1453" s="12" t="n">
        <v>46178</v>
      </c>
      <c r="G1453" s="12" t="n">
        <v>46190</v>
      </c>
      <c r="H1453" s="12" t="n">
        <v>46187</v>
      </c>
      <c r="I1453" s="12" t="n">
        <v>46187</v>
      </c>
      <c r="J1453" s="12" t="n">
        <v>46190</v>
      </c>
      <c r="K1453" s="2" t="n">
        <v>34</v>
      </c>
      <c r="L1453" s="2" t="inlineStr">
        <is>
          <t>Road</t>
        </is>
      </c>
      <c r="M1453" s="2" t="inlineStr">
        <is>
          <t>No Delay</t>
        </is>
      </c>
      <c r="N1453" s="4">
        <f>IF(I1453&lt;=H1453,1,0)</f>
        <v/>
      </c>
      <c r="O1453" s="4">
        <f>IF(J1453&lt;=G1453,1,0)</f>
        <v/>
      </c>
      <c r="P1453" s="4">
        <f>MAX(0,I1453-H1453)</f>
        <v/>
      </c>
      <c r="Q1453" s="4">
        <f>MAX(0,J1453-G1453)</f>
        <v/>
      </c>
      <c r="R1453" s="4">
        <f>IF(AND(N1453=1,O1453=1),"On Track",IF(O1453=0,"Customer Delivery Late","Ship Late"))</f>
        <v/>
      </c>
    </row>
    <row r="1454">
      <c r="A1454" s="2" t="inlineStr">
        <is>
          <t>ORD-01453</t>
        </is>
      </c>
      <c r="B1454" s="2" t="inlineStr">
        <is>
          <t>Customer 10</t>
        </is>
      </c>
      <c r="C1454" s="2" t="inlineStr">
        <is>
          <t>Contactor</t>
        </is>
      </c>
      <c r="D1454" s="2" t="inlineStr">
        <is>
          <t>Plant B</t>
        </is>
      </c>
      <c r="E1454" s="2" t="inlineStr">
        <is>
          <t>South</t>
        </is>
      </c>
      <c r="F1454" s="12" t="n">
        <v>46202</v>
      </c>
      <c r="G1454" s="12" t="n">
        <v>46227</v>
      </c>
      <c r="H1454" s="12" t="n">
        <v>46226</v>
      </c>
      <c r="I1454" s="12" t="n">
        <v>46226</v>
      </c>
      <c r="J1454" s="12" t="n">
        <v>46227</v>
      </c>
      <c r="K1454" s="2" t="n">
        <v>362</v>
      </c>
      <c r="L1454" s="2" t="inlineStr">
        <is>
          <t>Air</t>
        </is>
      </c>
      <c r="M1454" s="2" t="inlineStr">
        <is>
          <t>No Delay</t>
        </is>
      </c>
      <c r="N1454" s="4">
        <f>IF(I1454&lt;=H1454,1,0)</f>
        <v/>
      </c>
      <c r="O1454" s="4">
        <f>IF(J1454&lt;=G1454,1,0)</f>
        <v/>
      </c>
      <c r="P1454" s="4">
        <f>MAX(0,I1454-H1454)</f>
        <v/>
      </c>
      <c r="Q1454" s="4">
        <f>MAX(0,J1454-G1454)</f>
        <v/>
      </c>
      <c r="R1454" s="4">
        <f>IF(AND(N1454=1,O1454=1),"On Track",IF(O1454=0,"Customer Delivery Late","Ship Late"))</f>
        <v/>
      </c>
    </row>
    <row r="1455">
      <c r="A1455" s="2" t="inlineStr">
        <is>
          <t>ORD-01454</t>
        </is>
      </c>
      <c r="B1455" s="2" t="inlineStr">
        <is>
          <t>Customer 18</t>
        </is>
      </c>
      <c r="C1455" s="2" t="inlineStr">
        <is>
          <t>Drive</t>
        </is>
      </c>
      <c r="D1455" s="2" t="inlineStr">
        <is>
          <t>Plant C</t>
        </is>
      </c>
      <c r="E1455" s="2" t="inlineStr">
        <is>
          <t>North</t>
        </is>
      </c>
      <c r="F1455" s="12" t="n">
        <v>46088</v>
      </c>
      <c r="G1455" s="12" t="n">
        <v>46101</v>
      </c>
      <c r="H1455" s="12" t="n">
        <v>46098</v>
      </c>
      <c r="I1455" s="12" t="n">
        <v>46097</v>
      </c>
      <c r="J1455" s="12" t="n">
        <v>46101</v>
      </c>
      <c r="K1455" s="2" t="n">
        <v>983</v>
      </c>
      <c r="L1455" s="2" t="inlineStr">
        <is>
          <t>Sea</t>
        </is>
      </c>
      <c r="M1455" s="2" t="inlineStr">
        <is>
          <t>No Delay</t>
        </is>
      </c>
      <c r="N1455" s="4">
        <f>IF(I1455&lt;=H1455,1,0)</f>
        <v/>
      </c>
      <c r="O1455" s="4">
        <f>IF(J1455&lt;=G1455,1,0)</f>
        <v/>
      </c>
      <c r="P1455" s="4">
        <f>MAX(0,I1455-H1455)</f>
        <v/>
      </c>
      <c r="Q1455" s="4">
        <f>MAX(0,J1455-G1455)</f>
        <v/>
      </c>
      <c r="R1455" s="4">
        <f>IF(AND(N1455=1,O1455=1),"On Track",IF(O1455=0,"Customer Delivery Late","Ship Late"))</f>
        <v/>
      </c>
    </row>
    <row r="1456">
      <c r="A1456" s="2" t="inlineStr">
        <is>
          <t>ORD-01455</t>
        </is>
      </c>
      <c r="B1456" s="2" t="inlineStr">
        <is>
          <t>Customer 21</t>
        </is>
      </c>
      <c r="C1456" s="2" t="inlineStr">
        <is>
          <t>Drive</t>
        </is>
      </c>
      <c r="D1456" s="2" t="inlineStr">
        <is>
          <t>Plant A</t>
        </is>
      </c>
      <c r="E1456" s="2" t="inlineStr">
        <is>
          <t>North</t>
        </is>
      </c>
      <c r="F1456" s="12" t="n">
        <v>46181</v>
      </c>
      <c r="G1456" s="12" t="n">
        <v>46192</v>
      </c>
      <c r="H1456" s="12" t="n">
        <v>46188</v>
      </c>
      <c r="I1456" s="12" t="n">
        <v>46188</v>
      </c>
      <c r="J1456" s="12" t="n">
        <v>46191</v>
      </c>
      <c r="K1456" s="2" t="n">
        <v>311</v>
      </c>
      <c r="L1456" s="2" t="inlineStr">
        <is>
          <t>Sea</t>
        </is>
      </c>
      <c r="M1456" s="2" t="inlineStr">
        <is>
          <t>No Delay</t>
        </is>
      </c>
      <c r="N1456" s="4">
        <f>IF(I1456&lt;=H1456,1,0)</f>
        <v/>
      </c>
      <c r="O1456" s="4">
        <f>IF(J1456&lt;=G1456,1,0)</f>
        <v/>
      </c>
      <c r="P1456" s="4">
        <f>MAX(0,I1456-H1456)</f>
        <v/>
      </c>
      <c r="Q1456" s="4">
        <f>MAX(0,J1456-G1456)</f>
        <v/>
      </c>
      <c r="R1456" s="4">
        <f>IF(AND(N1456=1,O1456=1),"On Track",IF(O1456=0,"Customer Delivery Late","Ship Late"))</f>
        <v/>
      </c>
    </row>
    <row r="1457">
      <c r="A1457" s="2" t="inlineStr">
        <is>
          <t>ORD-01456</t>
        </is>
      </c>
      <c r="B1457" s="2" t="inlineStr">
        <is>
          <t>Customer 19</t>
        </is>
      </c>
      <c r="C1457" s="2" t="inlineStr">
        <is>
          <t>Relay</t>
        </is>
      </c>
      <c r="D1457" s="2" t="inlineStr">
        <is>
          <t>Plant C</t>
        </is>
      </c>
      <c r="E1457" s="2" t="inlineStr">
        <is>
          <t>North</t>
        </is>
      </c>
      <c r="F1457" s="12" t="n">
        <v>46139</v>
      </c>
      <c r="G1457" s="12" t="n">
        <v>46160</v>
      </c>
      <c r="H1457" s="12" t="n">
        <v>46155</v>
      </c>
      <c r="I1457" s="12" t="n">
        <v>46155</v>
      </c>
      <c r="J1457" s="12" t="n">
        <v>46161</v>
      </c>
      <c r="K1457" s="2" t="n">
        <v>636</v>
      </c>
      <c r="L1457" s="2" t="inlineStr">
        <is>
          <t>Air</t>
        </is>
      </c>
      <c r="M1457" s="2" t="inlineStr">
        <is>
          <t>Documentation Issue</t>
        </is>
      </c>
      <c r="N1457" s="4">
        <f>IF(I1457&lt;=H1457,1,0)</f>
        <v/>
      </c>
      <c r="O1457" s="4">
        <f>IF(J1457&lt;=G1457,1,0)</f>
        <v/>
      </c>
      <c r="P1457" s="4">
        <f>MAX(0,I1457-H1457)</f>
        <v/>
      </c>
      <c r="Q1457" s="4">
        <f>MAX(0,J1457-G1457)</f>
        <v/>
      </c>
      <c r="R1457" s="4">
        <f>IF(AND(N1457=1,O1457=1),"On Track",IF(O1457=0,"Customer Delivery Late","Ship Late"))</f>
        <v/>
      </c>
    </row>
    <row r="1458">
      <c r="A1458" s="2" t="inlineStr">
        <is>
          <t>ORD-01457</t>
        </is>
      </c>
      <c r="B1458" s="2" t="inlineStr">
        <is>
          <t>Customer 09</t>
        </is>
      </c>
      <c r="C1458" s="2" t="inlineStr">
        <is>
          <t>Power Supply</t>
        </is>
      </c>
      <c r="D1458" s="2" t="inlineStr">
        <is>
          <t>Plant A</t>
        </is>
      </c>
      <c r="E1458" s="2" t="inlineStr">
        <is>
          <t>North</t>
        </is>
      </c>
      <c r="F1458" s="12" t="n">
        <v>46146</v>
      </c>
      <c r="G1458" s="12" t="n">
        <v>46169</v>
      </c>
      <c r="H1458" s="12" t="n">
        <v>46167</v>
      </c>
      <c r="I1458" s="12" t="n">
        <v>46165</v>
      </c>
      <c r="J1458" s="12" t="n">
        <v>46167</v>
      </c>
      <c r="K1458" s="2" t="n">
        <v>193</v>
      </c>
      <c r="L1458" s="2" t="inlineStr">
        <is>
          <t>Sea</t>
        </is>
      </c>
      <c r="M1458" s="2" t="inlineStr">
        <is>
          <t>No Delay</t>
        </is>
      </c>
      <c r="N1458" s="4">
        <f>IF(I1458&lt;=H1458,1,0)</f>
        <v/>
      </c>
      <c r="O1458" s="4">
        <f>IF(J1458&lt;=G1458,1,0)</f>
        <v/>
      </c>
      <c r="P1458" s="4">
        <f>MAX(0,I1458-H1458)</f>
        <v/>
      </c>
      <c r="Q1458" s="4">
        <f>MAX(0,J1458-G1458)</f>
        <v/>
      </c>
      <c r="R1458" s="4">
        <f>IF(AND(N1458=1,O1458=1),"On Track",IF(O1458=0,"Customer Delivery Late","Ship Late"))</f>
        <v/>
      </c>
    </row>
    <row r="1459">
      <c r="A1459" s="2" t="inlineStr">
        <is>
          <t>ORD-01458</t>
        </is>
      </c>
      <c r="B1459" s="2" t="inlineStr">
        <is>
          <t>Customer 27</t>
        </is>
      </c>
      <c r="C1459" s="2" t="inlineStr">
        <is>
          <t>PLC</t>
        </is>
      </c>
      <c r="D1459" s="2" t="inlineStr">
        <is>
          <t>Plant C</t>
        </is>
      </c>
      <c r="E1459" s="2" t="inlineStr">
        <is>
          <t>Export</t>
        </is>
      </c>
      <c r="F1459" s="12" t="n">
        <v>46176</v>
      </c>
      <c r="G1459" s="12" t="n">
        <v>46198</v>
      </c>
      <c r="H1459" s="12" t="n">
        <v>46194</v>
      </c>
      <c r="I1459" s="12" t="n">
        <v>46192</v>
      </c>
      <c r="J1459" s="12" t="n">
        <v>46196</v>
      </c>
      <c r="K1459" s="2" t="n">
        <v>343</v>
      </c>
      <c r="L1459" s="2" t="inlineStr">
        <is>
          <t>Sea</t>
        </is>
      </c>
      <c r="M1459" s="2" t="inlineStr">
        <is>
          <t>No Delay</t>
        </is>
      </c>
      <c r="N1459" s="4">
        <f>IF(I1459&lt;=H1459,1,0)</f>
        <v/>
      </c>
      <c r="O1459" s="4">
        <f>IF(J1459&lt;=G1459,1,0)</f>
        <v/>
      </c>
      <c r="P1459" s="4">
        <f>MAX(0,I1459-H1459)</f>
        <v/>
      </c>
      <c r="Q1459" s="4">
        <f>MAX(0,J1459-G1459)</f>
        <v/>
      </c>
      <c r="R1459" s="4">
        <f>IF(AND(N1459=1,O1459=1),"On Track",IF(O1459=0,"Customer Delivery Late","Ship Late"))</f>
        <v/>
      </c>
    </row>
    <row r="1460">
      <c r="A1460" s="2" t="inlineStr">
        <is>
          <t>ORD-01459</t>
        </is>
      </c>
      <c r="B1460" s="2" t="inlineStr">
        <is>
          <t>Customer 13</t>
        </is>
      </c>
      <c r="C1460" s="2" t="inlineStr">
        <is>
          <t>Relay</t>
        </is>
      </c>
      <c r="D1460" s="2" t="inlineStr">
        <is>
          <t>Plant C</t>
        </is>
      </c>
      <c r="E1460" s="2" t="inlineStr">
        <is>
          <t>Central</t>
        </is>
      </c>
      <c r="F1460" s="12" t="n">
        <v>46083</v>
      </c>
      <c r="G1460" s="12" t="n">
        <v>46095</v>
      </c>
      <c r="H1460" s="12" t="n">
        <v>46090</v>
      </c>
      <c r="I1460" s="12" t="n">
        <v>46088</v>
      </c>
      <c r="J1460" s="12" t="n">
        <v>46094</v>
      </c>
      <c r="K1460" s="2" t="n">
        <v>363</v>
      </c>
      <c r="L1460" s="2" t="inlineStr">
        <is>
          <t>Sea</t>
        </is>
      </c>
      <c r="M1460" s="2" t="inlineStr">
        <is>
          <t>No Delay</t>
        </is>
      </c>
      <c r="N1460" s="4">
        <f>IF(I1460&lt;=H1460,1,0)</f>
        <v/>
      </c>
      <c r="O1460" s="4">
        <f>IF(J1460&lt;=G1460,1,0)</f>
        <v/>
      </c>
      <c r="P1460" s="4">
        <f>MAX(0,I1460-H1460)</f>
        <v/>
      </c>
      <c r="Q1460" s="4">
        <f>MAX(0,J1460-G1460)</f>
        <v/>
      </c>
      <c r="R1460" s="4">
        <f>IF(AND(N1460=1,O1460=1),"On Track",IF(O1460=0,"Customer Delivery Late","Ship Late"))</f>
        <v/>
      </c>
    </row>
    <row r="1461">
      <c r="A1461" s="2" t="inlineStr">
        <is>
          <t>ORD-01460</t>
        </is>
      </c>
      <c r="B1461" s="2" t="inlineStr">
        <is>
          <t>Customer 27</t>
        </is>
      </c>
      <c r="C1461" s="2" t="inlineStr">
        <is>
          <t>Contactor</t>
        </is>
      </c>
      <c r="D1461" s="2" t="inlineStr">
        <is>
          <t>Plant A</t>
        </is>
      </c>
      <c r="E1461" s="2" t="inlineStr">
        <is>
          <t>Central</t>
        </is>
      </c>
      <c r="F1461" s="12" t="n">
        <v>46154</v>
      </c>
      <c r="G1461" s="12" t="n">
        <v>46160</v>
      </c>
      <c r="H1461" s="12" t="n">
        <v>46155</v>
      </c>
      <c r="I1461" s="12" t="n">
        <v>46153</v>
      </c>
      <c r="J1461" s="12" t="n">
        <v>46158</v>
      </c>
      <c r="K1461" s="2" t="n">
        <v>481</v>
      </c>
      <c r="L1461" s="2" t="inlineStr">
        <is>
          <t>Road</t>
        </is>
      </c>
      <c r="M1461" s="2" t="inlineStr">
        <is>
          <t>No Delay</t>
        </is>
      </c>
      <c r="N1461" s="4">
        <f>IF(I1461&lt;=H1461,1,0)</f>
        <v/>
      </c>
      <c r="O1461" s="4">
        <f>IF(J1461&lt;=G1461,1,0)</f>
        <v/>
      </c>
      <c r="P1461" s="4">
        <f>MAX(0,I1461-H1461)</f>
        <v/>
      </c>
      <c r="Q1461" s="4">
        <f>MAX(0,J1461-G1461)</f>
        <v/>
      </c>
      <c r="R1461" s="4">
        <f>IF(AND(N1461=1,O1461=1),"On Track",IF(O1461=0,"Customer Delivery Late","Ship Late"))</f>
        <v/>
      </c>
    </row>
    <row r="1462">
      <c r="A1462" s="2" t="inlineStr">
        <is>
          <t>ORD-01461</t>
        </is>
      </c>
      <c r="B1462" s="2" t="inlineStr">
        <is>
          <t>Customer 02</t>
        </is>
      </c>
      <c r="C1462" s="2" t="inlineStr">
        <is>
          <t>Breaker</t>
        </is>
      </c>
      <c r="D1462" s="2" t="inlineStr">
        <is>
          <t>Plant C</t>
        </is>
      </c>
      <c r="E1462" s="2" t="inlineStr">
        <is>
          <t>Export</t>
        </is>
      </c>
      <c r="F1462" s="12" t="n">
        <v>46023</v>
      </c>
      <c r="G1462" s="12" t="n">
        <v>46028</v>
      </c>
      <c r="H1462" s="12" t="n">
        <v>46027</v>
      </c>
      <c r="I1462" s="12" t="n">
        <v>46026</v>
      </c>
      <c r="J1462" s="12" t="n">
        <v>46027</v>
      </c>
      <c r="K1462" s="2" t="n">
        <v>1474</v>
      </c>
      <c r="L1462" s="2" t="inlineStr">
        <is>
          <t>Air</t>
        </is>
      </c>
      <c r="M1462" s="2" t="inlineStr">
        <is>
          <t>No Delay</t>
        </is>
      </c>
      <c r="N1462" s="4">
        <f>IF(I1462&lt;=H1462,1,0)</f>
        <v/>
      </c>
      <c r="O1462" s="4">
        <f>IF(J1462&lt;=G1462,1,0)</f>
        <v/>
      </c>
      <c r="P1462" s="4">
        <f>MAX(0,I1462-H1462)</f>
        <v/>
      </c>
      <c r="Q1462" s="4">
        <f>MAX(0,J1462-G1462)</f>
        <v/>
      </c>
      <c r="R1462" s="4">
        <f>IF(AND(N1462=1,O1462=1),"On Track",IF(O1462=0,"Customer Delivery Late","Ship Late"))</f>
        <v/>
      </c>
    </row>
    <row r="1463">
      <c r="A1463" s="2" t="inlineStr">
        <is>
          <t>ORD-01462</t>
        </is>
      </c>
      <c r="B1463" s="2" t="inlineStr">
        <is>
          <t>Customer 03</t>
        </is>
      </c>
      <c r="C1463" s="2" t="inlineStr">
        <is>
          <t>Sensor</t>
        </is>
      </c>
      <c r="D1463" s="2" t="inlineStr">
        <is>
          <t>Plant A</t>
        </is>
      </c>
      <c r="E1463" s="2" t="inlineStr">
        <is>
          <t>Central</t>
        </is>
      </c>
      <c r="F1463" s="12" t="n">
        <v>46054</v>
      </c>
      <c r="G1463" s="12" t="n">
        <v>46059</v>
      </c>
      <c r="H1463" s="12" t="n">
        <v>46054</v>
      </c>
      <c r="I1463" s="12" t="n">
        <v>46053</v>
      </c>
      <c r="J1463" s="12" t="n">
        <v>46058</v>
      </c>
      <c r="K1463" s="2" t="n">
        <v>1142</v>
      </c>
      <c r="L1463" s="2" t="inlineStr">
        <is>
          <t>Air</t>
        </is>
      </c>
      <c r="M1463" s="2" t="inlineStr">
        <is>
          <t>No Delay</t>
        </is>
      </c>
      <c r="N1463" s="4">
        <f>IF(I1463&lt;=H1463,1,0)</f>
        <v/>
      </c>
      <c r="O1463" s="4">
        <f>IF(J1463&lt;=G1463,1,0)</f>
        <v/>
      </c>
      <c r="P1463" s="4">
        <f>MAX(0,I1463-H1463)</f>
        <v/>
      </c>
      <c r="Q1463" s="4">
        <f>MAX(0,J1463-G1463)</f>
        <v/>
      </c>
      <c r="R1463" s="4">
        <f>IF(AND(N1463=1,O1463=1),"On Track",IF(O1463=0,"Customer Delivery Late","Ship Late"))</f>
        <v/>
      </c>
    </row>
    <row r="1464">
      <c r="A1464" s="2" t="inlineStr">
        <is>
          <t>ORD-01463</t>
        </is>
      </c>
      <c r="B1464" s="2" t="inlineStr">
        <is>
          <t>Customer 26</t>
        </is>
      </c>
      <c r="C1464" s="2" t="inlineStr">
        <is>
          <t>Relay</t>
        </is>
      </c>
      <c r="D1464" s="2" t="inlineStr">
        <is>
          <t>Plant A</t>
        </is>
      </c>
      <c r="E1464" s="2" t="inlineStr">
        <is>
          <t>South</t>
        </is>
      </c>
      <c r="F1464" s="12" t="n">
        <v>46104</v>
      </c>
      <c r="G1464" s="12" t="n">
        <v>46129</v>
      </c>
      <c r="H1464" s="12" t="n">
        <v>46127</v>
      </c>
      <c r="I1464" s="12" t="n">
        <v>46125</v>
      </c>
      <c r="J1464" s="12" t="n">
        <v>46127</v>
      </c>
      <c r="K1464" s="2" t="n">
        <v>643</v>
      </c>
      <c r="L1464" s="2" t="inlineStr">
        <is>
          <t>Air</t>
        </is>
      </c>
      <c r="M1464" s="2" t="inlineStr">
        <is>
          <t>No Delay</t>
        </is>
      </c>
      <c r="N1464" s="4">
        <f>IF(I1464&lt;=H1464,1,0)</f>
        <v/>
      </c>
      <c r="O1464" s="4">
        <f>IF(J1464&lt;=G1464,1,0)</f>
        <v/>
      </c>
      <c r="P1464" s="4">
        <f>MAX(0,I1464-H1464)</f>
        <v/>
      </c>
      <c r="Q1464" s="4">
        <f>MAX(0,J1464-G1464)</f>
        <v/>
      </c>
      <c r="R1464" s="4">
        <f>IF(AND(N1464=1,O1464=1),"On Track",IF(O1464=0,"Customer Delivery Late","Ship Late"))</f>
        <v/>
      </c>
    </row>
    <row r="1465">
      <c r="A1465" s="2" t="inlineStr">
        <is>
          <t>ORD-01464</t>
        </is>
      </c>
      <c r="B1465" s="2" t="inlineStr">
        <is>
          <t>Customer 13</t>
        </is>
      </c>
      <c r="C1465" s="2" t="inlineStr">
        <is>
          <t>Relay</t>
        </is>
      </c>
      <c r="D1465" s="2" t="inlineStr">
        <is>
          <t>Plant A</t>
        </is>
      </c>
      <c r="E1465" s="2" t="inlineStr">
        <is>
          <t>South</t>
        </is>
      </c>
      <c r="F1465" s="12" t="n">
        <v>46173</v>
      </c>
      <c r="G1465" s="12" t="n">
        <v>46188</v>
      </c>
      <c r="H1465" s="12" t="n">
        <v>46187</v>
      </c>
      <c r="I1465" s="12" t="n">
        <v>46185</v>
      </c>
      <c r="J1465" s="12" t="n">
        <v>46186</v>
      </c>
      <c r="K1465" s="2" t="n">
        <v>581</v>
      </c>
      <c r="L1465" s="2" t="inlineStr">
        <is>
          <t>Air</t>
        </is>
      </c>
      <c r="M1465" s="2" t="inlineStr">
        <is>
          <t>No Delay</t>
        </is>
      </c>
      <c r="N1465" s="4">
        <f>IF(I1465&lt;=H1465,1,0)</f>
        <v/>
      </c>
      <c r="O1465" s="4">
        <f>IF(J1465&lt;=G1465,1,0)</f>
        <v/>
      </c>
      <c r="P1465" s="4">
        <f>MAX(0,I1465-H1465)</f>
        <v/>
      </c>
      <c r="Q1465" s="4">
        <f>MAX(0,J1465-G1465)</f>
        <v/>
      </c>
      <c r="R1465" s="4">
        <f>IF(AND(N1465=1,O1465=1),"On Track",IF(O1465=0,"Customer Delivery Late","Ship Late"))</f>
        <v/>
      </c>
    </row>
    <row r="1466">
      <c r="A1466" s="2" t="inlineStr">
        <is>
          <t>ORD-01465</t>
        </is>
      </c>
      <c r="B1466" s="2" t="inlineStr">
        <is>
          <t>Customer 29</t>
        </is>
      </c>
      <c r="C1466" s="2" t="inlineStr">
        <is>
          <t>Power Supply</t>
        </is>
      </c>
      <c r="D1466" s="2" t="inlineStr">
        <is>
          <t>Plant B</t>
        </is>
      </c>
      <c r="E1466" s="2" t="inlineStr">
        <is>
          <t>South</t>
        </is>
      </c>
      <c r="F1466" s="12" t="n">
        <v>46173</v>
      </c>
      <c r="G1466" s="12" t="n">
        <v>46190</v>
      </c>
      <c r="H1466" s="12" t="n">
        <v>46186</v>
      </c>
      <c r="I1466" s="12" t="n">
        <v>46185</v>
      </c>
      <c r="J1466" s="12" t="n">
        <v>46188</v>
      </c>
      <c r="K1466" s="2" t="n">
        <v>198</v>
      </c>
      <c r="L1466" s="2" t="inlineStr">
        <is>
          <t>Road</t>
        </is>
      </c>
      <c r="M1466" s="2" t="inlineStr">
        <is>
          <t>No Delay</t>
        </is>
      </c>
      <c r="N1466" s="4">
        <f>IF(I1466&lt;=H1466,1,0)</f>
        <v/>
      </c>
      <c r="O1466" s="4">
        <f>IF(J1466&lt;=G1466,1,0)</f>
        <v/>
      </c>
      <c r="P1466" s="4">
        <f>MAX(0,I1466-H1466)</f>
        <v/>
      </c>
      <c r="Q1466" s="4">
        <f>MAX(0,J1466-G1466)</f>
        <v/>
      </c>
      <c r="R1466" s="4">
        <f>IF(AND(N1466=1,O1466=1),"On Track",IF(O1466=0,"Customer Delivery Late","Ship Late"))</f>
        <v/>
      </c>
    </row>
    <row r="1467">
      <c r="A1467" s="2" t="inlineStr">
        <is>
          <t>ORD-01466</t>
        </is>
      </c>
      <c r="B1467" s="2" t="inlineStr">
        <is>
          <t>Customer 29</t>
        </is>
      </c>
      <c r="C1467" s="2" t="inlineStr">
        <is>
          <t>PLC</t>
        </is>
      </c>
      <c r="D1467" s="2" t="inlineStr">
        <is>
          <t>Plant B</t>
        </is>
      </c>
      <c r="E1467" s="2" t="inlineStr">
        <is>
          <t>North</t>
        </is>
      </c>
      <c r="F1467" s="12" t="n">
        <v>46026</v>
      </c>
      <c r="G1467" s="12" t="n">
        <v>46051</v>
      </c>
      <c r="H1467" s="12" t="n">
        <v>46047</v>
      </c>
      <c r="I1467" s="12" t="n">
        <v>46046</v>
      </c>
      <c r="J1467" s="12" t="n">
        <v>46049</v>
      </c>
      <c r="K1467" s="2" t="n">
        <v>925</v>
      </c>
      <c r="L1467" s="2" t="inlineStr">
        <is>
          <t>Sea</t>
        </is>
      </c>
      <c r="M1467" s="2" t="inlineStr">
        <is>
          <t>No Delay</t>
        </is>
      </c>
      <c r="N1467" s="4">
        <f>IF(I1467&lt;=H1467,1,0)</f>
        <v/>
      </c>
      <c r="O1467" s="4">
        <f>IF(J1467&lt;=G1467,1,0)</f>
        <v/>
      </c>
      <c r="P1467" s="4">
        <f>MAX(0,I1467-H1467)</f>
        <v/>
      </c>
      <c r="Q1467" s="4">
        <f>MAX(0,J1467-G1467)</f>
        <v/>
      </c>
      <c r="R1467" s="4">
        <f>IF(AND(N1467=1,O1467=1),"On Track",IF(O1467=0,"Customer Delivery Late","Ship Late"))</f>
        <v/>
      </c>
    </row>
    <row r="1468">
      <c r="A1468" s="2" t="inlineStr">
        <is>
          <t>ORD-01467</t>
        </is>
      </c>
      <c r="B1468" s="2" t="inlineStr">
        <is>
          <t>Customer 20</t>
        </is>
      </c>
      <c r="C1468" s="2" t="inlineStr">
        <is>
          <t>Breaker</t>
        </is>
      </c>
      <c r="D1468" s="2" t="inlineStr">
        <is>
          <t>Plant B</t>
        </is>
      </c>
      <c r="E1468" s="2" t="inlineStr">
        <is>
          <t>Central</t>
        </is>
      </c>
      <c r="F1468" s="12" t="n">
        <v>46105</v>
      </c>
      <c r="G1468" s="12" t="n">
        <v>46113</v>
      </c>
      <c r="H1468" s="12" t="n">
        <v>46109</v>
      </c>
      <c r="I1468" s="12" t="n">
        <v>46109</v>
      </c>
      <c r="J1468" s="12" t="n">
        <v>46114</v>
      </c>
      <c r="K1468" s="2" t="n">
        <v>890</v>
      </c>
      <c r="L1468" s="2" t="inlineStr">
        <is>
          <t>Air</t>
        </is>
      </c>
      <c r="M1468" s="2" t="inlineStr">
        <is>
          <t>Capacity Constraint</t>
        </is>
      </c>
      <c r="N1468" s="4">
        <f>IF(I1468&lt;=H1468,1,0)</f>
        <v/>
      </c>
      <c r="O1468" s="4">
        <f>IF(J1468&lt;=G1468,1,0)</f>
        <v/>
      </c>
      <c r="P1468" s="4">
        <f>MAX(0,I1468-H1468)</f>
        <v/>
      </c>
      <c r="Q1468" s="4">
        <f>MAX(0,J1468-G1468)</f>
        <v/>
      </c>
      <c r="R1468" s="4">
        <f>IF(AND(N1468=1,O1468=1),"On Track",IF(O1468=0,"Customer Delivery Late","Ship Late"))</f>
        <v/>
      </c>
    </row>
    <row r="1469">
      <c r="A1469" s="2" t="inlineStr">
        <is>
          <t>ORD-01468</t>
        </is>
      </c>
      <c r="B1469" s="2" t="inlineStr">
        <is>
          <t>Customer 15</t>
        </is>
      </c>
      <c r="C1469" s="2" t="inlineStr">
        <is>
          <t>Breaker</t>
        </is>
      </c>
      <c r="D1469" s="2" t="inlineStr">
        <is>
          <t>Plant C</t>
        </is>
      </c>
      <c r="E1469" s="2" t="inlineStr">
        <is>
          <t>Central</t>
        </is>
      </c>
      <c r="F1469" s="12" t="n">
        <v>46163</v>
      </c>
      <c r="G1469" s="12" t="n">
        <v>46174</v>
      </c>
      <c r="H1469" s="12" t="n">
        <v>46171</v>
      </c>
      <c r="I1469" s="12" t="n">
        <v>46170</v>
      </c>
      <c r="J1469" s="12" t="n">
        <v>46173</v>
      </c>
      <c r="K1469" s="2" t="n">
        <v>1115</v>
      </c>
      <c r="L1469" s="2" t="inlineStr">
        <is>
          <t>Air</t>
        </is>
      </c>
      <c r="M1469" s="2" t="inlineStr">
        <is>
          <t>No Delay</t>
        </is>
      </c>
      <c r="N1469" s="4">
        <f>IF(I1469&lt;=H1469,1,0)</f>
        <v/>
      </c>
      <c r="O1469" s="4">
        <f>IF(J1469&lt;=G1469,1,0)</f>
        <v/>
      </c>
      <c r="P1469" s="4">
        <f>MAX(0,I1469-H1469)</f>
        <v/>
      </c>
      <c r="Q1469" s="4">
        <f>MAX(0,J1469-G1469)</f>
        <v/>
      </c>
      <c r="R1469" s="4">
        <f>IF(AND(N1469=1,O1469=1),"On Track",IF(O1469=0,"Customer Delivery Late","Ship Late"))</f>
        <v/>
      </c>
    </row>
    <row r="1470">
      <c r="A1470" s="2" t="inlineStr">
        <is>
          <t>ORD-01469</t>
        </is>
      </c>
      <c r="B1470" s="2" t="inlineStr">
        <is>
          <t>Customer 22</t>
        </is>
      </c>
      <c r="C1470" s="2" t="inlineStr">
        <is>
          <t>Switchgear</t>
        </is>
      </c>
      <c r="D1470" s="2" t="inlineStr">
        <is>
          <t>Plant C</t>
        </is>
      </c>
      <c r="E1470" s="2" t="inlineStr">
        <is>
          <t>North</t>
        </is>
      </c>
      <c r="F1470" s="12" t="n">
        <v>46165</v>
      </c>
      <c r="G1470" s="12" t="n">
        <v>46187</v>
      </c>
      <c r="H1470" s="12" t="n">
        <v>46182</v>
      </c>
      <c r="I1470" s="12" t="n">
        <v>46182</v>
      </c>
      <c r="J1470" s="12" t="n">
        <v>46187</v>
      </c>
      <c r="K1470" s="2" t="n">
        <v>755</v>
      </c>
      <c r="L1470" s="2" t="inlineStr">
        <is>
          <t>Road</t>
        </is>
      </c>
      <c r="M1470" s="2" t="inlineStr">
        <is>
          <t>No Delay</t>
        </is>
      </c>
      <c r="N1470" s="4">
        <f>IF(I1470&lt;=H1470,1,0)</f>
        <v/>
      </c>
      <c r="O1470" s="4">
        <f>IF(J1470&lt;=G1470,1,0)</f>
        <v/>
      </c>
      <c r="P1470" s="4">
        <f>MAX(0,I1470-H1470)</f>
        <v/>
      </c>
      <c r="Q1470" s="4">
        <f>MAX(0,J1470-G1470)</f>
        <v/>
      </c>
      <c r="R1470" s="4">
        <f>IF(AND(N1470=1,O1470=1),"On Track",IF(O1470=0,"Customer Delivery Late","Ship Late"))</f>
        <v/>
      </c>
    </row>
    <row r="1471">
      <c r="A1471" s="2" t="inlineStr">
        <is>
          <t>ORD-01470</t>
        </is>
      </c>
      <c r="B1471" s="2" t="inlineStr">
        <is>
          <t>Customer 13</t>
        </is>
      </c>
      <c r="C1471" s="2" t="inlineStr">
        <is>
          <t>Breaker</t>
        </is>
      </c>
      <c r="D1471" s="2" t="inlineStr">
        <is>
          <t>Plant C</t>
        </is>
      </c>
      <c r="E1471" s="2" t="inlineStr">
        <is>
          <t>Central</t>
        </is>
      </c>
      <c r="F1471" s="12" t="n">
        <v>46117</v>
      </c>
      <c r="G1471" s="12" t="n">
        <v>46140</v>
      </c>
      <c r="H1471" s="12" t="n">
        <v>46136</v>
      </c>
      <c r="I1471" s="12" t="n">
        <v>46135</v>
      </c>
      <c r="J1471" s="12" t="n">
        <v>46140</v>
      </c>
      <c r="K1471" s="2" t="n">
        <v>269</v>
      </c>
      <c r="L1471" s="2" t="inlineStr">
        <is>
          <t>Road</t>
        </is>
      </c>
      <c r="M1471" s="2" t="inlineStr">
        <is>
          <t>No Delay</t>
        </is>
      </c>
      <c r="N1471" s="4">
        <f>IF(I1471&lt;=H1471,1,0)</f>
        <v/>
      </c>
      <c r="O1471" s="4">
        <f>IF(J1471&lt;=G1471,1,0)</f>
        <v/>
      </c>
      <c r="P1471" s="4">
        <f>MAX(0,I1471-H1471)</f>
        <v/>
      </c>
      <c r="Q1471" s="4">
        <f>MAX(0,J1471-G1471)</f>
        <v/>
      </c>
      <c r="R1471" s="4">
        <f>IF(AND(N1471=1,O1471=1),"On Track",IF(O1471=0,"Customer Delivery Late","Ship Late"))</f>
        <v/>
      </c>
    </row>
    <row r="1472">
      <c r="A1472" s="2" t="inlineStr">
        <is>
          <t>ORD-01471</t>
        </is>
      </c>
      <c r="B1472" s="2" t="inlineStr">
        <is>
          <t>Customer 27</t>
        </is>
      </c>
      <c r="C1472" s="2" t="inlineStr">
        <is>
          <t>Relay</t>
        </is>
      </c>
      <c r="D1472" s="2" t="inlineStr">
        <is>
          <t>Plant B</t>
        </is>
      </c>
      <c r="E1472" s="2" t="inlineStr">
        <is>
          <t>North</t>
        </is>
      </c>
      <c r="F1472" s="12" t="n">
        <v>46045</v>
      </c>
      <c r="G1472" s="12" t="n">
        <v>46054</v>
      </c>
      <c r="H1472" s="12" t="n">
        <v>46050</v>
      </c>
      <c r="I1472" s="12" t="n">
        <v>46049</v>
      </c>
      <c r="J1472" s="12" t="n">
        <v>46054</v>
      </c>
      <c r="K1472" s="2" t="n">
        <v>629</v>
      </c>
      <c r="L1472" s="2" t="inlineStr">
        <is>
          <t>Road</t>
        </is>
      </c>
      <c r="M1472" s="2" t="inlineStr">
        <is>
          <t>No Delay</t>
        </is>
      </c>
      <c r="N1472" s="4">
        <f>IF(I1472&lt;=H1472,1,0)</f>
        <v/>
      </c>
      <c r="O1472" s="4">
        <f>IF(J1472&lt;=G1472,1,0)</f>
        <v/>
      </c>
      <c r="P1472" s="4">
        <f>MAX(0,I1472-H1472)</f>
        <v/>
      </c>
      <c r="Q1472" s="4">
        <f>MAX(0,J1472-G1472)</f>
        <v/>
      </c>
      <c r="R1472" s="4">
        <f>IF(AND(N1472=1,O1472=1),"On Track",IF(O1472=0,"Customer Delivery Late","Ship Late"))</f>
        <v/>
      </c>
    </row>
    <row r="1473">
      <c r="A1473" s="2" t="inlineStr">
        <is>
          <t>ORD-01472</t>
        </is>
      </c>
      <c r="B1473" s="2" t="inlineStr">
        <is>
          <t>Customer 17</t>
        </is>
      </c>
      <c r="C1473" s="2" t="inlineStr">
        <is>
          <t>Drive</t>
        </is>
      </c>
      <c r="D1473" s="2" t="inlineStr">
        <is>
          <t>Plant A</t>
        </is>
      </c>
      <c r="E1473" s="2" t="inlineStr">
        <is>
          <t>Export</t>
        </is>
      </c>
      <c r="F1473" s="12" t="n">
        <v>46164</v>
      </c>
      <c r="G1473" s="12" t="n">
        <v>46169</v>
      </c>
      <c r="H1473" s="12" t="n">
        <v>46164</v>
      </c>
      <c r="I1473" s="12" t="n">
        <v>46162</v>
      </c>
      <c r="J1473" s="12" t="n">
        <v>46167</v>
      </c>
      <c r="K1473" s="2" t="n">
        <v>1006</v>
      </c>
      <c r="L1473" s="2" t="inlineStr">
        <is>
          <t>Air</t>
        </is>
      </c>
      <c r="M1473" s="2" t="inlineStr">
        <is>
          <t>No Delay</t>
        </is>
      </c>
      <c r="N1473" s="4">
        <f>IF(I1473&lt;=H1473,1,0)</f>
        <v/>
      </c>
      <c r="O1473" s="4">
        <f>IF(J1473&lt;=G1473,1,0)</f>
        <v/>
      </c>
      <c r="P1473" s="4">
        <f>MAX(0,I1473-H1473)</f>
        <v/>
      </c>
      <c r="Q1473" s="4">
        <f>MAX(0,J1473-G1473)</f>
        <v/>
      </c>
      <c r="R1473" s="4">
        <f>IF(AND(N1473=1,O1473=1),"On Track",IF(O1473=0,"Customer Delivery Late","Ship Late"))</f>
        <v/>
      </c>
    </row>
    <row r="1474">
      <c r="A1474" s="2" t="inlineStr">
        <is>
          <t>ORD-01473</t>
        </is>
      </c>
      <c r="B1474" s="2" t="inlineStr">
        <is>
          <t>Customer 22</t>
        </is>
      </c>
      <c r="C1474" s="2" t="inlineStr">
        <is>
          <t>Relay</t>
        </is>
      </c>
      <c r="D1474" s="2" t="inlineStr">
        <is>
          <t>Plant B</t>
        </is>
      </c>
      <c r="E1474" s="2" t="inlineStr">
        <is>
          <t>North</t>
        </is>
      </c>
      <c r="F1474" s="12" t="n">
        <v>46097</v>
      </c>
      <c r="G1474" s="12" t="n">
        <v>46104</v>
      </c>
      <c r="H1474" s="12" t="n">
        <v>46102</v>
      </c>
      <c r="I1474" s="12" t="n">
        <v>46101</v>
      </c>
      <c r="J1474" s="12" t="n">
        <v>46102</v>
      </c>
      <c r="K1474" s="2" t="n">
        <v>1256</v>
      </c>
      <c r="L1474" s="2" t="inlineStr">
        <is>
          <t>Sea</t>
        </is>
      </c>
      <c r="M1474" s="2" t="inlineStr">
        <is>
          <t>No Delay</t>
        </is>
      </c>
      <c r="N1474" s="4">
        <f>IF(I1474&lt;=H1474,1,0)</f>
        <v/>
      </c>
      <c r="O1474" s="4">
        <f>IF(J1474&lt;=G1474,1,0)</f>
        <v/>
      </c>
      <c r="P1474" s="4">
        <f>MAX(0,I1474-H1474)</f>
        <v/>
      </c>
      <c r="Q1474" s="4">
        <f>MAX(0,J1474-G1474)</f>
        <v/>
      </c>
      <c r="R1474" s="4">
        <f>IF(AND(N1474=1,O1474=1),"On Track",IF(O1474=0,"Customer Delivery Late","Ship Late"))</f>
        <v/>
      </c>
    </row>
    <row r="1475">
      <c r="A1475" s="2" t="inlineStr">
        <is>
          <t>ORD-01474</t>
        </is>
      </c>
      <c r="B1475" s="2" t="inlineStr">
        <is>
          <t>Customer 16</t>
        </is>
      </c>
      <c r="C1475" s="2" t="inlineStr">
        <is>
          <t>Drive</t>
        </is>
      </c>
      <c r="D1475" s="2" t="inlineStr">
        <is>
          <t>Plant C</t>
        </is>
      </c>
      <c r="E1475" s="2" t="inlineStr">
        <is>
          <t>North</t>
        </is>
      </c>
      <c r="F1475" s="12" t="n">
        <v>46174</v>
      </c>
      <c r="G1475" s="12" t="n">
        <v>46191</v>
      </c>
      <c r="H1475" s="12" t="n">
        <v>46189</v>
      </c>
      <c r="I1475" s="12" t="n">
        <v>46187</v>
      </c>
      <c r="J1475" s="12" t="n">
        <v>46189</v>
      </c>
      <c r="K1475" s="2" t="n">
        <v>930</v>
      </c>
      <c r="L1475" s="2" t="inlineStr">
        <is>
          <t>Road</t>
        </is>
      </c>
      <c r="M1475" s="2" t="inlineStr">
        <is>
          <t>No Delay</t>
        </is>
      </c>
      <c r="N1475" s="4">
        <f>IF(I1475&lt;=H1475,1,0)</f>
        <v/>
      </c>
      <c r="O1475" s="4">
        <f>IF(J1475&lt;=G1475,1,0)</f>
        <v/>
      </c>
      <c r="P1475" s="4">
        <f>MAX(0,I1475-H1475)</f>
        <v/>
      </c>
      <c r="Q1475" s="4">
        <f>MAX(0,J1475-G1475)</f>
        <v/>
      </c>
      <c r="R1475" s="4">
        <f>IF(AND(N1475=1,O1475=1),"On Track",IF(O1475=0,"Customer Delivery Late","Ship Late"))</f>
        <v/>
      </c>
    </row>
    <row r="1476">
      <c r="A1476" s="2" t="inlineStr">
        <is>
          <t>ORD-01475</t>
        </is>
      </c>
      <c r="B1476" s="2" t="inlineStr">
        <is>
          <t>Customer 27</t>
        </is>
      </c>
      <c r="C1476" s="2" t="inlineStr">
        <is>
          <t>Breaker</t>
        </is>
      </c>
      <c r="D1476" s="2" t="inlineStr">
        <is>
          <t>Plant B</t>
        </is>
      </c>
      <c r="E1476" s="2" t="inlineStr">
        <is>
          <t>Export</t>
        </is>
      </c>
      <c r="F1476" s="12" t="n">
        <v>46090</v>
      </c>
      <c r="G1476" s="12" t="n">
        <v>46106</v>
      </c>
      <c r="H1476" s="12" t="n">
        <v>46103</v>
      </c>
      <c r="I1476" s="12" t="n">
        <v>46101</v>
      </c>
      <c r="J1476" s="12" t="n">
        <v>46104</v>
      </c>
      <c r="K1476" s="2" t="n">
        <v>1045</v>
      </c>
      <c r="L1476" s="2" t="inlineStr">
        <is>
          <t>Road</t>
        </is>
      </c>
      <c r="M1476" s="2" t="inlineStr">
        <is>
          <t>No Delay</t>
        </is>
      </c>
      <c r="N1476" s="4">
        <f>IF(I1476&lt;=H1476,1,0)</f>
        <v/>
      </c>
      <c r="O1476" s="4">
        <f>IF(J1476&lt;=G1476,1,0)</f>
        <v/>
      </c>
      <c r="P1476" s="4">
        <f>MAX(0,I1476-H1476)</f>
        <v/>
      </c>
      <c r="Q1476" s="4">
        <f>MAX(0,J1476-G1476)</f>
        <v/>
      </c>
      <c r="R1476" s="4">
        <f>IF(AND(N1476=1,O1476=1),"On Track",IF(O1476=0,"Customer Delivery Late","Ship Late"))</f>
        <v/>
      </c>
    </row>
    <row r="1477">
      <c r="A1477" s="2" t="inlineStr">
        <is>
          <t>ORD-01476</t>
        </is>
      </c>
      <c r="B1477" s="2" t="inlineStr">
        <is>
          <t>Customer 01</t>
        </is>
      </c>
      <c r="C1477" s="2" t="inlineStr">
        <is>
          <t>Breaker</t>
        </is>
      </c>
      <c r="D1477" s="2" t="inlineStr">
        <is>
          <t>Plant A</t>
        </is>
      </c>
      <c r="E1477" s="2" t="inlineStr">
        <is>
          <t>Export</t>
        </is>
      </c>
      <c r="F1477" s="12" t="n">
        <v>46023</v>
      </c>
      <c r="G1477" s="12" t="n">
        <v>46046</v>
      </c>
      <c r="H1477" s="12" t="n">
        <v>46044</v>
      </c>
      <c r="I1477" s="12" t="n">
        <v>46043</v>
      </c>
      <c r="J1477" s="12" t="n">
        <v>46044</v>
      </c>
      <c r="K1477" s="2" t="n">
        <v>459</v>
      </c>
      <c r="L1477" s="2" t="inlineStr">
        <is>
          <t>Sea</t>
        </is>
      </c>
      <c r="M1477" s="2" t="inlineStr">
        <is>
          <t>No Delay</t>
        </is>
      </c>
      <c r="N1477" s="4">
        <f>IF(I1477&lt;=H1477,1,0)</f>
        <v/>
      </c>
      <c r="O1477" s="4">
        <f>IF(J1477&lt;=G1477,1,0)</f>
        <v/>
      </c>
      <c r="P1477" s="4">
        <f>MAX(0,I1477-H1477)</f>
        <v/>
      </c>
      <c r="Q1477" s="4">
        <f>MAX(0,J1477-G1477)</f>
        <v/>
      </c>
      <c r="R1477" s="4">
        <f>IF(AND(N1477=1,O1477=1),"On Track",IF(O1477=0,"Customer Delivery Late","Ship Late"))</f>
        <v/>
      </c>
    </row>
    <row r="1478">
      <c r="A1478" s="2" t="inlineStr">
        <is>
          <t>ORD-01477</t>
        </is>
      </c>
      <c r="B1478" s="2" t="inlineStr">
        <is>
          <t>Customer 09</t>
        </is>
      </c>
      <c r="C1478" s="2" t="inlineStr">
        <is>
          <t>Switchgear</t>
        </is>
      </c>
      <c r="D1478" s="2" t="inlineStr">
        <is>
          <t>Plant A</t>
        </is>
      </c>
      <c r="E1478" s="2" t="inlineStr">
        <is>
          <t>Central</t>
        </is>
      </c>
      <c r="F1478" s="12" t="n">
        <v>46110</v>
      </c>
      <c r="G1478" s="12" t="n">
        <v>46128</v>
      </c>
      <c r="H1478" s="12" t="n">
        <v>46125</v>
      </c>
      <c r="I1478" s="12" t="n">
        <v>46124</v>
      </c>
      <c r="J1478" s="12" t="n">
        <v>46127</v>
      </c>
      <c r="K1478" s="2" t="n">
        <v>1156</v>
      </c>
      <c r="L1478" s="2" t="inlineStr">
        <is>
          <t>Sea</t>
        </is>
      </c>
      <c r="M1478" s="2" t="inlineStr">
        <is>
          <t>No Delay</t>
        </is>
      </c>
      <c r="N1478" s="4">
        <f>IF(I1478&lt;=H1478,1,0)</f>
        <v/>
      </c>
      <c r="O1478" s="4">
        <f>IF(J1478&lt;=G1478,1,0)</f>
        <v/>
      </c>
      <c r="P1478" s="4">
        <f>MAX(0,I1478-H1478)</f>
        <v/>
      </c>
      <c r="Q1478" s="4">
        <f>MAX(0,J1478-G1478)</f>
        <v/>
      </c>
      <c r="R1478" s="4">
        <f>IF(AND(N1478=1,O1478=1),"On Track",IF(O1478=0,"Customer Delivery Late","Ship Late"))</f>
        <v/>
      </c>
    </row>
    <row r="1479">
      <c r="A1479" s="2" t="inlineStr">
        <is>
          <t>ORD-01478</t>
        </is>
      </c>
      <c r="B1479" s="2" t="inlineStr">
        <is>
          <t>Customer 23</t>
        </is>
      </c>
      <c r="C1479" s="2" t="inlineStr">
        <is>
          <t>Switchgear</t>
        </is>
      </c>
      <c r="D1479" s="2" t="inlineStr">
        <is>
          <t>Plant A</t>
        </is>
      </c>
      <c r="E1479" s="2" t="inlineStr">
        <is>
          <t>North</t>
        </is>
      </c>
      <c r="F1479" s="12" t="n">
        <v>46106</v>
      </c>
      <c r="G1479" s="12" t="n">
        <v>46119</v>
      </c>
      <c r="H1479" s="12" t="n">
        <v>46118</v>
      </c>
      <c r="I1479" s="12" t="n">
        <v>46117</v>
      </c>
      <c r="J1479" s="12" t="n">
        <v>46118</v>
      </c>
      <c r="K1479" s="2" t="n">
        <v>289</v>
      </c>
      <c r="L1479" s="2" t="inlineStr">
        <is>
          <t>Air</t>
        </is>
      </c>
      <c r="M1479" s="2" t="inlineStr">
        <is>
          <t>No Delay</t>
        </is>
      </c>
      <c r="N1479" s="4">
        <f>IF(I1479&lt;=H1479,1,0)</f>
        <v/>
      </c>
      <c r="O1479" s="4">
        <f>IF(J1479&lt;=G1479,1,0)</f>
        <v/>
      </c>
      <c r="P1479" s="4">
        <f>MAX(0,I1479-H1479)</f>
        <v/>
      </c>
      <c r="Q1479" s="4">
        <f>MAX(0,J1479-G1479)</f>
        <v/>
      </c>
      <c r="R1479" s="4">
        <f>IF(AND(N1479=1,O1479=1),"On Track",IF(O1479=0,"Customer Delivery Late","Ship Late"))</f>
        <v/>
      </c>
    </row>
    <row r="1480">
      <c r="A1480" s="2" t="inlineStr">
        <is>
          <t>ORD-01479</t>
        </is>
      </c>
      <c r="B1480" s="2" t="inlineStr">
        <is>
          <t>Customer 26</t>
        </is>
      </c>
      <c r="C1480" s="2" t="inlineStr">
        <is>
          <t>Drive</t>
        </is>
      </c>
      <c r="D1480" s="2" t="inlineStr">
        <is>
          <t>Plant C</t>
        </is>
      </c>
      <c r="E1480" s="2" t="inlineStr">
        <is>
          <t>North</t>
        </is>
      </c>
      <c r="F1480" s="12" t="n">
        <v>46041</v>
      </c>
      <c r="G1480" s="12" t="n">
        <v>46058</v>
      </c>
      <c r="H1480" s="12" t="n">
        <v>46053</v>
      </c>
      <c r="I1480" s="12" t="n">
        <v>46052</v>
      </c>
      <c r="J1480" s="12" t="n">
        <v>46057</v>
      </c>
      <c r="K1480" s="2" t="n">
        <v>197</v>
      </c>
      <c r="L1480" s="2" t="inlineStr">
        <is>
          <t>Road</t>
        </is>
      </c>
      <c r="M1480" s="2" t="inlineStr">
        <is>
          <t>No Delay</t>
        </is>
      </c>
      <c r="N1480" s="4">
        <f>IF(I1480&lt;=H1480,1,0)</f>
        <v/>
      </c>
      <c r="O1480" s="4">
        <f>IF(J1480&lt;=G1480,1,0)</f>
        <v/>
      </c>
      <c r="P1480" s="4">
        <f>MAX(0,I1480-H1480)</f>
        <v/>
      </c>
      <c r="Q1480" s="4">
        <f>MAX(0,J1480-G1480)</f>
        <v/>
      </c>
      <c r="R1480" s="4">
        <f>IF(AND(N1480=1,O1480=1),"On Track",IF(O1480=0,"Customer Delivery Late","Ship Late"))</f>
        <v/>
      </c>
    </row>
    <row r="1481">
      <c r="A1481" s="2" t="inlineStr">
        <is>
          <t>ORD-01480</t>
        </is>
      </c>
      <c r="B1481" s="2" t="inlineStr">
        <is>
          <t>Customer 14</t>
        </is>
      </c>
      <c r="C1481" s="2" t="inlineStr">
        <is>
          <t>Contactor</t>
        </is>
      </c>
      <c r="D1481" s="2" t="inlineStr">
        <is>
          <t>Plant C</t>
        </is>
      </c>
      <c r="E1481" s="2" t="inlineStr">
        <is>
          <t>North</t>
        </is>
      </c>
      <c r="F1481" s="12" t="n">
        <v>46170</v>
      </c>
      <c r="G1481" s="12" t="n">
        <v>46186</v>
      </c>
      <c r="H1481" s="12" t="n">
        <v>46185</v>
      </c>
      <c r="I1481" s="12" t="n">
        <v>46184</v>
      </c>
      <c r="J1481" s="12" t="n">
        <v>46185</v>
      </c>
      <c r="K1481" s="2" t="n">
        <v>752</v>
      </c>
      <c r="L1481" s="2" t="inlineStr">
        <is>
          <t>Road</t>
        </is>
      </c>
      <c r="M1481" s="2" t="inlineStr">
        <is>
          <t>No Delay</t>
        </is>
      </c>
      <c r="N1481" s="4">
        <f>IF(I1481&lt;=H1481,1,0)</f>
        <v/>
      </c>
      <c r="O1481" s="4">
        <f>IF(J1481&lt;=G1481,1,0)</f>
        <v/>
      </c>
      <c r="P1481" s="4">
        <f>MAX(0,I1481-H1481)</f>
        <v/>
      </c>
      <c r="Q1481" s="4">
        <f>MAX(0,J1481-G1481)</f>
        <v/>
      </c>
      <c r="R1481" s="4">
        <f>IF(AND(N1481=1,O1481=1),"On Track",IF(O1481=0,"Customer Delivery Late","Ship Late"))</f>
        <v/>
      </c>
    </row>
    <row r="1482">
      <c r="A1482" s="2" t="inlineStr">
        <is>
          <t>ORD-01481</t>
        </is>
      </c>
      <c r="B1482" s="2" t="inlineStr">
        <is>
          <t>Customer 14</t>
        </is>
      </c>
      <c r="C1482" s="2" t="inlineStr">
        <is>
          <t>Drive</t>
        </is>
      </c>
      <c r="D1482" s="2" t="inlineStr">
        <is>
          <t>Plant C</t>
        </is>
      </c>
      <c r="E1482" s="2" t="inlineStr">
        <is>
          <t>North</t>
        </is>
      </c>
      <c r="F1482" s="12" t="n">
        <v>46135</v>
      </c>
      <c r="G1482" s="12" t="n">
        <v>46141</v>
      </c>
      <c r="H1482" s="12" t="n">
        <v>46136</v>
      </c>
      <c r="I1482" s="12" t="n">
        <v>46134</v>
      </c>
      <c r="J1482" s="12" t="n">
        <v>46139</v>
      </c>
      <c r="K1482" s="2" t="n">
        <v>19</v>
      </c>
      <c r="L1482" s="2" t="inlineStr">
        <is>
          <t>Air</t>
        </is>
      </c>
      <c r="M1482" s="2" t="inlineStr">
        <is>
          <t>No Delay</t>
        </is>
      </c>
      <c r="N1482" s="4">
        <f>IF(I1482&lt;=H1482,1,0)</f>
        <v/>
      </c>
      <c r="O1482" s="4">
        <f>IF(J1482&lt;=G1482,1,0)</f>
        <v/>
      </c>
      <c r="P1482" s="4">
        <f>MAX(0,I1482-H1482)</f>
        <v/>
      </c>
      <c r="Q1482" s="4">
        <f>MAX(0,J1482-G1482)</f>
        <v/>
      </c>
      <c r="R1482" s="4">
        <f>IF(AND(N1482=1,O1482=1),"On Track",IF(O1482=0,"Customer Delivery Late","Ship Late"))</f>
        <v/>
      </c>
    </row>
    <row r="1483">
      <c r="A1483" s="2" t="inlineStr">
        <is>
          <t>ORD-01482</t>
        </is>
      </c>
      <c r="B1483" s="2" t="inlineStr">
        <is>
          <t>Customer 10</t>
        </is>
      </c>
      <c r="C1483" s="2" t="inlineStr">
        <is>
          <t>PLC</t>
        </is>
      </c>
      <c r="D1483" s="2" t="inlineStr">
        <is>
          <t>Plant C</t>
        </is>
      </c>
      <c r="E1483" s="2" t="inlineStr">
        <is>
          <t>Central</t>
        </is>
      </c>
      <c r="F1483" s="12" t="n">
        <v>46088</v>
      </c>
      <c r="G1483" s="12" t="n">
        <v>46113</v>
      </c>
      <c r="H1483" s="12" t="n">
        <v>46112</v>
      </c>
      <c r="I1483" s="12" t="n">
        <v>46112</v>
      </c>
      <c r="J1483" s="12" t="n">
        <v>46114</v>
      </c>
      <c r="K1483" s="2" t="n">
        <v>1172</v>
      </c>
      <c r="L1483" s="2" t="inlineStr">
        <is>
          <t>Sea</t>
        </is>
      </c>
      <c r="M1483" s="2" t="inlineStr">
        <is>
          <t>Customer Change</t>
        </is>
      </c>
      <c r="N1483" s="4">
        <f>IF(I1483&lt;=H1483,1,0)</f>
        <v/>
      </c>
      <c r="O1483" s="4">
        <f>IF(J1483&lt;=G1483,1,0)</f>
        <v/>
      </c>
      <c r="P1483" s="4">
        <f>MAX(0,I1483-H1483)</f>
        <v/>
      </c>
      <c r="Q1483" s="4">
        <f>MAX(0,J1483-G1483)</f>
        <v/>
      </c>
      <c r="R1483" s="4">
        <f>IF(AND(N1483=1,O1483=1),"On Track",IF(O1483=0,"Customer Delivery Late","Ship Late"))</f>
        <v/>
      </c>
    </row>
    <row r="1484">
      <c r="A1484" s="2" t="inlineStr">
        <is>
          <t>ORD-01483</t>
        </is>
      </c>
      <c r="B1484" s="2" t="inlineStr">
        <is>
          <t>Customer 09</t>
        </is>
      </c>
      <c r="C1484" s="2" t="inlineStr">
        <is>
          <t>Sensor</t>
        </is>
      </c>
      <c r="D1484" s="2" t="inlineStr">
        <is>
          <t>Plant B</t>
        </is>
      </c>
      <c r="E1484" s="2" t="inlineStr">
        <is>
          <t>North</t>
        </is>
      </c>
      <c r="F1484" s="12" t="n">
        <v>46142</v>
      </c>
      <c r="G1484" s="12" t="n">
        <v>46160</v>
      </c>
      <c r="H1484" s="12" t="n">
        <v>46155</v>
      </c>
      <c r="I1484" s="12" t="n">
        <v>46153</v>
      </c>
      <c r="J1484" s="12" t="n">
        <v>46158</v>
      </c>
      <c r="K1484" s="2" t="n">
        <v>856</v>
      </c>
      <c r="L1484" s="2" t="inlineStr">
        <is>
          <t>Sea</t>
        </is>
      </c>
      <c r="M1484" s="2" t="inlineStr">
        <is>
          <t>No Delay</t>
        </is>
      </c>
      <c r="N1484" s="4">
        <f>IF(I1484&lt;=H1484,1,0)</f>
        <v/>
      </c>
      <c r="O1484" s="4">
        <f>IF(J1484&lt;=G1484,1,0)</f>
        <v/>
      </c>
      <c r="P1484" s="4">
        <f>MAX(0,I1484-H1484)</f>
        <v/>
      </c>
      <c r="Q1484" s="4">
        <f>MAX(0,J1484-G1484)</f>
        <v/>
      </c>
      <c r="R1484" s="4">
        <f>IF(AND(N1484=1,O1484=1),"On Track",IF(O1484=0,"Customer Delivery Late","Ship Late"))</f>
        <v/>
      </c>
    </row>
    <row r="1485">
      <c r="A1485" s="2" t="inlineStr">
        <is>
          <t>ORD-01484</t>
        </is>
      </c>
      <c r="B1485" s="2" t="inlineStr">
        <is>
          <t>Customer 03</t>
        </is>
      </c>
      <c r="C1485" s="2" t="inlineStr">
        <is>
          <t>PLC</t>
        </is>
      </c>
      <c r="D1485" s="2" t="inlineStr">
        <is>
          <t>Plant C</t>
        </is>
      </c>
      <c r="E1485" s="2" t="inlineStr">
        <is>
          <t>North</t>
        </is>
      </c>
      <c r="F1485" s="12" t="n">
        <v>46045</v>
      </c>
      <c r="G1485" s="12" t="n">
        <v>46069</v>
      </c>
      <c r="H1485" s="12" t="n">
        <v>46064</v>
      </c>
      <c r="I1485" s="12" t="n">
        <v>46063</v>
      </c>
      <c r="J1485" s="12" t="n">
        <v>46068</v>
      </c>
      <c r="K1485" s="2" t="n">
        <v>82</v>
      </c>
      <c r="L1485" s="2" t="inlineStr">
        <is>
          <t>Air</t>
        </is>
      </c>
      <c r="M1485" s="2" t="inlineStr">
        <is>
          <t>No Delay</t>
        </is>
      </c>
      <c r="N1485" s="4">
        <f>IF(I1485&lt;=H1485,1,0)</f>
        <v/>
      </c>
      <c r="O1485" s="4">
        <f>IF(J1485&lt;=G1485,1,0)</f>
        <v/>
      </c>
      <c r="P1485" s="4">
        <f>MAX(0,I1485-H1485)</f>
        <v/>
      </c>
      <c r="Q1485" s="4">
        <f>MAX(0,J1485-G1485)</f>
        <v/>
      </c>
      <c r="R1485" s="4">
        <f>IF(AND(N1485=1,O1485=1),"On Track",IF(O1485=0,"Customer Delivery Late","Ship Late"))</f>
        <v/>
      </c>
    </row>
    <row r="1486">
      <c r="A1486" s="2" t="inlineStr">
        <is>
          <t>ORD-01485</t>
        </is>
      </c>
      <c r="B1486" s="2" t="inlineStr">
        <is>
          <t>Customer 03</t>
        </is>
      </c>
      <c r="C1486" s="2" t="inlineStr">
        <is>
          <t>Switchgear</t>
        </is>
      </c>
      <c r="D1486" s="2" t="inlineStr">
        <is>
          <t>Plant B</t>
        </is>
      </c>
      <c r="E1486" s="2" t="inlineStr">
        <is>
          <t>Central</t>
        </is>
      </c>
      <c r="F1486" s="12" t="n">
        <v>46108</v>
      </c>
      <c r="G1486" s="12" t="n">
        <v>46114</v>
      </c>
      <c r="H1486" s="12" t="n">
        <v>46112</v>
      </c>
      <c r="I1486" s="12" t="n">
        <v>46112</v>
      </c>
      <c r="J1486" s="12" t="n">
        <v>46114</v>
      </c>
      <c r="K1486" s="2" t="n">
        <v>747</v>
      </c>
      <c r="L1486" s="2" t="inlineStr">
        <is>
          <t>Air</t>
        </is>
      </c>
      <c r="M1486" s="2" t="inlineStr">
        <is>
          <t>No Delay</t>
        </is>
      </c>
      <c r="N1486" s="4">
        <f>IF(I1486&lt;=H1486,1,0)</f>
        <v/>
      </c>
      <c r="O1486" s="4">
        <f>IF(J1486&lt;=G1486,1,0)</f>
        <v/>
      </c>
      <c r="P1486" s="4">
        <f>MAX(0,I1486-H1486)</f>
        <v/>
      </c>
      <c r="Q1486" s="4">
        <f>MAX(0,J1486-G1486)</f>
        <v/>
      </c>
      <c r="R1486" s="4">
        <f>IF(AND(N1486=1,O1486=1),"On Track",IF(O1486=0,"Customer Delivery Late","Ship Late"))</f>
        <v/>
      </c>
    </row>
    <row r="1487">
      <c r="A1487" s="2" t="inlineStr">
        <is>
          <t>ORD-01486</t>
        </is>
      </c>
      <c r="B1487" s="2" t="inlineStr">
        <is>
          <t>Customer 28</t>
        </is>
      </c>
      <c r="C1487" s="2" t="inlineStr">
        <is>
          <t>Sensor</t>
        </is>
      </c>
      <c r="D1487" s="2" t="inlineStr">
        <is>
          <t>Plant C</t>
        </is>
      </c>
      <c r="E1487" s="2" t="inlineStr">
        <is>
          <t>Export</t>
        </is>
      </c>
      <c r="F1487" s="12" t="n">
        <v>46088</v>
      </c>
      <c r="G1487" s="12" t="n">
        <v>46109</v>
      </c>
      <c r="H1487" s="12" t="n">
        <v>46107</v>
      </c>
      <c r="I1487" s="12" t="n">
        <v>46105</v>
      </c>
      <c r="J1487" s="12" t="n">
        <v>46108</v>
      </c>
      <c r="K1487" s="2" t="n">
        <v>89</v>
      </c>
      <c r="L1487" s="2" t="inlineStr">
        <is>
          <t>Sea</t>
        </is>
      </c>
      <c r="M1487" s="2" t="inlineStr">
        <is>
          <t>No Delay</t>
        </is>
      </c>
      <c r="N1487" s="4">
        <f>IF(I1487&lt;=H1487,1,0)</f>
        <v/>
      </c>
      <c r="O1487" s="4">
        <f>IF(J1487&lt;=G1487,1,0)</f>
        <v/>
      </c>
      <c r="P1487" s="4">
        <f>MAX(0,I1487-H1487)</f>
        <v/>
      </c>
      <c r="Q1487" s="4">
        <f>MAX(0,J1487-G1487)</f>
        <v/>
      </c>
      <c r="R1487" s="4">
        <f>IF(AND(N1487=1,O1487=1),"On Track",IF(O1487=0,"Customer Delivery Late","Ship Late"))</f>
        <v/>
      </c>
    </row>
    <row r="1488">
      <c r="A1488" s="2" t="inlineStr">
        <is>
          <t>ORD-01487</t>
        </is>
      </c>
      <c r="B1488" s="2" t="inlineStr">
        <is>
          <t>Customer 17</t>
        </is>
      </c>
      <c r="C1488" s="2" t="inlineStr">
        <is>
          <t>PLC</t>
        </is>
      </c>
      <c r="D1488" s="2" t="inlineStr">
        <is>
          <t>Plant C</t>
        </is>
      </c>
      <c r="E1488" s="2" t="inlineStr">
        <is>
          <t>South</t>
        </is>
      </c>
      <c r="F1488" s="12" t="n">
        <v>46132</v>
      </c>
      <c r="G1488" s="12" t="n">
        <v>46151</v>
      </c>
      <c r="H1488" s="12" t="n">
        <v>46149</v>
      </c>
      <c r="I1488" s="12" t="n">
        <v>46147</v>
      </c>
      <c r="J1488" s="12" t="n">
        <v>46149</v>
      </c>
      <c r="K1488" s="2" t="n">
        <v>372</v>
      </c>
      <c r="L1488" s="2" t="inlineStr">
        <is>
          <t>Air</t>
        </is>
      </c>
      <c r="M1488" s="2" t="inlineStr">
        <is>
          <t>No Delay</t>
        </is>
      </c>
      <c r="N1488" s="4">
        <f>IF(I1488&lt;=H1488,1,0)</f>
        <v/>
      </c>
      <c r="O1488" s="4">
        <f>IF(J1488&lt;=G1488,1,0)</f>
        <v/>
      </c>
      <c r="P1488" s="4">
        <f>MAX(0,I1488-H1488)</f>
        <v/>
      </c>
      <c r="Q1488" s="4">
        <f>MAX(0,J1488-G1488)</f>
        <v/>
      </c>
      <c r="R1488" s="4">
        <f>IF(AND(N1488=1,O1488=1),"On Track",IF(O1488=0,"Customer Delivery Late","Ship Late"))</f>
        <v/>
      </c>
    </row>
    <row r="1489">
      <c r="A1489" s="2" t="inlineStr">
        <is>
          <t>ORD-01488</t>
        </is>
      </c>
      <c r="B1489" s="2" t="inlineStr">
        <is>
          <t>Customer 15</t>
        </is>
      </c>
      <c r="C1489" s="2" t="inlineStr">
        <is>
          <t>Switchgear</t>
        </is>
      </c>
      <c r="D1489" s="2" t="inlineStr">
        <is>
          <t>Plant B</t>
        </is>
      </c>
      <c r="E1489" s="2" t="inlineStr">
        <is>
          <t>North</t>
        </is>
      </c>
      <c r="F1489" s="12" t="n">
        <v>46081</v>
      </c>
      <c r="G1489" s="12" t="n">
        <v>46098</v>
      </c>
      <c r="H1489" s="12" t="n">
        <v>46095</v>
      </c>
      <c r="I1489" s="12" t="n">
        <v>46093</v>
      </c>
      <c r="J1489" s="12" t="n">
        <v>46096</v>
      </c>
      <c r="K1489" s="2" t="n">
        <v>815</v>
      </c>
      <c r="L1489" s="2" t="inlineStr">
        <is>
          <t>Air</t>
        </is>
      </c>
      <c r="M1489" s="2" t="inlineStr">
        <is>
          <t>No Delay</t>
        </is>
      </c>
      <c r="N1489" s="4">
        <f>IF(I1489&lt;=H1489,1,0)</f>
        <v/>
      </c>
      <c r="O1489" s="4">
        <f>IF(J1489&lt;=G1489,1,0)</f>
        <v/>
      </c>
      <c r="P1489" s="4">
        <f>MAX(0,I1489-H1489)</f>
        <v/>
      </c>
      <c r="Q1489" s="4">
        <f>MAX(0,J1489-G1489)</f>
        <v/>
      </c>
      <c r="R1489" s="4">
        <f>IF(AND(N1489=1,O1489=1),"On Track",IF(O1489=0,"Customer Delivery Late","Ship Late"))</f>
        <v/>
      </c>
    </row>
    <row r="1490">
      <c r="A1490" s="2" t="inlineStr">
        <is>
          <t>ORD-01489</t>
        </is>
      </c>
      <c r="B1490" s="2" t="inlineStr">
        <is>
          <t>Customer 06</t>
        </is>
      </c>
      <c r="C1490" s="2" t="inlineStr">
        <is>
          <t>Breaker</t>
        </is>
      </c>
      <c r="D1490" s="2" t="inlineStr">
        <is>
          <t>Plant C</t>
        </is>
      </c>
      <c r="E1490" s="2" t="inlineStr">
        <is>
          <t>North</t>
        </is>
      </c>
      <c r="F1490" s="12" t="n">
        <v>46137</v>
      </c>
      <c r="G1490" s="12" t="n">
        <v>46161</v>
      </c>
      <c r="H1490" s="12" t="n">
        <v>46158</v>
      </c>
      <c r="I1490" s="12" t="n">
        <v>46157</v>
      </c>
      <c r="J1490" s="12" t="n">
        <v>46160</v>
      </c>
      <c r="K1490" s="2" t="n">
        <v>1117</v>
      </c>
      <c r="L1490" s="2" t="inlineStr">
        <is>
          <t>Air</t>
        </is>
      </c>
      <c r="M1490" s="2" t="inlineStr">
        <is>
          <t>No Delay</t>
        </is>
      </c>
      <c r="N1490" s="4">
        <f>IF(I1490&lt;=H1490,1,0)</f>
        <v/>
      </c>
      <c r="O1490" s="4">
        <f>IF(J1490&lt;=G1490,1,0)</f>
        <v/>
      </c>
      <c r="P1490" s="4">
        <f>MAX(0,I1490-H1490)</f>
        <v/>
      </c>
      <c r="Q1490" s="4">
        <f>MAX(0,J1490-G1490)</f>
        <v/>
      </c>
      <c r="R1490" s="4">
        <f>IF(AND(N1490=1,O1490=1),"On Track",IF(O1490=0,"Customer Delivery Late","Ship Late"))</f>
        <v/>
      </c>
    </row>
    <row r="1491">
      <c r="A1491" s="2" t="inlineStr">
        <is>
          <t>ORD-01490</t>
        </is>
      </c>
      <c r="B1491" s="2" t="inlineStr">
        <is>
          <t>Customer 20</t>
        </is>
      </c>
      <c r="C1491" s="2" t="inlineStr">
        <is>
          <t>Contactor</t>
        </is>
      </c>
      <c r="D1491" s="2" t="inlineStr">
        <is>
          <t>Plant A</t>
        </is>
      </c>
      <c r="E1491" s="2" t="inlineStr">
        <is>
          <t>North</t>
        </is>
      </c>
      <c r="F1491" s="12" t="n">
        <v>46106</v>
      </c>
      <c r="G1491" s="12" t="n">
        <v>46114</v>
      </c>
      <c r="H1491" s="12" t="n">
        <v>46113</v>
      </c>
      <c r="I1491" s="12" t="n">
        <v>46113</v>
      </c>
      <c r="J1491" s="12" t="n">
        <v>46114</v>
      </c>
      <c r="K1491" s="2" t="n">
        <v>180</v>
      </c>
      <c r="L1491" s="2" t="inlineStr">
        <is>
          <t>Road</t>
        </is>
      </c>
      <c r="M1491" s="2" t="inlineStr">
        <is>
          <t>No Delay</t>
        </is>
      </c>
      <c r="N1491" s="4">
        <f>IF(I1491&lt;=H1491,1,0)</f>
        <v/>
      </c>
      <c r="O1491" s="4">
        <f>IF(J1491&lt;=G1491,1,0)</f>
        <v/>
      </c>
      <c r="P1491" s="4">
        <f>MAX(0,I1491-H1491)</f>
        <v/>
      </c>
      <c r="Q1491" s="4">
        <f>MAX(0,J1491-G1491)</f>
        <v/>
      </c>
      <c r="R1491" s="4">
        <f>IF(AND(N1491=1,O1491=1),"On Track",IF(O1491=0,"Customer Delivery Late","Ship Late"))</f>
        <v/>
      </c>
    </row>
    <row r="1492">
      <c r="A1492" s="2" t="inlineStr">
        <is>
          <t>ORD-01491</t>
        </is>
      </c>
      <c r="B1492" s="2" t="inlineStr">
        <is>
          <t>Customer 10</t>
        </is>
      </c>
      <c r="C1492" s="2" t="inlineStr">
        <is>
          <t>Switchgear</t>
        </is>
      </c>
      <c r="D1492" s="2" t="inlineStr">
        <is>
          <t>Plant C</t>
        </is>
      </c>
      <c r="E1492" s="2" t="inlineStr">
        <is>
          <t>Export</t>
        </is>
      </c>
      <c r="F1492" s="12" t="n">
        <v>46141</v>
      </c>
      <c r="G1492" s="12" t="n">
        <v>46162</v>
      </c>
      <c r="H1492" s="12" t="n">
        <v>46158</v>
      </c>
      <c r="I1492" s="12" t="n">
        <v>46158</v>
      </c>
      <c r="J1492" s="12" t="n">
        <v>46162</v>
      </c>
      <c r="K1492" s="2" t="n">
        <v>120</v>
      </c>
      <c r="L1492" s="2" t="inlineStr">
        <is>
          <t>Sea</t>
        </is>
      </c>
      <c r="M1492" s="2" t="inlineStr">
        <is>
          <t>No Delay</t>
        </is>
      </c>
      <c r="N1492" s="4">
        <f>IF(I1492&lt;=H1492,1,0)</f>
        <v/>
      </c>
      <c r="O1492" s="4">
        <f>IF(J1492&lt;=G1492,1,0)</f>
        <v/>
      </c>
      <c r="P1492" s="4">
        <f>MAX(0,I1492-H1492)</f>
        <v/>
      </c>
      <c r="Q1492" s="4">
        <f>MAX(0,J1492-G1492)</f>
        <v/>
      </c>
      <c r="R1492" s="4">
        <f>IF(AND(N1492=1,O1492=1),"On Track",IF(O1492=0,"Customer Delivery Late","Ship Late"))</f>
        <v/>
      </c>
    </row>
    <row r="1493">
      <c r="A1493" s="2" t="inlineStr">
        <is>
          <t>ORD-01492</t>
        </is>
      </c>
      <c r="B1493" s="2" t="inlineStr">
        <is>
          <t>Customer 30</t>
        </is>
      </c>
      <c r="C1493" s="2" t="inlineStr">
        <is>
          <t>Sensor</t>
        </is>
      </c>
      <c r="D1493" s="2" t="inlineStr">
        <is>
          <t>Plant C</t>
        </is>
      </c>
      <c r="E1493" s="2" t="inlineStr">
        <is>
          <t>North</t>
        </is>
      </c>
      <c r="F1493" s="12" t="n">
        <v>46202</v>
      </c>
      <c r="G1493" s="12" t="n">
        <v>46212</v>
      </c>
      <c r="H1493" s="12" t="n">
        <v>46210</v>
      </c>
      <c r="I1493" s="12" t="n">
        <v>46209</v>
      </c>
      <c r="J1493" s="12" t="n">
        <v>46211</v>
      </c>
      <c r="K1493" s="2" t="n">
        <v>1407</v>
      </c>
      <c r="L1493" s="2" t="inlineStr">
        <is>
          <t>Road</t>
        </is>
      </c>
      <c r="M1493" s="2" t="inlineStr">
        <is>
          <t>No Delay</t>
        </is>
      </c>
      <c r="N1493" s="4">
        <f>IF(I1493&lt;=H1493,1,0)</f>
        <v/>
      </c>
      <c r="O1493" s="4">
        <f>IF(J1493&lt;=G1493,1,0)</f>
        <v/>
      </c>
      <c r="P1493" s="4">
        <f>MAX(0,I1493-H1493)</f>
        <v/>
      </c>
      <c r="Q1493" s="4">
        <f>MAX(0,J1493-G1493)</f>
        <v/>
      </c>
      <c r="R1493" s="4">
        <f>IF(AND(N1493=1,O1493=1),"On Track",IF(O1493=0,"Customer Delivery Late","Ship Late"))</f>
        <v/>
      </c>
    </row>
    <row r="1494">
      <c r="A1494" s="2" t="inlineStr">
        <is>
          <t>ORD-01493</t>
        </is>
      </c>
      <c r="B1494" s="2" t="inlineStr">
        <is>
          <t>Customer 30</t>
        </is>
      </c>
      <c r="C1494" s="2" t="inlineStr">
        <is>
          <t>Breaker</t>
        </is>
      </c>
      <c r="D1494" s="2" t="inlineStr">
        <is>
          <t>Plant A</t>
        </is>
      </c>
      <c r="E1494" s="2" t="inlineStr">
        <is>
          <t>South</t>
        </is>
      </c>
      <c r="F1494" s="12" t="n">
        <v>46023</v>
      </c>
      <c r="G1494" s="12" t="n">
        <v>46030</v>
      </c>
      <c r="H1494" s="12" t="n">
        <v>46028</v>
      </c>
      <c r="I1494" s="12" t="n">
        <v>46027</v>
      </c>
      <c r="J1494" s="12" t="n">
        <v>46034</v>
      </c>
      <c r="K1494" s="2" t="n">
        <v>237</v>
      </c>
      <c r="L1494" s="2" t="inlineStr">
        <is>
          <t>Air</t>
        </is>
      </c>
      <c r="M1494" s="2" t="inlineStr">
        <is>
          <t>Customer Change</t>
        </is>
      </c>
      <c r="N1494" s="4">
        <f>IF(I1494&lt;=H1494,1,0)</f>
        <v/>
      </c>
      <c r="O1494" s="4">
        <f>IF(J1494&lt;=G1494,1,0)</f>
        <v/>
      </c>
      <c r="P1494" s="4">
        <f>MAX(0,I1494-H1494)</f>
        <v/>
      </c>
      <c r="Q1494" s="4">
        <f>MAX(0,J1494-G1494)</f>
        <v/>
      </c>
      <c r="R1494" s="4">
        <f>IF(AND(N1494=1,O1494=1),"On Track",IF(O1494=0,"Customer Delivery Late","Ship Late"))</f>
        <v/>
      </c>
    </row>
    <row r="1495">
      <c r="A1495" s="2" t="inlineStr">
        <is>
          <t>ORD-01494</t>
        </is>
      </c>
      <c r="B1495" s="2" t="inlineStr">
        <is>
          <t>Customer 10</t>
        </is>
      </c>
      <c r="C1495" s="2" t="inlineStr">
        <is>
          <t>Breaker</t>
        </is>
      </c>
      <c r="D1495" s="2" t="inlineStr">
        <is>
          <t>Plant B</t>
        </is>
      </c>
      <c r="E1495" s="2" t="inlineStr">
        <is>
          <t>North</t>
        </is>
      </c>
      <c r="F1495" s="12" t="n">
        <v>46077</v>
      </c>
      <c r="G1495" s="12" t="n">
        <v>46087</v>
      </c>
      <c r="H1495" s="12" t="n">
        <v>46084</v>
      </c>
      <c r="I1495" s="12" t="n">
        <v>46089</v>
      </c>
      <c r="J1495" s="12" t="n">
        <v>46093</v>
      </c>
      <c r="K1495" s="2" t="n">
        <v>917</v>
      </c>
      <c r="L1495" s="2" t="inlineStr">
        <is>
          <t>Sea</t>
        </is>
      </c>
      <c r="M1495" s="2" t="inlineStr">
        <is>
          <t>Documentation Issue</t>
        </is>
      </c>
      <c r="N1495" s="4">
        <f>IF(I1495&lt;=H1495,1,0)</f>
        <v/>
      </c>
      <c r="O1495" s="4">
        <f>IF(J1495&lt;=G1495,1,0)</f>
        <v/>
      </c>
      <c r="P1495" s="4">
        <f>MAX(0,I1495-H1495)</f>
        <v/>
      </c>
      <c r="Q1495" s="4">
        <f>MAX(0,J1495-G1495)</f>
        <v/>
      </c>
      <c r="R1495" s="4">
        <f>IF(AND(N1495=1,O1495=1),"On Track",IF(O1495=0,"Customer Delivery Late","Ship Late"))</f>
        <v/>
      </c>
    </row>
    <row r="1496">
      <c r="A1496" s="2" t="inlineStr">
        <is>
          <t>ORD-01495</t>
        </is>
      </c>
      <c r="B1496" s="2" t="inlineStr">
        <is>
          <t>Customer 21</t>
        </is>
      </c>
      <c r="C1496" s="2" t="inlineStr">
        <is>
          <t>Breaker</t>
        </is>
      </c>
      <c r="D1496" s="2" t="inlineStr">
        <is>
          <t>Plant A</t>
        </is>
      </c>
      <c r="E1496" s="2" t="inlineStr">
        <is>
          <t>North</t>
        </is>
      </c>
      <c r="F1496" s="12" t="n">
        <v>46071</v>
      </c>
      <c r="G1496" s="12" t="n">
        <v>46080</v>
      </c>
      <c r="H1496" s="12" t="n">
        <v>46076</v>
      </c>
      <c r="I1496" s="12" t="n">
        <v>46074</v>
      </c>
      <c r="J1496" s="12" t="n">
        <v>46079</v>
      </c>
      <c r="K1496" s="2" t="n">
        <v>108</v>
      </c>
      <c r="L1496" s="2" t="inlineStr">
        <is>
          <t>Road</t>
        </is>
      </c>
      <c r="M1496" s="2" t="inlineStr">
        <is>
          <t>No Delay</t>
        </is>
      </c>
      <c r="N1496" s="4">
        <f>IF(I1496&lt;=H1496,1,0)</f>
        <v/>
      </c>
      <c r="O1496" s="4">
        <f>IF(J1496&lt;=G1496,1,0)</f>
        <v/>
      </c>
      <c r="P1496" s="4">
        <f>MAX(0,I1496-H1496)</f>
        <v/>
      </c>
      <c r="Q1496" s="4">
        <f>MAX(0,J1496-G1496)</f>
        <v/>
      </c>
      <c r="R1496" s="4">
        <f>IF(AND(N1496=1,O1496=1),"On Track",IF(O1496=0,"Customer Delivery Late","Ship Late"))</f>
        <v/>
      </c>
    </row>
    <row r="1497">
      <c r="A1497" s="2" t="inlineStr">
        <is>
          <t>ORD-01496</t>
        </is>
      </c>
      <c r="B1497" s="2" t="inlineStr">
        <is>
          <t>Customer 19</t>
        </is>
      </c>
      <c r="C1497" s="2" t="inlineStr">
        <is>
          <t>Contactor</t>
        </is>
      </c>
      <c r="D1497" s="2" t="inlineStr">
        <is>
          <t>Plant A</t>
        </is>
      </c>
      <c r="E1497" s="2" t="inlineStr">
        <is>
          <t>South</t>
        </is>
      </c>
      <c r="F1497" s="12" t="n">
        <v>46123</v>
      </c>
      <c r="G1497" s="12" t="n">
        <v>46137</v>
      </c>
      <c r="H1497" s="12" t="n">
        <v>46132</v>
      </c>
      <c r="I1497" s="12" t="n">
        <v>46131</v>
      </c>
      <c r="J1497" s="12" t="n">
        <v>46136</v>
      </c>
      <c r="K1497" s="2" t="n">
        <v>723</v>
      </c>
      <c r="L1497" s="2" t="inlineStr">
        <is>
          <t>Road</t>
        </is>
      </c>
      <c r="M1497" s="2" t="inlineStr">
        <is>
          <t>No Delay</t>
        </is>
      </c>
      <c r="N1497" s="4">
        <f>IF(I1497&lt;=H1497,1,0)</f>
        <v/>
      </c>
      <c r="O1497" s="4">
        <f>IF(J1497&lt;=G1497,1,0)</f>
        <v/>
      </c>
      <c r="P1497" s="4">
        <f>MAX(0,I1497-H1497)</f>
        <v/>
      </c>
      <c r="Q1497" s="4">
        <f>MAX(0,J1497-G1497)</f>
        <v/>
      </c>
      <c r="R1497" s="4">
        <f>IF(AND(N1497=1,O1497=1),"On Track",IF(O1497=0,"Customer Delivery Late","Ship Late"))</f>
        <v/>
      </c>
    </row>
    <row r="1498">
      <c r="A1498" s="2" t="inlineStr">
        <is>
          <t>ORD-01497</t>
        </is>
      </c>
      <c r="B1498" s="2" t="inlineStr">
        <is>
          <t>Customer 10</t>
        </is>
      </c>
      <c r="C1498" s="2" t="inlineStr">
        <is>
          <t>Contactor</t>
        </is>
      </c>
      <c r="D1498" s="2" t="inlineStr">
        <is>
          <t>Plant A</t>
        </is>
      </c>
      <c r="E1498" s="2" t="inlineStr">
        <is>
          <t>South</t>
        </is>
      </c>
      <c r="F1498" s="12" t="n">
        <v>46031</v>
      </c>
      <c r="G1498" s="12" t="n">
        <v>46042</v>
      </c>
      <c r="H1498" s="12" t="n">
        <v>46038</v>
      </c>
      <c r="I1498" s="12" t="n">
        <v>46038</v>
      </c>
      <c r="J1498" s="12" t="n">
        <v>46041</v>
      </c>
      <c r="K1498" s="2" t="n">
        <v>1270</v>
      </c>
      <c r="L1498" s="2" t="inlineStr">
        <is>
          <t>Sea</t>
        </is>
      </c>
      <c r="M1498" s="2" t="inlineStr">
        <is>
          <t>No Delay</t>
        </is>
      </c>
      <c r="N1498" s="4">
        <f>IF(I1498&lt;=H1498,1,0)</f>
        <v/>
      </c>
      <c r="O1498" s="4">
        <f>IF(J1498&lt;=G1498,1,0)</f>
        <v/>
      </c>
      <c r="P1498" s="4">
        <f>MAX(0,I1498-H1498)</f>
        <v/>
      </c>
      <c r="Q1498" s="4">
        <f>MAX(0,J1498-G1498)</f>
        <v/>
      </c>
      <c r="R1498" s="4">
        <f>IF(AND(N1498=1,O1498=1),"On Track",IF(O1498=0,"Customer Delivery Late","Ship Late"))</f>
        <v/>
      </c>
    </row>
    <row r="1499">
      <c r="A1499" s="2" t="inlineStr">
        <is>
          <t>ORD-01498</t>
        </is>
      </c>
      <c r="B1499" s="2" t="inlineStr">
        <is>
          <t>Customer 02</t>
        </is>
      </c>
      <c r="C1499" s="2" t="inlineStr">
        <is>
          <t>Drive</t>
        </is>
      </c>
      <c r="D1499" s="2" t="inlineStr">
        <is>
          <t>Plant B</t>
        </is>
      </c>
      <c r="E1499" s="2" t="inlineStr">
        <is>
          <t>North</t>
        </is>
      </c>
      <c r="F1499" s="12" t="n">
        <v>46067</v>
      </c>
      <c r="G1499" s="12" t="n">
        <v>46089</v>
      </c>
      <c r="H1499" s="12" t="n">
        <v>46086</v>
      </c>
      <c r="I1499" s="12" t="n">
        <v>46084</v>
      </c>
      <c r="J1499" s="12" t="n">
        <v>46088</v>
      </c>
      <c r="K1499" s="2" t="n">
        <v>78</v>
      </c>
      <c r="L1499" s="2" t="inlineStr">
        <is>
          <t>Road</t>
        </is>
      </c>
      <c r="M1499" s="2" t="inlineStr">
        <is>
          <t>No Delay</t>
        </is>
      </c>
      <c r="N1499" s="4">
        <f>IF(I1499&lt;=H1499,1,0)</f>
        <v/>
      </c>
      <c r="O1499" s="4">
        <f>IF(J1499&lt;=G1499,1,0)</f>
        <v/>
      </c>
      <c r="P1499" s="4">
        <f>MAX(0,I1499-H1499)</f>
        <v/>
      </c>
      <c r="Q1499" s="4">
        <f>MAX(0,J1499-G1499)</f>
        <v/>
      </c>
      <c r="R1499" s="4">
        <f>IF(AND(N1499=1,O1499=1),"On Track",IF(O1499=0,"Customer Delivery Late","Ship Late"))</f>
        <v/>
      </c>
    </row>
    <row r="1500">
      <c r="A1500" s="2" t="inlineStr">
        <is>
          <t>ORD-01499</t>
        </is>
      </c>
      <c r="B1500" s="2" t="inlineStr">
        <is>
          <t>Customer 30</t>
        </is>
      </c>
      <c r="C1500" s="2" t="inlineStr">
        <is>
          <t>Breaker</t>
        </is>
      </c>
      <c r="D1500" s="2" t="inlineStr">
        <is>
          <t>Plant A</t>
        </is>
      </c>
      <c r="E1500" s="2" t="inlineStr">
        <is>
          <t>Export</t>
        </is>
      </c>
      <c r="F1500" s="12" t="n">
        <v>46127</v>
      </c>
      <c r="G1500" s="12" t="n">
        <v>46147</v>
      </c>
      <c r="H1500" s="12" t="n">
        <v>46142</v>
      </c>
      <c r="I1500" s="12" t="n">
        <v>46140</v>
      </c>
      <c r="J1500" s="12" t="n">
        <v>46145</v>
      </c>
      <c r="K1500" s="2" t="n">
        <v>1478</v>
      </c>
      <c r="L1500" s="2" t="inlineStr">
        <is>
          <t>Air</t>
        </is>
      </c>
      <c r="M1500" s="2" t="inlineStr">
        <is>
          <t>No Delay</t>
        </is>
      </c>
      <c r="N1500" s="4">
        <f>IF(I1500&lt;=H1500,1,0)</f>
        <v/>
      </c>
      <c r="O1500" s="4">
        <f>IF(J1500&lt;=G1500,1,0)</f>
        <v/>
      </c>
      <c r="P1500" s="4">
        <f>MAX(0,I1500-H1500)</f>
        <v/>
      </c>
      <c r="Q1500" s="4">
        <f>MAX(0,J1500-G1500)</f>
        <v/>
      </c>
      <c r="R1500" s="4">
        <f>IF(AND(N1500=1,O1500=1),"On Track",IF(O1500=0,"Customer Delivery Late","Ship Late"))</f>
        <v/>
      </c>
    </row>
    <row r="1501">
      <c r="A1501" s="2" t="inlineStr">
        <is>
          <t>ORD-01500</t>
        </is>
      </c>
      <c r="B1501" s="2" t="inlineStr">
        <is>
          <t>Customer 22</t>
        </is>
      </c>
      <c r="C1501" s="2" t="inlineStr">
        <is>
          <t>Relay</t>
        </is>
      </c>
      <c r="D1501" s="2" t="inlineStr">
        <is>
          <t>Plant C</t>
        </is>
      </c>
      <c r="E1501" s="2" t="inlineStr">
        <is>
          <t>Central</t>
        </is>
      </c>
      <c r="F1501" s="12" t="n">
        <v>46145</v>
      </c>
      <c r="G1501" s="12" t="n">
        <v>46158</v>
      </c>
      <c r="H1501" s="12" t="n">
        <v>46157</v>
      </c>
      <c r="I1501" s="12" t="n">
        <v>46155</v>
      </c>
      <c r="J1501" s="12" t="n">
        <v>46157</v>
      </c>
      <c r="K1501" s="2" t="n">
        <v>1366</v>
      </c>
      <c r="L1501" s="2" t="inlineStr">
        <is>
          <t>Road</t>
        </is>
      </c>
      <c r="M1501" s="2" t="inlineStr">
        <is>
          <t>No Delay</t>
        </is>
      </c>
      <c r="N1501" s="4">
        <f>IF(I1501&lt;=H1501,1,0)</f>
        <v/>
      </c>
      <c r="O1501" s="4">
        <f>IF(J1501&lt;=G1501,1,0)</f>
        <v/>
      </c>
      <c r="P1501" s="4">
        <f>MAX(0,I1501-H1501)</f>
        <v/>
      </c>
      <c r="Q1501" s="4">
        <f>MAX(0,J1501-G1501)</f>
        <v/>
      </c>
      <c r="R1501" s="4">
        <f>IF(AND(N1501=1,O1501=1),"On Track",IF(O1501=0,"Customer Delivery Late","Ship Late"))</f>
        <v/>
      </c>
    </row>
    <row r="1502">
      <c r="A1502" s="2" t="inlineStr">
        <is>
          <t>ORD-01501</t>
        </is>
      </c>
      <c r="B1502" s="2" t="inlineStr">
        <is>
          <t>Customer 13</t>
        </is>
      </c>
      <c r="C1502" s="2" t="inlineStr">
        <is>
          <t>Relay</t>
        </is>
      </c>
      <c r="D1502" s="2" t="inlineStr">
        <is>
          <t>Plant B</t>
        </is>
      </c>
      <c r="E1502" s="2" t="inlineStr">
        <is>
          <t>South</t>
        </is>
      </c>
      <c r="F1502" s="12" t="n">
        <v>46168</v>
      </c>
      <c r="G1502" s="12" t="n">
        <v>46182</v>
      </c>
      <c r="H1502" s="12" t="n">
        <v>46179</v>
      </c>
      <c r="I1502" s="12" t="n">
        <v>46178</v>
      </c>
      <c r="J1502" s="12" t="n">
        <v>46186</v>
      </c>
      <c r="K1502" s="2" t="n">
        <v>26</v>
      </c>
      <c r="L1502" s="2" t="inlineStr">
        <is>
          <t>Road</t>
        </is>
      </c>
      <c r="M1502" s="2" t="inlineStr">
        <is>
          <t>Documentation Issue</t>
        </is>
      </c>
      <c r="N1502" s="4">
        <f>IF(I1502&lt;=H1502,1,0)</f>
        <v/>
      </c>
      <c r="O1502" s="4">
        <f>IF(J1502&lt;=G1502,1,0)</f>
        <v/>
      </c>
      <c r="P1502" s="4">
        <f>MAX(0,I1502-H1502)</f>
        <v/>
      </c>
      <c r="Q1502" s="4">
        <f>MAX(0,J1502-G1502)</f>
        <v/>
      </c>
      <c r="R1502" s="4">
        <f>IF(AND(N1502=1,O1502=1),"On Track",IF(O1502=0,"Customer Delivery Late","Ship Late"))</f>
        <v/>
      </c>
    </row>
    <row r="1503">
      <c r="A1503" s="2" t="inlineStr">
        <is>
          <t>ORD-01502</t>
        </is>
      </c>
      <c r="B1503" s="2" t="inlineStr">
        <is>
          <t>Customer 11</t>
        </is>
      </c>
      <c r="C1503" s="2" t="inlineStr">
        <is>
          <t>Sensor</t>
        </is>
      </c>
      <c r="D1503" s="2" t="inlineStr">
        <is>
          <t>Plant A</t>
        </is>
      </c>
      <c r="E1503" s="2" t="inlineStr">
        <is>
          <t>Export</t>
        </is>
      </c>
      <c r="F1503" s="12" t="n">
        <v>46064</v>
      </c>
      <c r="G1503" s="12" t="n">
        <v>46089</v>
      </c>
      <c r="H1503" s="12" t="n">
        <v>46086</v>
      </c>
      <c r="I1503" s="12" t="n">
        <v>46084</v>
      </c>
      <c r="J1503" s="12" t="n">
        <v>46087</v>
      </c>
      <c r="K1503" s="2" t="n">
        <v>386</v>
      </c>
      <c r="L1503" s="2" t="inlineStr">
        <is>
          <t>Air</t>
        </is>
      </c>
      <c r="M1503" s="2" t="inlineStr">
        <is>
          <t>No Delay</t>
        </is>
      </c>
      <c r="N1503" s="4">
        <f>IF(I1503&lt;=H1503,1,0)</f>
        <v/>
      </c>
      <c r="O1503" s="4">
        <f>IF(J1503&lt;=G1503,1,0)</f>
        <v/>
      </c>
      <c r="P1503" s="4">
        <f>MAX(0,I1503-H1503)</f>
        <v/>
      </c>
      <c r="Q1503" s="4">
        <f>MAX(0,J1503-G1503)</f>
        <v/>
      </c>
      <c r="R1503" s="4">
        <f>IF(AND(N1503=1,O1503=1),"On Track",IF(O1503=0,"Customer Delivery Late","Ship Late"))</f>
        <v/>
      </c>
    </row>
    <row r="1504">
      <c r="A1504" s="2" t="inlineStr">
        <is>
          <t>ORD-01503</t>
        </is>
      </c>
      <c r="B1504" s="2" t="inlineStr">
        <is>
          <t>Customer 19</t>
        </is>
      </c>
      <c r="C1504" s="2" t="inlineStr">
        <is>
          <t>Relay</t>
        </is>
      </c>
      <c r="D1504" s="2" t="inlineStr">
        <is>
          <t>Plant A</t>
        </is>
      </c>
      <c r="E1504" s="2" t="inlineStr">
        <is>
          <t>Central</t>
        </is>
      </c>
      <c r="F1504" s="12" t="n">
        <v>46050</v>
      </c>
      <c r="G1504" s="12" t="n">
        <v>46069</v>
      </c>
      <c r="H1504" s="12" t="n">
        <v>46064</v>
      </c>
      <c r="I1504" s="12" t="n">
        <v>46064</v>
      </c>
      <c r="J1504" s="12" t="n">
        <v>46069</v>
      </c>
      <c r="K1504" s="2" t="n">
        <v>640</v>
      </c>
      <c r="L1504" s="2" t="inlineStr">
        <is>
          <t>Air</t>
        </is>
      </c>
      <c r="M1504" s="2" t="inlineStr">
        <is>
          <t>No Delay</t>
        </is>
      </c>
      <c r="N1504" s="4">
        <f>IF(I1504&lt;=H1504,1,0)</f>
        <v/>
      </c>
      <c r="O1504" s="4">
        <f>IF(J1504&lt;=G1504,1,0)</f>
        <v/>
      </c>
      <c r="P1504" s="4">
        <f>MAX(0,I1504-H1504)</f>
        <v/>
      </c>
      <c r="Q1504" s="4">
        <f>MAX(0,J1504-G1504)</f>
        <v/>
      </c>
      <c r="R1504" s="4">
        <f>IF(AND(N1504=1,O1504=1),"On Track",IF(O1504=0,"Customer Delivery Late","Ship Late"))</f>
        <v/>
      </c>
    </row>
    <row r="1505">
      <c r="A1505" s="2" t="inlineStr">
        <is>
          <t>ORD-01504</t>
        </is>
      </c>
      <c r="B1505" s="2" t="inlineStr">
        <is>
          <t>Customer 02</t>
        </is>
      </c>
      <c r="C1505" s="2" t="inlineStr">
        <is>
          <t>Drive</t>
        </is>
      </c>
      <c r="D1505" s="2" t="inlineStr">
        <is>
          <t>Plant A</t>
        </is>
      </c>
      <c r="E1505" s="2" t="inlineStr">
        <is>
          <t>North</t>
        </is>
      </c>
      <c r="F1505" s="12" t="n">
        <v>46047</v>
      </c>
      <c r="G1505" s="12" t="n">
        <v>46054</v>
      </c>
      <c r="H1505" s="12" t="n">
        <v>46053</v>
      </c>
      <c r="I1505" s="12" t="n">
        <v>46051</v>
      </c>
      <c r="J1505" s="12" t="n">
        <v>46052</v>
      </c>
      <c r="K1505" s="2" t="n">
        <v>1314</v>
      </c>
      <c r="L1505" s="2" t="inlineStr">
        <is>
          <t>Sea</t>
        </is>
      </c>
      <c r="M1505" s="2" t="inlineStr">
        <is>
          <t>No Delay</t>
        </is>
      </c>
      <c r="N1505" s="4">
        <f>IF(I1505&lt;=H1505,1,0)</f>
        <v/>
      </c>
      <c r="O1505" s="4">
        <f>IF(J1505&lt;=G1505,1,0)</f>
        <v/>
      </c>
      <c r="P1505" s="4">
        <f>MAX(0,I1505-H1505)</f>
        <v/>
      </c>
      <c r="Q1505" s="4">
        <f>MAX(0,J1505-G1505)</f>
        <v/>
      </c>
      <c r="R1505" s="4">
        <f>IF(AND(N1505=1,O1505=1),"On Track",IF(O1505=0,"Customer Delivery Late","Ship Late"))</f>
        <v/>
      </c>
    </row>
    <row r="1506">
      <c r="A1506" s="2" t="inlineStr">
        <is>
          <t>ORD-01505</t>
        </is>
      </c>
      <c r="B1506" s="2" t="inlineStr">
        <is>
          <t>Customer 13</t>
        </is>
      </c>
      <c r="C1506" s="2" t="inlineStr">
        <is>
          <t>Switchgear</t>
        </is>
      </c>
      <c r="D1506" s="2" t="inlineStr">
        <is>
          <t>Plant A</t>
        </is>
      </c>
      <c r="E1506" s="2" t="inlineStr">
        <is>
          <t>Central</t>
        </is>
      </c>
      <c r="F1506" s="12" t="n">
        <v>46165</v>
      </c>
      <c r="G1506" s="12" t="n">
        <v>46183</v>
      </c>
      <c r="H1506" s="12" t="n">
        <v>46178</v>
      </c>
      <c r="I1506" s="12" t="n">
        <v>46176</v>
      </c>
      <c r="J1506" s="12" t="n">
        <v>46180</v>
      </c>
      <c r="K1506" s="2" t="n">
        <v>1272</v>
      </c>
      <c r="L1506" s="2" t="inlineStr">
        <is>
          <t>Road</t>
        </is>
      </c>
      <c r="M1506" s="2" t="inlineStr">
        <is>
          <t>No Delay</t>
        </is>
      </c>
      <c r="N1506" s="4">
        <f>IF(I1506&lt;=H1506,1,0)</f>
        <v/>
      </c>
      <c r="O1506" s="4">
        <f>IF(J1506&lt;=G1506,1,0)</f>
        <v/>
      </c>
      <c r="P1506" s="4">
        <f>MAX(0,I1506-H1506)</f>
        <v/>
      </c>
      <c r="Q1506" s="4">
        <f>MAX(0,J1506-G1506)</f>
        <v/>
      </c>
      <c r="R1506" s="4">
        <f>IF(AND(N1506=1,O1506=1),"On Track",IF(O1506=0,"Customer Delivery Late","Ship Late"))</f>
        <v/>
      </c>
    </row>
    <row r="1507">
      <c r="A1507" s="2" t="inlineStr">
        <is>
          <t>ORD-01506</t>
        </is>
      </c>
      <c r="B1507" s="2" t="inlineStr">
        <is>
          <t>Customer 28</t>
        </is>
      </c>
      <c r="C1507" s="2" t="inlineStr">
        <is>
          <t>Relay</t>
        </is>
      </c>
      <c r="D1507" s="2" t="inlineStr">
        <is>
          <t>Plant A</t>
        </is>
      </c>
      <c r="E1507" s="2" t="inlineStr">
        <is>
          <t>Central</t>
        </is>
      </c>
      <c r="F1507" s="12" t="n">
        <v>46095</v>
      </c>
      <c r="G1507" s="12" t="n">
        <v>46110</v>
      </c>
      <c r="H1507" s="12" t="n">
        <v>46106</v>
      </c>
      <c r="I1507" s="12" t="n">
        <v>46106</v>
      </c>
      <c r="J1507" s="12" t="n">
        <v>46110</v>
      </c>
      <c r="K1507" s="2" t="n">
        <v>1225</v>
      </c>
      <c r="L1507" s="2" t="inlineStr">
        <is>
          <t>Sea</t>
        </is>
      </c>
      <c r="M1507" s="2" t="inlineStr">
        <is>
          <t>No Delay</t>
        </is>
      </c>
      <c r="N1507" s="4">
        <f>IF(I1507&lt;=H1507,1,0)</f>
        <v/>
      </c>
      <c r="O1507" s="4">
        <f>IF(J1507&lt;=G1507,1,0)</f>
        <v/>
      </c>
      <c r="P1507" s="4">
        <f>MAX(0,I1507-H1507)</f>
        <v/>
      </c>
      <c r="Q1507" s="4">
        <f>MAX(0,J1507-G1507)</f>
        <v/>
      </c>
      <c r="R1507" s="4">
        <f>IF(AND(N1507=1,O1507=1),"On Track",IF(O1507=0,"Customer Delivery Late","Ship Late"))</f>
        <v/>
      </c>
    </row>
    <row r="1508">
      <c r="A1508" s="2" t="inlineStr">
        <is>
          <t>ORD-01507</t>
        </is>
      </c>
      <c r="B1508" s="2" t="inlineStr">
        <is>
          <t>Customer 26</t>
        </is>
      </c>
      <c r="C1508" s="2" t="inlineStr">
        <is>
          <t>Relay</t>
        </is>
      </c>
      <c r="D1508" s="2" t="inlineStr">
        <is>
          <t>Plant A</t>
        </is>
      </c>
      <c r="E1508" s="2" t="inlineStr">
        <is>
          <t>Central</t>
        </is>
      </c>
      <c r="F1508" s="12" t="n">
        <v>46174</v>
      </c>
      <c r="G1508" s="12" t="n">
        <v>46192</v>
      </c>
      <c r="H1508" s="12" t="n">
        <v>46189</v>
      </c>
      <c r="I1508" s="12" t="n">
        <v>46187</v>
      </c>
      <c r="J1508" s="12" t="n">
        <v>46190</v>
      </c>
      <c r="K1508" s="2" t="n">
        <v>947</v>
      </c>
      <c r="L1508" s="2" t="inlineStr">
        <is>
          <t>Air</t>
        </is>
      </c>
      <c r="M1508" s="2" t="inlineStr">
        <is>
          <t>No Delay</t>
        </is>
      </c>
      <c r="N1508" s="4">
        <f>IF(I1508&lt;=H1508,1,0)</f>
        <v/>
      </c>
      <c r="O1508" s="4">
        <f>IF(J1508&lt;=G1508,1,0)</f>
        <v/>
      </c>
      <c r="P1508" s="4">
        <f>MAX(0,I1508-H1508)</f>
        <v/>
      </c>
      <c r="Q1508" s="4">
        <f>MAX(0,J1508-G1508)</f>
        <v/>
      </c>
      <c r="R1508" s="4">
        <f>IF(AND(N1508=1,O1508=1),"On Track",IF(O1508=0,"Customer Delivery Late","Ship Late"))</f>
        <v/>
      </c>
    </row>
    <row r="1509">
      <c r="A1509" s="2" t="inlineStr">
        <is>
          <t>ORD-01508</t>
        </is>
      </c>
      <c r="B1509" s="2" t="inlineStr">
        <is>
          <t>Customer 05</t>
        </is>
      </c>
      <c r="C1509" s="2" t="inlineStr">
        <is>
          <t>Breaker</t>
        </is>
      </c>
      <c r="D1509" s="2" t="inlineStr">
        <is>
          <t>Plant B</t>
        </is>
      </c>
      <c r="E1509" s="2" t="inlineStr">
        <is>
          <t>North</t>
        </is>
      </c>
      <c r="F1509" s="12" t="n">
        <v>46113</v>
      </c>
      <c r="G1509" s="12" t="n">
        <v>46134</v>
      </c>
      <c r="H1509" s="12" t="n">
        <v>46132</v>
      </c>
      <c r="I1509" s="12" t="n">
        <v>46131</v>
      </c>
      <c r="J1509" s="12" t="n">
        <v>46132</v>
      </c>
      <c r="K1509" s="2" t="n">
        <v>196</v>
      </c>
      <c r="L1509" s="2" t="inlineStr">
        <is>
          <t>Air</t>
        </is>
      </c>
      <c r="M1509" s="2" t="inlineStr">
        <is>
          <t>No Delay</t>
        </is>
      </c>
      <c r="N1509" s="4">
        <f>IF(I1509&lt;=H1509,1,0)</f>
        <v/>
      </c>
      <c r="O1509" s="4">
        <f>IF(J1509&lt;=G1509,1,0)</f>
        <v/>
      </c>
      <c r="P1509" s="4">
        <f>MAX(0,I1509-H1509)</f>
        <v/>
      </c>
      <c r="Q1509" s="4">
        <f>MAX(0,J1509-G1509)</f>
        <v/>
      </c>
      <c r="R1509" s="4">
        <f>IF(AND(N1509=1,O1509=1),"On Track",IF(O1509=0,"Customer Delivery Late","Ship Late"))</f>
        <v/>
      </c>
    </row>
    <row r="1510">
      <c r="A1510" s="2" t="inlineStr">
        <is>
          <t>ORD-01509</t>
        </is>
      </c>
      <c r="B1510" s="2" t="inlineStr">
        <is>
          <t>Customer 26</t>
        </is>
      </c>
      <c r="C1510" s="2" t="inlineStr">
        <is>
          <t>Relay</t>
        </is>
      </c>
      <c r="D1510" s="2" t="inlineStr">
        <is>
          <t>Plant A</t>
        </is>
      </c>
      <c r="E1510" s="2" t="inlineStr">
        <is>
          <t>South</t>
        </is>
      </c>
      <c r="F1510" s="12" t="n">
        <v>46064</v>
      </c>
      <c r="G1510" s="12" t="n">
        <v>46076</v>
      </c>
      <c r="H1510" s="12" t="n">
        <v>46071</v>
      </c>
      <c r="I1510" s="12" t="n">
        <v>46069</v>
      </c>
      <c r="J1510" s="12" t="n">
        <v>46074</v>
      </c>
      <c r="K1510" s="2" t="n">
        <v>1084</v>
      </c>
      <c r="L1510" s="2" t="inlineStr">
        <is>
          <t>Road</t>
        </is>
      </c>
      <c r="M1510" s="2" t="inlineStr">
        <is>
          <t>No Delay</t>
        </is>
      </c>
      <c r="N1510" s="4">
        <f>IF(I1510&lt;=H1510,1,0)</f>
        <v/>
      </c>
      <c r="O1510" s="4">
        <f>IF(J1510&lt;=G1510,1,0)</f>
        <v/>
      </c>
      <c r="P1510" s="4">
        <f>MAX(0,I1510-H1510)</f>
        <v/>
      </c>
      <c r="Q1510" s="4">
        <f>MAX(0,J1510-G1510)</f>
        <v/>
      </c>
      <c r="R1510" s="4">
        <f>IF(AND(N1510=1,O1510=1),"On Track",IF(O1510=0,"Customer Delivery Late","Ship Late"))</f>
        <v/>
      </c>
    </row>
    <row r="1511">
      <c r="A1511" s="2" t="inlineStr">
        <is>
          <t>ORD-01510</t>
        </is>
      </c>
      <c r="B1511" s="2" t="inlineStr">
        <is>
          <t>Customer 25</t>
        </is>
      </c>
      <c r="C1511" s="2" t="inlineStr">
        <is>
          <t>Contactor</t>
        </is>
      </c>
      <c r="D1511" s="2" t="inlineStr">
        <is>
          <t>Plant C</t>
        </is>
      </c>
      <c r="E1511" s="2" t="inlineStr">
        <is>
          <t>Export</t>
        </is>
      </c>
      <c r="F1511" s="12" t="n">
        <v>46156</v>
      </c>
      <c r="G1511" s="12" t="n">
        <v>46179</v>
      </c>
      <c r="H1511" s="12" t="n">
        <v>46175</v>
      </c>
      <c r="I1511" s="12" t="n">
        <v>46175</v>
      </c>
      <c r="J1511" s="12" t="n">
        <v>46180</v>
      </c>
      <c r="K1511" s="2" t="n">
        <v>443</v>
      </c>
      <c r="L1511" s="2" t="inlineStr">
        <is>
          <t>Sea</t>
        </is>
      </c>
      <c r="M1511" s="2" t="inlineStr">
        <is>
          <t>Material Shortage</t>
        </is>
      </c>
      <c r="N1511" s="4">
        <f>IF(I1511&lt;=H1511,1,0)</f>
        <v/>
      </c>
      <c r="O1511" s="4">
        <f>IF(J1511&lt;=G1511,1,0)</f>
        <v/>
      </c>
      <c r="P1511" s="4">
        <f>MAX(0,I1511-H1511)</f>
        <v/>
      </c>
      <c r="Q1511" s="4">
        <f>MAX(0,J1511-G1511)</f>
        <v/>
      </c>
      <c r="R1511" s="4">
        <f>IF(AND(N1511=1,O1511=1),"On Track",IF(O1511=0,"Customer Delivery Late","Ship Late"))</f>
        <v/>
      </c>
    </row>
    <row r="1512">
      <c r="A1512" s="2" t="inlineStr">
        <is>
          <t>ORD-01511</t>
        </is>
      </c>
      <c r="B1512" s="2" t="inlineStr">
        <is>
          <t>Customer 16</t>
        </is>
      </c>
      <c r="C1512" s="2" t="inlineStr">
        <is>
          <t>Relay</t>
        </is>
      </c>
      <c r="D1512" s="2" t="inlineStr">
        <is>
          <t>Plant C</t>
        </is>
      </c>
      <c r="E1512" s="2" t="inlineStr">
        <is>
          <t>North</t>
        </is>
      </c>
      <c r="F1512" s="12" t="n">
        <v>46118</v>
      </c>
      <c r="G1512" s="12" t="n">
        <v>46133</v>
      </c>
      <c r="H1512" s="12" t="n">
        <v>46128</v>
      </c>
      <c r="I1512" s="12" t="n">
        <v>46128</v>
      </c>
      <c r="J1512" s="12" t="n">
        <v>46134</v>
      </c>
      <c r="K1512" s="2" t="n">
        <v>791</v>
      </c>
      <c r="L1512" s="2" t="inlineStr">
        <is>
          <t>Sea</t>
        </is>
      </c>
      <c r="M1512" s="2" t="inlineStr">
        <is>
          <t>Customer Change</t>
        </is>
      </c>
      <c r="N1512" s="4">
        <f>IF(I1512&lt;=H1512,1,0)</f>
        <v/>
      </c>
      <c r="O1512" s="4">
        <f>IF(J1512&lt;=G1512,1,0)</f>
        <v/>
      </c>
      <c r="P1512" s="4">
        <f>MAX(0,I1512-H1512)</f>
        <v/>
      </c>
      <c r="Q1512" s="4">
        <f>MAX(0,J1512-G1512)</f>
        <v/>
      </c>
      <c r="R1512" s="4">
        <f>IF(AND(N1512=1,O1512=1),"On Track",IF(O1512=0,"Customer Delivery Late","Ship Late"))</f>
        <v/>
      </c>
    </row>
    <row r="1513">
      <c r="A1513" s="2" t="inlineStr">
        <is>
          <t>ORD-01512</t>
        </is>
      </c>
      <c r="B1513" s="2" t="inlineStr">
        <is>
          <t>Customer 26</t>
        </is>
      </c>
      <c r="C1513" s="2" t="inlineStr">
        <is>
          <t>PLC</t>
        </is>
      </c>
      <c r="D1513" s="2" t="inlineStr">
        <is>
          <t>Plant A</t>
        </is>
      </c>
      <c r="E1513" s="2" t="inlineStr">
        <is>
          <t>Export</t>
        </is>
      </c>
      <c r="F1513" s="12" t="n">
        <v>46155</v>
      </c>
      <c r="G1513" s="12" t="n">
        <v>46161</v>
      </c>
      <c r="H1513" s="12" t="n">
        <v>46160</v>
      </c>
      <c r="I1513" s="12" t="n">
        <v>46159</v>
      </c>
      <c r="J1513" s="12" t="n">
        <v>46160</v>
      </c>
      <c r="K1513" s="2" t="n">
        <v>1256</v>
      </c>
      <c r="L1513" s="2" t="inlineStr">
        <is>
          <t>Road</t>
        </is>
      </c>
      <c r="M1513" s="2" t="inlineStr">
        <is>
          <t>No Delay</t>
        </is>
      </c>
      <c r="N1513" s="4">
        <f>IF(I1513&lt;=H1513,1,0)</f>
        <v/>
      </c>
      <c r="O1513" s="4">
        <f>IF(J1513&lt;=G1513,1,0)</f>
        <v/>
      </c>
      <c r="P1513" s="4">
        <f>MAX(0,I1513-H1513)</f>
        <v/>
      </c>
      <c r="Q1513" s="4">
        <f>MAX(0,J1513-G1513)</f>
        <v/>
      </c>
      <c r="R1513" s="4">
        <f>IF(AND(N1513=1,O1513=1),"On Track",IF(O1513=0,"Customer Delivery Late","Ship Late"))</f>
        <v/>
      </c>
    </row>
    <row r="1514">
      <c r="A1514" s="2" t="inlineStr">
        <is>
          <t>ORD-01513</t>
        </is>
      </c>
      <c r="B1514" s="2" t="inlineStr">
        <is>
          <t>Customer 10</t>
        </is>
      </c>
      <c r="C1514" s="2" t="inlineStr">
        <is>
          <t>Breaker</t>
        </is>
      </c>
      <c r="D1514" s="2" t="inlineStr">
        <is>
          <t>Plant C</t>
        </is>
      </c>
      <c r="E1514" s="2" t="inlineStr">
        <is>
          <t>North</t>
        </is>
      </c>
      <c r="F1514" s="12" t="n">
        <v>46153</v>
      </c>
      <c r="G1514" s="12" t="n">
        <v>46176</v>
      </c>
      <c r="H1514" s="12" t="n">
        <v>46172</v>
      </c>
      <c r="I1514" s="12" t="n">
        <v>46172</v>
      </c>
      <c r="J1514" s="12" t="n">
        <v>46176</v>
      </c>
      <c r="K1514" s="2" t="n">
        <v>1062</v>
      </c>
      <c r="L1514" s="2" t="inlineStr">
        <is>
          <t>Road</t>
        </is>
      </c>
      <c r="M1514" s="2" t="inlineStr">
        <is>
          <t>No Delay</t>
        </is>
      </c>
      <c r="N1514" s="4">
        <f>IF(I1514&lt;=H1514,1,0)</f>
        <v/>
      </c>
      <c r="O1514" s="4">
        <f>IF(J1514&lt;=G1514,1,0)</f>
        <v/>
      </c>
      <c r="P1514" s="4">
        <f>MAX(0,I1514-H1514)</f>
        <v/>
      </c>
      <c r="Q1514" s="4">
        <f>MAX(0,J1514-G1514)</f>
        <v/>
      </c>
      <c r="R1514" s="4">
        <f>IF(AND(N1514=1,O1514=1),"On Track",IF(O1514=0,"Customer Delivery Late","Ship Late"))</f>
        <v/>
      </c>
    </row>
    <row r="1515">
      <c r="A1515" s="2" t="inlineStr">
        <is>
          <t>ORD-01514</t>
        </is>
      </c>
      <c r="B1515" s="2" t="inlineStr">
        <is>
          <t>Customer 05</t>
        </is>
      </c>
      <c r="C1515" s="2" t="inlineStr">
        <is>
          <t>PLC</t>
        </is>
      </c>
      <c r="D1515" s="2" t="inlineStr">
        <is>
          <t>Plant A</t>
        </is>
      </c>
      <c r="E1515" s="2" t="inlineStr">
        <is>
          <t>Central</t>
        </is>
      </c>
      <c r="F1515" s="12" t="n">
        <v>46066</v>
      </c>
      <c r="G1515" s="12" t="n">
        <v>46086</v>
      </c>
      <c r="H1515" s="12" t="n">
        <v>46084</v>
      </c>
      <c r="I1515" s="12" t="n">
        <v>46082</v>
      </c>
      <c r="J1515" s="12" t="n">
        <v>46085</v>
      </c>
      <c r="K1515" s="2" t="n">
        <v>131</v>
      </c>
      <c r="L1515" s="2" t="inlineStr">
        <is>
          <t>Air</t>
        </is>
      </c>
      <c r="M1515" s="2" t="inlineStr">
        <is>
          <t>No Delay</t>
        </is>
      </c>
      <c r="N1515" s="4">
        <f>IF(I1515&lt;=H1515,1,0)</f>
        <v/>
      </c>
      <c r="O1515" s="4">
        <f>IF(J1515&lt;=G1515,1,0)</f>
        <v/>
      </c>
      <c r="P1515" s="4">
        <f>MAX(0,I1515-H1515)</f>
        <v/>
      </c>
      <c r="Q1515" s="4">
        <f>MAX(0,J1515-G1515)</f>
        <v/>
      </c>
      <c r="R1515" s="4">
        <f>IF(AND(N1515=1,O1515=1),"On Track",IF(O1515=0,"Customer Delivery Late","Ship Late"))</f>
        <v/>
      </c>
    </row>
    <row r="1516">
      <c r="A1516" s="2" t="inlineStr">
        <is>
          <t>ORD-01515</t>
        </is>
      </c>
      <c r="B1516" s="2" t="inlineStr">
        <is>
          <t>Customer 28</t>
        </is>
      </c>
      <c r="C1516" s="2" t="inlineStr">
        <is>
          <t>Contactor</t>
        </is>
      </c>
      <c r="D1516" s="2" t="inlineStr">
        <is>
          <t>Plant A</t>
        </is>
      </c>
      <c r="E1516" s="2" t="inlineStr">
        <is>
          <t>Export</t>
        </is>
      </c>
      <c r="F1516" s="12" t="n">
        <v>46045</v>
      </c>
      <c r="G1516" s="12" t="n">
        <v>46058</v>
      </c>
      <c r="H1516" s="12" t="n">
        <v>46055</v>
      </c>
      <c r="I1516" s="12" t="n">
        <v>46054</v>
      </c>
      <c r="J1516" s="12" t="n">
        <v>46057</v>
      </c>
      <c r="K1516" s="2" t="n">
        <v>747</v>
      </c>
      <c r="L1516" s="2" t="inlineStr">
        <is>
          <t>Sea</t>
        </is>
      </c>
      <c r="M1516" s="2" t="inlineStr">
        <is>
          <t>No Delay</t>
        </is>
      </c>
      <c r="N1516" s="4">
        <f>IF(I1516&lt;=H1516,1,0)</f>
        <v/>
      </c>
      <c r="O1516" s="4">
        <f>IF(J1516&lt;=G1516,1,0)</f>
        <v/>
      </c>
      <c r="P1516" s="4">
        <f>MAX(0,I1516-H1516)</f>
        <v/>
      </c>
      <c r="Q1516" s="4">
        <f>MAX(0,J1516-G1516)</f>
        <v/>
      </c>
      <c r="R1516" s="4">
        <f>IF(AND(N1516=1,O1516=1),"On Track",IF(O1516=0,"Customer Delivery Late","Ship Late"))</f>
        <v/>
      </c>
    </row>
    <row r="1517">
      <c r="A1517" s="2" t="inlineStr">
        <is>
          <t>ORD-01516</t>
        </is>
      </c>
      <c r="B1517" s="2" t="inlineStr">
        <is>
          <t>Customer 07</t>
        </is>
      </c>
      <c r="C1517" s="2" t="inlineStr">
        <is>
          <t>Breaker</t>
        </is>
      </c>
      <c r="D1517" s="2" t="inlineStr">
        <is>
          <t>Plant B</t>
        </is>
      </c>
      <c r="E1517" s="2" t="inlineStr">
        <is>
          <t>Central</t>
        </is>
      </c>
      <c r="F1517" s="12" t="n">
        <v>46177</v>
      </c>
      <c r="G1517" s="12" t="n">
        <v>46188</v>
      </c>
      <c r="H1517" s="12" t="n">
        <v>46187</v>
      </c>
      <c r="I1517" s="12" t="n">
        <v>46187</v>
      </c>
      <c r="J1517" s="12" t="n">
        <v>46188</v>
      </c>
      <c r="K1517" s="2" t="n">
        <v>458</v>
      </c>
      <c r="L1517" s="2" t="inlineStr">
        <is>
          <t>Road</t>
        </is>
      </c>
      <c r="M1517" s="2" t="inlineStr">
        <is>
          <t>No Delay</t>
        </is>
      </c>
      <c r="N1517" s="4">
        <f>IF(I1517&lt;=H1517,1,0)</f>
        <v/>
      </c>
      <c r="O1517" s="4">
        <f>IF(J1517&lt;=G1517,1,0)</f>
        <v/>
      </c>
      <c r="P1517" s="4">
        <f>MAX(0,I1517-H1517)</f>
        <v/>
      </c>
      <c r="Q1517" s="4">
        <f>MAX(0,J1517-G1517)</f>
        <v/>
      </c>
      <c r="R1517" s="4">
        <f>IF(AND(N1517=1,O1517=1),"On Track",IF(O1517=0,"Customer Delivery Late","Ship Late"))</f>
        <v/>
      </c>
    </row>
    <row r="1518">
      <c r="A1518" s="2" t="inlineStr">
        <is>
          <t>ORD-01517</t>
        </is>
      </c>
      <c r="B1518" s="2" t="inlineStr">
        <is>
          <t>Customer 07</t>
        </is>
      </c>
      <c r="C1518" s="2" t="inlineStr">
        <is>
          <t>Breaker</t>
        </is>
      </c>
      <c r="D1518" s="2" t="inlineStr">
        <is>
          <t>Plant A</t>
        </is>
      </c>
      <c r="E1518" s="2" t="inlineStr">
        <is>
          <t>North</t>
        </is>
      </c>
      <c r="F1518" s="12" t="n">
        <v>46056</v>
      </c>
      <c r="G1518" s="12" t="n">
        <v>46075</v>
      </c>
      <c r="H1518" s="12" t="n">
        <v>46071</v>
      </c>
      <c r="I1518" s="12" t="n">
        <v>46069</v>
      </c>
      <c r="J1518" s="12" t="n">
        <v>46073</v>
      </c>
      <c r="K1518" s="2" t="n">
        <v>865</v>
      </c>
      <c r="L1518" s="2" t="inlineStr">
        <is>
          <t>Air</t>
        </is>
      </c>
      <c r="M1518" s="2" t="inlineStr">
        <is>
          <t>No Delay</t>
        </is>
      </c>
      <c r="N1518" s="4">
        <f>IF(I1518&lt;=H1518,1,0)</f>
        <v/>
      </c>
      <c r="O1518" s="4">
        <f>IF(J1518&lt;=G1518,1,0)</f>
        <v/>
      </c>
      <c r="P1518" s="4">
        <f>MAX(0,I1518-H1518)</f>
        <v/>
      </c>
      <c r="Q1518" s="4">
        <f>MAX(0,J1518-G1518)</f>
        <v/>
      </c>
      <c r="R1518" s="4">
        <f>IF(AND(N1518=1,O1518=1),"On Track",IF(O1518=0,"Customer Delivery Late","Ship Late"))</f>
        <v/>
      </c>
    </row>
    <row r="1519">
      <c r="A1519" s="2" t="inlineStr">
        <is>
          <t>ORD-01518</t>
        </is>
      </c>
      <c r="B1519" s="2" t="inlineStr">
        <is>
          <t>Customer 20</t>
        </is>
      </c>
      <c r="C1519" s="2" t="inlineStr">
        <is>
          <t>PLC</t>
        </is>
      </c>
      <c r="D1519" s="2" t="inlineStr">
        <is>
          <t>Plant B</t>
        </is>
      </c>
      <c r="E1519" s="2" t="inlineStr">
        <is>
          <t>Export</t>
        </is>
      </c>
      <c r="F1519" s="12" t="n">
        <v>46035</v>
      </c>
      <c r="G1519" s="12" t="n">
        <v>46053</v>
      </c>
      <c r="H1519" s="12" t="n">
        <v>46050</v>
      </c>
      <c r="I1519" s="12" t="n">
        <v>46048</v>
      </c>
      <c r="J1519" s="12" t="n">
        <v>46051</v>
      </c>
      <c r="K1519" s="2" t="n">
        <v>951</v>
      </c>
      <c r="L1519" s="2" t="inlineStr">
        <is>
          <t>Air</t>
        </is>
      </c>
      <c r="M1519" s="2" t="inlineStr">
        <is>
          <t>No Delay</t>
        </is>
      </c>
      <c r="N1519" s="4">
        <f>IF(I1519&lt;=H1519,1,0)</f>
        <v/>
      </c>
      <c r="O1519" s="4">
        <f>IF(J1519&lt;=G1519,1,0)</f>
        <v/>
      </c>
      <c r="P1519" s="4">
        <f>MAX(0,I1519-H1519)</f>
        <v/>
      </c>
      <c r="Q1519" s="4">
        <f>MAX(0,J1519-G1519)</f>
        <v/>
      </c>
      <c r="R1519" s="4">
        <f>IF(AND(N1519=1,O1519=1),"On Track",IF(O1519=0,"Customer Delivery Late","Ship Late"))</f>
        <v/>
      </c>
    </row>
    <row r="1520">
      <c r="A1520" s="2" t="inlineStr">
        <is>
          <t>ORD-01519</t>
        </is>
      </c>
      <c r="B1520" s="2" t="inlineStr">
        <is>
          <t>Customer 21</t>
        </is>
      </c>
      <c r="C1520" s="2" t="inlineStr">
        <is>
          <t>Relay</t>
        </is>
      </c>
      <c r="D1520" s="2" t="inlineStr">
        <is>
          <t>Plant C</t>
        </is>
      </c>
      <c r="E1520" s="2" t="inlineStr">
        <is>
          <t>North</t>
        </is>
      </c>
      <c r="F1520" s="12" t="n">
        <v>46124</v>
      </c>
      <c r="G1520" s="12" t="n">
        <v>46147</v>
      </c>
      <c r="H1520" s="12" t="n">
        <v>46146</v>
      </c>
      <c r="I1520" s="12" t="n">
        <v>46144</v>
      </c>
      <c r="J1520" s="12" t="n">
        <v>46145</v>
      </c>
      <c r="K1520" s="2" t="n">
        <v>861</v>
      </c>
      <c r="L1520" s="2" t="inlineStr">
        <is>
          <t>Sea</t>
        </is>
      </c>
      <c r="M1520" s="2" t="inlineStr">
        <is>
          <t>No Delay</t>
        </is>
      </c>
      <c r="N1520" s="4">
        <f>IF(I1520&lt;=H1520,1,0)</f>
        <v/>
      </c>
      <c r="O1520" s="4">
        <f>IF(J1520&lt;=G1520,1,0)</f>
        <v/>
      </c>
      <c r="P1520" s="4">
        <f>MAX(0,I1520-H1520)</f>
        <v/>
      </c>
      <c r="Q1520" s="4">
        <f>MAX(0,J1520-G1520)</f>
        <v/>
      </c>
      <c r="R1520" s="4">
        <f>IF(AND(N1520=1,O1520=1),"On Track",IF(O1520=0,"Customer Delivery Late","Ship Late"))</f>
        <v/>
      </c>
    </row>
    <row r="1521">
      <c r="A1521" s="2" t="inlineStr">
        <is>
          <t>ORD-01520</t>
        </is>
      </c>
      <c r="B1521" s="2" t="inlineStr">
        <is>
          <t>Customer 17</t>
        </is>
      </c>
      <c r="C1521" s="2" t="inlineStr">
        <is>
          <t>PLC</t>
        </is>
      </c>
      <c r="D1521" s="2" t="inlineStr">
        <is>
          <t>Plant A</t>
        </is>
      </c>
      <c r="E1521" s="2" t="inlineStr">
        <is>
          <t>North</t>
        </is>
      </c>
      <c r="F1521" s="12" t="n">
        <v>46198</v>
      </c>
      <c r="G1521" s="12" t="n">
        <v>46205</v>
      </c>
      <c r="H1521" s="12" t="n">
        <v>46201</v>
      </c>
      <c r="I1521" s="12" t="n">
        <v>46201</v>
      </c>
      <c r="J1521" s="12" t="n">
        <v>46205</v>
      </c>
      <c r="K1521" s="2" t="n">
        <v>549</v>
      </c>
      <c r="L1521" s="2" t="inlineStr">
        <is>
          <t>Road</t>
        </is>
      </c>
      <c r="M1521" s="2" t="inlineStr">
        <is>
          <t>No Delay</t>
        </is>
      </c>
      <c r="N1521" s="4">
        <f>IF(I1521&lt;=H1521,1,0)</f>
        <v/>
      </c>
      <c r="O1521" s="4">
        <f>IF(J1521&lt;=G1521,1,0)</f>
        <v/>
      </c>
      <c r="P1521" s="4">
        <f>MAX(0,I1521-H1521)</f>
        <v/>
      </c>
      <c r="Q1521" s="4">
        <f>MAX(0,J1521-G1521)</f>
        <v/>
      </c>
      <c r="R1521" s="4">
        <f>IF(AND(N1521=1,O1521=1),"On Track",IF(O1521=0,"Customer Delivery Late","Ship Late"))</f>
        <v/>
      </c>
    </row>
    <row r="1522">
      <c r="A1522" s="2" t="inlineStr">
        <is>
          <t>ORD-01521</t>
        </is>
      </c>
      <c r="B1522" s="2" t="inlineStr">
        <is>
          <t>Customer 26</t>
        </is>
      </c>
      <c r="C1522" s="2" t="inlineStr">
        <is>
          <t>PLC</t>
        </is>
      </c>
      <c r="D1522" s="2" t="inlineStr">
        <is>
          <t>Plant A</t>
        </is>
      </c>
      <c r="E1522" s="2" t="inlineStr">
        <is>
          <t>Export</t>
        </is>
      </c>
      <c r="F1522" s="12" t="n">
        <v>46161</v>
      </c>
      <c r="G1522" s="12" t="n">
        <v>46174</v>
      </c>
      <c r="H1522" s="12" t="n">
        <v>46173</v>
      </c>
      <c r="I1522" s="12" t="n">
        <v>46172</v>
      </c>
      <c r="J1522" s="12" t="n">
        <v>46173</v>
      </c>
      <c r="K1522" s="2" t="n">
        <v>1007</v>
      </c>
      <c r="L1522" s="2" t="inlineStr">
        <is>
          <t>Road</t>
        </is>
      </c>
      <c r="M1522" s="2" t="inlineStr">
        <is>
          <t>No Delay</t>
        </is>
      </c>
      <c r="N1522" s="4">
        <f>IF(I1522&lt;=H1522,1,0)</f>
        <v/>
      </c>
      <c r="O1522" s="4">
        <f>IF(J1522&lt;=G1522,1,0)</f>
        <v/>
      </c>
      <c r="P1522" s="4">
        <f>MAX(0,I1522-H1522)</f>
        <v/>
      </c>
      <c r="Q1522" s="4">
        <f>MAX(0,J1522-G1522)</f>
        <v/>
      </c>
      <c r="R1522" s="4">
        <f>IF(AND(N1522=1,O1522=1),"On Track",IF(O1522=0,"Customer Delivery Late","Ship Late"))</f>
        <v/>
      </c>
    </row>
    <row r="1523">
      <c r="A1523" s="2" t="inlineStr">
        <is>
          <t>ORD-01522</t>
        </is>
      </c>
      <c r="B1523" s="2" t="inlineStr">
        <is>
          <t>Customer 25</t>
        </is>
      </c>
      <c r="C1523" s="2" t="inlineStr">
        <is>
          <t>Breaker</t>
        </is>
      </c>
      <c r="D1523" s="2" t="inlineStr">
        <is>
          <t>Plant B</t>
        </is>
      </c>
      <c r="E1523" s="2" t="inlineStr">
        <is>
          <t>Central</t>
        </is>
      </c>
      <c r="F1523" s="12" t="n">
        <v>46151</v>
      </c>
      <c r="G1523" s="12" t="n">
        <v>46157</v>
      </c>
      <c r="H1523" s="12" t="n">
        <v>46154</v>
      </c>
      <c r="I1523" s="12" t="n">
        <v>46153</v>
      </c>
      <c r="J1523" s="12" t="n">
        <v>46156</v>
      </c>
      <c r="K1523" s="2" t="n">
        <v>1444</v>
      </c>
      <c r="L1523" s="2" t="inlineStr">
        <is>
          <t>Air</t>
        </is>
      </c>
      <c r="M1523" s="2" t="inlineStr">
        <is>
          <t>No Delay</t>
        </is>
      </c>
      <c r="N1523" s="4">
        <f>IF(I1523&lt;=H1523,1,0)</f>
        <v/>
      </c>
      <c r="O1523" s="4">
        <f>IF(J1523&lt;=G1523,1,0)</f>
        <v/>
      </c>
      <c r="P1523" s="4">
        <f>MAX(0,I1523-H1523)</f>
        <v/>
      </c>
      <c r="Q1523" s="4">
        <f>MAX(0,J1523-G1523)</f>
        <v/>
      </c>
      <c r="R1523" s="4">
        <f>IF(AND(N1523=1,O1523=1),"On Track",IF(O1523=0,"Customer Delivery Late","Ship Late"))</f>
        <v/>
      </c>
    </row>
    <row r="1524">
      <c r="A1524" s="2" t="inlineStr">
        <is>
          <t>ORD-01523</t>
        </is>
      </c>
      <c r="B1524" s="2" t="inlineStr">
        <is>
          <t>Customer 19</t>
        </is>
      </c>
      <c r="C1524" s="2" t="inlineStr">
        <is>
          <t>Sensor</t>
        </is>
      </c>
      <c r="D1524" s="2" t="inlineStr">
        <is>
          <t>Plant B</t>
        </is>
      </c>
      <c r="E1524" s="2" t="inlineStr">
        <is>
          <t>South</t>
        </is>
      </c>
      <c r="F1524" s="12" t="n">
        <v>46062</v>
      </c>
      <c r="G1524" s="12" t="n">
        <v>46069</v>
      </c>
      <c r="H1524" s="12" t="n">
        <v>46064</v>
      </c>
      <c r="I1524" s="12" t="n">
        <v>46063</v>
      </c>
      <c r="J1524" s="12" t="n">
        <v>46068</v>
      </c>
      <c r="K1524" s="2" t="n">
        <v>1353</v>
      </c>
      <c r="L1524" s="2" t="inlineStr">
        <is>
          <t>Road</t>
        </is>
      </c>
      <c r="M1524" s="2" t="inlineStr">
        <is>
          <t>No Delay</t>
        </is>
      </c>
      <c r="N1524" s="4">
        <f>IF(I1524&lt;=H1524,1,0)</f>
        <v/>
      </c>
      <c r="O1524" s="4">
        <f>IF(J1524&lt;=G1524,1,0)</f>
        <v/>
      </c>
      <c r="P1524" s="4">
        <f>MAX(0,I1524-H1524)</f>
        <v/>
      </c>
      <c r="Q1524" s="4">
        <f>MAX(0,J1524-G1524)</f>
        <v/>
      </c>
      <c r="R1524" s="4">
        <f>IF(AND(N1524=1,O1524=1),"On Track",IF(O1524=0,"Customer Delivery Late","Ship Late"))</f>
        <v/>
      </c>
    </row>
    <row r="1525">
      <c r="A1525" s="2" t="inlineStr">
        <is>
          <t>ORD-01524</t>
        </is>
      </c>
      <c r="B1525" s="2" t="inlineStr">
        <is>
          <t>Customer 01</t>
        </is>
      </c>
      <c r="C1525" s="2" t="inlineStr">
        <is>
          <t>Sensor</t>
        </is>
      </c>
      <c r="D1525" s="2" t="inlineStr">
        <is>
          <t>Plant C</t>
        </is>
      </c>
      <c r="E1525" s="2" t="inlineStr">
        <is>
          <t>Export</t>
        </is>
      </c>
      <c r="F1525" s="12" t="n">
        <v>46135</v>
      </c>
      <c r="G1525" s="12" t="n">
        <v>46153</v>
      </c>
      <c r="H1525" s="12" t="n">
        <v>46149</v>
      </c>
      <c r="I1525" s="12" t="n">
        <v>46154</v>
      </c>
      <c r="J1525" s="12" t="n">
        <v>46158</v>
      </c>
      <c r="K1525" s="2" t="n">
        <v>352</v>
      </c>
      <c r="L1525" s="2" t="inlineStr">
        <is>
          <t>Air</t>
        </is>
      </c>
      <c r="M1525" s="2" t="inlineStr">
        <is>
          <t>Carrier Delay</t>
        </is>
      </c>
      <c r="N1525" s="4">
        <f>IF(I1525&lt;=H1525,1,0)</f>
        <v/>
      </c>
      <c r="O1525" s="4">
        <f>IF(J1525&lt;=G1525,1,0)</f>
        <v/>
      </c>
      <c r="P1525" s="4">
        <f>MAX(0,I1525-H1525)</f>
        <v/>
      </c>
      <c r="Q1525" s="4">
        <f>MAX(0,J1525-G1525)</f>
        <v/>
      </c>
      <c r="R1525" s="4">
        <f>IF(AND(N1525=1,O1525=1),"On Track",IF(O1525=0,"Customer Delivery Late","Ship Late"))</f>
        <v/>
      </c>
    </row>
    <row r="1526">
      <c r="A1526" s="2" t="inlineStr">
        <is>
          <t>ORD-01525</t>
        </is>
      </c>
      <c r="B1526" s="2" t="inlineStr">
        <is>
          <t>Customer 05</t>
        </is>
      </c>
      <c r="C1526" s="2" t="inlineStr">
        <is>
          <t>Sensor</t>
        </is>
      </c>
      <c r="D1526" s="2" t="inlineStr">
        <is>
          <t>Plant A</t>
        </is>
      </c>
      <c r="E1526" s="2" t="inlineStr">
        <is>
          <t>Export</t>
        </is>
      </c>
      <c r="F1526" s="12" t="n">
        <v>46071</v>
      </c>
      <c r="G1526" s="12" t="n">
        <v>46080</v>
      </c>
      <c r="H1526" s="12" t="n">
        <v>46078</v>
      </c>
      <c r="I1526" s="12" t="n">
        <v>46077</v>
      </c>
      <c r="J1526" s="12" t="n">
        <v>46078</v>
      </c>
      <c r="K1526" s="2" t="n">
        <v>1372</v>
      </c>
      <c r="L1526" s="2" t="inlineStr">
        <is>
          <t>Road</t>
        </is>
      </c>
      <c r="M1526" s="2" t="inlineStr">
        <is>
          <t>No Delay</t>
        </is>
      </c>
      <c r="N1526" s="4">
        <f>IF(I1526&lt;=H1526,1,0)</f>
        <v/>
      </c>
      <c r="O1526" s="4">
        <f>IF(J1526&lt;=G1526,1,0)</f>
        <v/>
      </c>
      <c r="P1526" s="4">
        <f>MAX(0,I1526-H1526)</f>
        <v/>
      </c>
      <c r="Q1526" s="4">
        <f>MAX(0,J1526-G1526)</f>
        <v/>
      </c>
      <c r="R1526" s="4">
        <f>IF(AND(N1526=1,O1526=1),"On Track",IF(O1526=0,"Customer Delivery Late","Ship Late"))</f>
        <v/>
      </c>
    </row>
    <row r="1527">
      <c r="A1527" s="2" t="inlineStr">
        <is>
          <t>ORD-01526</t>
        </is>
      </c>
      <c r="B1527" s="2" t="inlineStr">
        <is>
          <t>Customer 28</t>
        </is>
      </c>
      <c r="C1527" s="2" t="inlineStr">
        <is>
          <t>Breaker</t>
        </is>
      </c>
      <c r="D1527" s="2" t="inlineStr">
        <is>
          <t>Plant C</t>
        </is>
      </c>
      <c r="E1527" s="2" t="inlineStr">
        <is>
          <t>Export</t>
        </is>
      </c>
      <c r="F1527" s="12" t="n">
        <v>46110</v>
      </c>
      <c r="G1527" s="12" t="n">
        <v>46135</v>
      </c>
      <c r="H1527" s="12" t="n">
        <v>46130</v>
      </c>
      <c r="I1527" s="12" t="n">
        <v>46129</v>
      </c>
      <c r="J1527" s="12" t="n">
        <v>46133</v>
      </c>
      <c r="K1527" s="2" t="n">
        <v>1226</v>
      </c>
      <c r="L1527" s="2" t="inlineStr">
        <is>
          <t>Sea</t>
        </is>
      </c>
      <c r="M1527" s="2" t="inlineStr">
        <is>
          <t>No Delay</t>
        </is>
      </c>
      <c r="N1527" s="4">
        <f>IF(I1527&lt;=H1527,1,0)</f>
        <v/>
      </c>
      <c r="O1527" s="4">
        <f>IF(J1527&lt;=G1527,1,0)</f>
        <v/>
      </c>
      <c r="P1527" s="4">
        <f>MAX(0,I1527-H1527)</f>
        <v/>
      </c>
      <c r="Q1527" s="4">
        <f>MAX(0,J1527-G1527)</f>
        <v/>
      </c>
      <c r="R1527" s="4">
        <f>IF(AND(N1527=1,O1527=1),"On Track",IF(O1527=0,"Customer Delivery Late","Ship Late"))</f>
        <v/>
      </c>
    </row>
    <row r="1528">
      <c r="A1528" s="2" t="inlineStr">
        <is>
          <t>ORD-01527</t>
        </is>
      </c>
      <c r="B1528" s="2" t="inlineStr">
        <is>
          <t>Customer 23</t>
        </is>
      </c>
      <c r="C1528" s="2" t="inlineStr">
        <is>
          <t>Contactor</t>
        </is>
      </c>
      <c r="D1528" s="2" t="inlineStr">
        <is>
          <t>Plant C</t>
        </is>
      </c>
      <c r="E1528" s="2" t="inlineStr">
        <is>
          <t>Export</t>
        </is>
      </c>
      <c r="F1528" s="12" t="n">
        <v>46181</v>
      </c>
      <c r="G1528" s="12" t="n">
        <v>46189</v>
      </c>
      <c r="H1528" s="12" t="n">
        <v>46184</v>
      </c>
      <c r="I1528" s="12" t="n">
        <v>46182</v>
      </c>
      <c r="J1528" s="12" t="n">
        <v>46187</v>
      </c>
      <c r="K1528" s="2" t="n">
        <v>549</v>
      </c>
      <c r="L1528" s="2" t="inlineStr">
        <is>
          <t>Road</t>
        </is>
      </c>
      <c r="M1528" s="2" t="inlineStr">
        <is>
          <t>No Delay</t>
        </is>
      </c>
      <c r="N1528" s="4">
        <f>IF(I1528&lt;=H1528,1,0)</f>
        <v/>
      </c>
      <c r="O1528" s="4">
        <f>IF(J1528&lt;=G1528,1,0)</f>
        <v/>
      </c>
      <c r="P1528" s="4">
        <f>MAX(0,I1528-H1528)</f>
        <v/>
      </c>
      <c r="Q1528" s="4">
        <f>MAX(0,J1528-G1528)</f>
        <v/>
      </c>
      <c r="R1528" s="4">
        <f>IF(AND(N1528=1,O1528=1),"On Track",IF(O1528=0,"Customer Delivery Late","Ship Late"))</f>
        <v/>
      </c>
    </row>
    <row r="1529">
      <c r="A1529" s="2" t="inlineStr">
        <is>
          <t>ORD-01528</t>
        </is>
      </c>
      <c r="B1529" s="2" t="inlineStr">
        <is>
          <t>Customer 06</t>
        </is>
      </c>
      <c r="C1529" s="2" t="inlineStr">
        <is>
          <t>Drive</t>
        </is>
      </c>
      <c r="D1529" s="2" t="inlineStr">
        <is>
          <t>Plant C</t>
        </is>
      </c>
      <c r="E1529" s="2" t="inlineStr">
        <is>
          <t>North</t>
        </is>
      </c>
      <c r="F1529" s="12" t="n">
        <v>46074</v>
      </c>
      <c r="G1529" s="12" t="n">
        <v>46096</v>
      </c>
      <c r="H1529" s="12" t="n">
        <v>46093</v>
      </c>
      <c r="I1529" s="12" t="n">
        <v>46091</v>
      </c>
      <c r="J1529" s="12" t="n">
        <v>46094</v>
      </c>
      <c r="K1529" s="2" t="n">
        <v>756</v>
      </c>
      <c r="L1529" s="2" t="inlineStr">
        <is>
          <t>Sea</t>
        </is>
      </c>
      <c r="M1529" s="2" t="inlineStr">
        <is>
          <t>No Delay</t>
        </is>
      </c>
      <c r="N1529" s="4">
        <f>IF(I1529&lt;=H1529,1,0)</f>
        <v/>
      </c>
      <c r="O1529" s="4">
        <f>IF(J1529&lt;=G1529,1,0)</f>
        <v/>
      </c>
      <c r="P1529" s="4">
        <f>MAX(0,I1529-H1529)</f>
        <v/>
      </c>
      <c r="Q1529" s="4">
        <f>MAX(0,J1529-G1529)</f>
        <v/>
      </c>
      <c r="R1529" s="4">
        <f>IF(AND(N1529=1,O1529=1),"On Track",IF(O1529=0,"Customer Delivery Late","Ship Late"))</f>
        <v/>
      </c>
    </row>
    <row r="1530">
      <c r="A1530" s="2" t="inlineStr">
        <is>
          <t>ORD-01529</t>
        </is>
      </c>
      <c r="B1530" s="2" t="inlineStr">
        <is>
          <t>Customer 23</t>
        </is>
      </c>
      <c r="C1530" s="2" t="inlineStr">
        <is>
          <t>Drive</t>
        </is>
      </c>
      <c r="D1530" s="2" t="inlineStr">
        <is>
          <t>Plant C</t>
        </is>
      </c>
      <c r="E1530" s="2" t="inlineStr">
        <is>
          <t>Export</t>
        </is>
      </c>
      <c r="F1530" s="12" t="n">
        <v>46083</v>
      </c>
      <c r="G1530" s="12" t="n">
        <v>46095</v>
      </c>
      <c r="H1530" s="12" t="n">
        <v>46093</v>
      </c>
      <c r="I1530" s="12" t="n">
        <v>46091</v>
      </c>
      <c r="J1530" s="12" t="n">
        <v>46093</v>
      </c>
      <c r="K1530" s="2" t="n">
        <v>840</v>
      </c>
      <c r="L1530" s="2" t="inlineStr">
        <is>
          <t>Road</t>
        </is>
      </c>
      <c r="M1530" s="2" t="inlineStr">
        <is>
          <t>No Delay</t>
        </is>
      </c>
      <c r="N1530" s="4">
        <f>IF(I1530&lt;=H1530,1,0)</f>
        <v/>
      </c>
      <c r="O1530" s="4">
        <f>IF(J1530&lt;=G1530,1,0)</f>
        <v/>
      </c>
      <c r="P1530" s="4">
        <f>MAX(0,I1530-H1530)</f>
        <v/>
      </c>
      <c r="Q1530" s="4">
        <f>MAX(0,J1530-G1530)</f>
        <v/>
      </c>
      <c r="R1530" s="4">
        <f>IF(AND(N1530=1,O1530=1),"On Track",IF(O1530=0,"Customer Delivery Late","Ship Late"))</f>
        <v/>
      </c>
    </row>
    <row r="1531">
      <c r="A1531" s="2" t="inlineStr">
        <is>
          <t>ORD-01530</t>
        </is>
      </c>
      <c r="B1531" s="2" t="inlineStr">
        <is>
          <t>Customer 11</t>
        </is>
      </c>
      <c r="C1531" s="2" t="inlineStr">
        <is>
          <t>Switchgear</t>
        </is>
      </c>
      <c r="D1531" s="2" t="inlineStr">
        <is>
          <t>Plant B</t>
        </is>
      </c>
      <c r="E1531" s="2" t="inlineStr">
        <is>
          <t>South</t>
        </is>
      </c>
      <c r="F1531" s="12" t="n">
        <v>46118</v>
      </c>
      <c r="G1531" s="12" t="n">
        <v>46131</v>
      </c>
      <c r="H1531" s="12" t="n">
        <v>46128</v>
      </c>
      <c r="I1531" s="12" t="n">
        <v>46128</v>
      </c>
      <c r="J1531" s="12" t="n">
        <v>46132</v>
      </c>
      <c r="K1531" s="2" t="n">
        <v>1488</v>
      </c>
      <c r="L1531" s="2" t="inlineStr">
        <is>
          <t>Sea</t>
        </is>
      </c>
      <c r="M1531" s="2" t="inlineStr">
        <is>
          <t>Documentation Issue</t>
        </is>
      </c>
      <c r="N1531" s="4">
        <f>IF(I1531&lt;=H1531,1,0)</f>
        <v/>
      </c>
      <c r="O1531" s="4">
        <f>IF(J1531&lt;=G1531,1,0)</f>
        <v/>
      </c>
      <c r="P1531" s="4">
        <f>MAX(0,I1531-H1531)</f>
        <v/>
      </c>
      <c r="Q1531" s="4">
        <f>MAX(0,J1531-G1531)</f>
        <v/>
      </c>
      <c r="R1531" s="4">
        <f>IF(AND(N1531=1,O1531=1),"On Track",IF(O1531=0,"Customer Delivery Late","Ship Late"))</f>
        <v/>
      </c>
    </row>
    <row r="1532">
      <c r="A1532" s="2" t="inlineStr">
        <is>
          <t>ORD-01531</t>
        </is>
      </c>
      <c r="B1532" s="2" t="inlineStr">
        <is>
          <t>Customer 13</t>
        </is>
      </c>
      <c r="C1532" s="2" t="inlineStr">
        <is>
          <t>Power Supply</t>
        </is>
      </c>
      <c r="D1532" s="2" t="inlineStr">
        <is>
          <t>Plant C</t>
        </is>
      </c>
      <c r="E1532" s="2" t="inlineStr">
        <is>
          <t>Export</t>
        </is>
      </c>
      <c r="F1532" s="12" t="n">
        <v>46108</v>
      </c>
      <c r="G1532" s="12" t="n">
        <v>46119</v>
      </c>
      <c r="H1532" s="12" t="n">
        <v>46116</v>
      </c>
      <c r="I1532" s="12" t="n">
        <v>46123</v>
      </c>
      <c r="J1532" s="12" t="n">
        <v>46127</v>
      </c>
      <c r="K1532" s="2" t="n">
        <v>140</v>
      </c>
      <c r="L1532" s="2" t="inlineStr">
        <is>
          <t>Air</t>
        </is>
      </c>
      <c r="M1532" s="2" t="inlineStr">
        <is>
          <t>Carrier Delay</t>
        </is>
      </c>
      <c r="N1532" s="4">
        <f>IF(I1532&lt;=H1532,1,0)</f>
        <v/>
      </c>
      <c r="O1532" s="4">
        <f>IF(J1532&lt;=G1532,1,0)</f>
        <v/>
      </c>
      <c r="P1532" s="4">
        <f>MAX(0,I1532-H1532)</f>
        <v/>
      </c>
      <c r="Q1532" s="4">
        <f>MAX(0,J1532-G1532)</f>
        <v/>
      </c>
      <c r="R1532" s="4">
        <f>IF(AND(N1532=1,O1532=1),"On Track",IF(O1532=0,"Customer Delivery Late","Ship Late"))</f>
        <v/>
      </c>
    </row>
    <row r="1533">
      <c r="A1533" s="2" t="inlineStr">
        <is>
          <t>ORD-01532</t>
        </is>
      </c>
      <c r="B1533" s="2" t="inlineStr">
        <is>
          <t>Customer 23</t>
        </is>
      </c>
      <c r="C1533" s="2" t="inlineStr">
        <is>
          <t>Breaker</t>
        </is>
      </c>
      <c r="D1533" s="2" t="inlineStr">
        <is>
          <t>Plant C</t>
        </is>
      </c>
      <c r="E1533" s="2" t="inlineStr">
        <is>
          <t>South</t>
        </is>
      </c>
      <c r="F1533" s="12" t="n">
        <v>46076</v>
      </c>
      <c r="G1533" s="12" t="n">
        <v>46089</v>
      </c>
      <c r="H1533" s="12" t="n">
        <v>46087</v>
      </c>
      <c r="I1533" s="12" t="n">
        <v>46086</v>
      </c>
      <c r="J1533" s="12" t="n">
        <v>46088</v>
      </c>
      <c r="K1533" s="2" t="n">
        <v>1276</v>
      </c>
      <c r="L1533" s="2" t="inlineStr">
        <is>
          <t>Air</t>
        </is>
      </c>
      <c r="M1533" s="2" t="inlineStr">
        <is>
          <t>No Delay</t>
        </is>
      </c>
      <c r="N1533" s="4">
        <f>IF(I1533&lt;=H1533,1,0)</f>
        <v/>
      </c>
      <c r="O1533" s="4">
        <f>IF(J1533&lt;=G1533,1,0)</f>
        <v/>
      </c>
      <c r="P1533" s="4">
        <f>MAX(0,I1533-H1533)</f>
        <v/>
      </c>
      <c r="Q1533" s="4">
        <f>MAX(0,J1533-G1533)</f>
        <v/>
      </c>
      <c r="R1533" s="4">
        <f>IF(AND(N1533=1,O1533=1),"On Track",IF(O1533=0,"Customer Delivery Late","Ship Late"))</f>
        <v/>
      </c>
    </row>
    <row r="1534">
      <c r="A1534" s="2" t="inlineStr">
        <is>
          <t>ORD-01533</t>
        </is>
      </c>
      <c r="B1534" s="2" t="inlineStr">
        <is>
          <t>Customer 12</t>
        </is>
      </c>
      <c r="C1534" s="2" t="inlineStr">
        <is>
          <t>Power Supply</t>
        </is>
      </c>
      <c r="D1534" s="2" t="inlineStr">
        <is>
          <t>Plant B</t>
        </is>
      </c>
      <c r="E1534" s="2" t="inlineStr">
        <is>
          <t>South</t>
        </is>
      </c>
      <c r="F1534" s="12" t="n">
        <v>46153</v>
      </c>
      <c r="G1534" s="12" t="n">
        <v>46160</v>
      </c>
      <c r="H1534" s="12" t="n">
        <v>46157</v>
      </c>
      <c r="I1534" s="12" t="n">
        <v>46156</v>
      </c>
      <c r="J1534" s="12" t="n">
        <v>46159</v>
      </c>
      <c r="K1534" s="2" t="n">
        <v>924</v>
      </c>
      <c r="L1534" s="2" t="inlineStr">
        <is>
          <t>Road</t>
        </is>
      </c>
      <c r="M1534" s="2" t="inlineStr">
        <is>
          <t>No Delay</t>
        </is>
      </c>
      <c r="N1534" s="4">
        <f>IF(I1534&lt;=H1534,1,0)</f>
        <v/>
      </c>
      <c r="O1534" s="4">
        <f>IF(J1534&lt;=G1534,1,0)</f>
        <v/>
      </c>
      <c r="P1534" s="4">
        <f>MAX(0,I1534-H1534)</f>
        <v/>
      </c>
      <c r="Q1534" s="4">
        <f>MAX(0,J1534-G1534)</f>
        <v/>
      </c>
      <c r="R1534" s="4">
        <f>IF(AND(N1534=1,O1534=1),"On Track",IF(O1534=0,"Customer Delivery Late","Ship Late"))</f>
        <v/>
      </c>
    </row>
    <row r="1535">
      <c r="A1535" s="2" t="inlineStr">
        <is>
          <t>ORD-01534</t>
        </is>
      </c>
      <c r="B1535" s="2" t="inlineStr">
        <is>
          <t>Customer 23</t>
        </is>
      </c>
      <c r="C1535" s="2" t="inlineStr">
        <is>
          <t>Contactor</t>
        </is>
      </c>
      <c r="D1535" s="2" t="inlineStr">
        <is>
          <t>Plant B</t>
        </is>
      </c>
      <c r="E1535" s="2" t="inlineStr">
        <is>
          <t>Central</t>
        </is>
      </c>
      <c r="F1535" s="12" t="n">
        <v>46051</v>
      </c>
      <c r="G1535" s="12" t="n">
        <v>46063</v>
      </c>
      <c r="H1535" s="12" t="n">
        <v>46062</v>
      </c>
      <c r="I1535" s="12" t="n">
        <v>46061</v>
      </c>
      <c r="J1535" s="12" t="n">
        <v>46062</v>
      </c>
      <c r="K1535" s="2" t="n">
        <v>798</v>
      </c>
      <c r="L1535" s="2" t="inlineStr">
        <is>
          <t>Road</t>
        </is>
      </c>
      <c r="M1535" s="2" t="inlineStr">
        <is>
          <t>No Delay</t>
        </is>
      </c>
      <c r="N1535" s="4">
        <f>IF(I1535&lt;=H1535,1,0)</f>
        <v/>
      </c>
      <c r="O1535" s="4">
        <f>IF(J1535&lt;=G1535,1,0)</f>
        <v/>
      </c>
      <c r="P1535" s="4">
        <f>MAX(0,I1535-H1535)</f>
        <v/>
      </c>
      <c r="Q1535" s="4">
        <f>MAX(0,J1535-G1535)</f>
        <v/>
      </c>
      <c r="R1535" s="4">
        <f>IF(AND(N1535=1,O1535=1),"On Track",IF(O1535=0,"Customer Delivery Late","Ship Late"))</f>
        <v/>
      </c>
    </row>
    <row r="1536">
      <c r="A1536" s="2" t="inlineStr">
        <is>
          <t>ORD-01535</t>
        </is>
      </c>
      <c r="B1536" s="2" t="inlineStr">
        <is>
          <t>Customer 06</t>
        </is>
      </c>
      <c r="C1536" s="2" t="inlineStr">
        <is>
          <t>Power Supply</t>
        </is>
      </c>
      <c r="D1536" s="2" t="inlineStr">
        <is>
          <t>Plant A</t>
        </is>
      </c>
      <c r="E1536" s="2" t="inlineStr">
        <is>
          <t>South</t>
        </is>
      </c>
      <c r="F1536" s="12" t="n">
        <v>46096</v>
      </c>
      <c r="G1536" s="12" t="n">
        <v>46102</v>
      </c>
      <c r="H1536" s="12" t="n">
        <v>46099</v>
      </c>
      <c r="I1536" s="12" t="n">
        <v>46099</v>
      </c>
      <c r="J1536" s="12" t="n">
        <v>46102</v>
      </c>
      <c r="K1536" s="2" t="n">
        <v>658</v>
      </c>
      <c r="L1536" s="2" t="inlineStr">
        <is>
          <t>Air</t>
        </is>
      </c>
      <c r="M1536" s="2" t="inlineStr">
        <is>
          <t>No Delay</t>
        </is>
      </c>
      <c r="N1536" s="4">
        <f>IF(I1536&lt;=H1536,1,0)</f>
        <v/>
      </c>
      <c r="O1536" s="4">
        <f>IF(J1536&lt;=G1536,1,0)</f>
        <v/>
      </c>
      <c r="P1536" s="4">
        <f>MAX(0,I1536-H1536)</f>
        <v/>
      </c>
      <c r="Q1536" s="4">
        <f>MAX(0,J1536-G1536)</f>
        <v/>
      </c>
      <c r="R1536" s="4">
        <f>IF(AND(N1536=1,O1536=1),"On Track",IF(O1536=0,"Customer Delivery Late","Ship Late"))</f>
        <v/>
      </c>
    </row>
    <row r="1537">
      <c r="A1537" s="2" t="inlineStr">
        <is>
          <t>ORD-01536</t>
        </is>
      </c>
      <c r="B1537" s="2" t="inlineStr">
        <is>
          <t>Customer 30</t>
        </is>
      </c>
      <c r="C1537" s="2" t="inlineStr">
        <is>
          <t>Breaker</t>
        </is>
      </c>
      <c r="D1537" s="2" t="inlineStr">
        <is>
          <t>Plant A</t>
        </is>
      </c>
      <c r="E1537" s="2" t="inlineStr">
        <is>
          <t>North</t>
        </is>
      </c>
      <c r="F1537" s="12" t="n">
        <v>46077</v>
      </c>
      <c r="G1537" s="12" t="n">
        <v>46083</v>
      </c>
      <c r="H1537" s="12" t="n">
        <v>46079</v>
      </c>
      <c r="I1537" s="12" t="n">
        <v>46077</v>
      </c>
      <c r="J1537" s="12" t="n">
        <v>46081</v>
      </c>
      <c r="K1537" s="2" t="n">
        <v>1025</v>
      </c>
      <c r="L1537" s="2" t="inlineStr">
        <is>
          <t>Sea</t>
        </is>
      </c>
      <c r="M1537" s="2" t="inlineStr">
        <is>
          <t>No Delay</t>
        </is>
      </c>
      <c r="N1537" s="4">
        <f>IF(I1537&lt;=H1537,1,0)</f>
        <v/>
      </c>
      <c r="O1537" s="4">
        <f>IF(J1537&lt;=G1537,1,0)</f>
        <v/>
      </c>
      <c r="P1537" s="4">
        <f>MAX(0,I1537-H1537)</f>
        <v/>
      </c>
      <c r="Q1537" s="4">
        <f>MAX(0,J1537-G1537)</f>
        <v/>
      </c>
      <c r="R1537" s="4">
        <f>IF(AND(N1537=1,O1537=1),"On Track",IF(O1537=0,"Customer Delivery Late","Ship Late"))</f>
        <v/>
      </c>
    </row>
    <row r="1538">
      <c r="A1538" s="2" t="inlineStr">
        <is>
          <t>ORD-01537</t>
        </is>
      </c>
      <c r="B1538" s="2" t="inlineStr">
        <is>
          <t>Customer 30</t>
        </is>
      </c>
      <c r="C1538" s="2" t="inlineStr">
        <is>
          <t>Sensor</t>
        </is>
      </c>
      <c r="D1538" s="2" t="inlineStr">
        <is>
          <t>Plant B</t>
        </is>
      </c>
      <c r="E1538" s="2" t="inlineStr">
        <is>
          <t>Central</t>
        </is>
      </c>
      <c r="F1538" s="12" t="n">
        <v>46114</v>
      </c>
      <c r="G1538" s="12" t="n">
        <v>46124</v>
      </c>
      <c r="H1538" s="12" t="n">
        <v>46122</v>
      </c>
      <c r="I1538" s="12" t="n">
        <v>46120</v>
      </c>
      <c r="J1538" s="12" t="n">
        <v>46123</v>
      </c>
      <c r="K1538" s="2" t="n">
        <v>438</v>
      </c>
      <c r="L1538" s="2" t="inlineStr">
        <is>
          <t>Air</t>
        </is>
      </c>
      <c r="M1538" s="2" t="inlineStr">
        <is>
          <t>No Delay</t>
        </is>
      </c>
      <c r="N1538" s="4">
        <f>IF(I1538&lt;=H1538,1,0)</f>
        <v/>
      </c>
      <c r="O1538" s="4">
        <f>IF(J1538&lt;=G1538,1,0)</f>
        <v/>
      </c>
      <c r="P1538" s="4">
        <f>MAX(0,I1538-H1538)</f>
        <v/>
      </c>
      <c r="Q1538" s="4">
        <f>MAX(0,J1538-G1538)</f>
        <v/>
      </c>
      <c r="R1538" s="4">
        <f>IF(AND(N1538=1,O1538=1),"On Track",IF(O1538=0,"Customer Delivery Late","Ship Late"))</f>
        <v/>
      </c>
    </row>
    <row r="1539">
      <c r="A1539" s="2" t="inlineStr">
        <is>
          <t>ORD-01538</t>
        </is>
      </c>
      <c r="B1539" s="2" t="inlineStr">
        <is>
          <t>Customer 22</t>
        </is>
      </c>
      <c r="C1539" s="2" t="inlineStr">
        <is>
          <t>Switchgear</t>
        </is>
      </c>
      <c r="D1539" s="2" t="inlineStr">
        <is>
          <t>Plant A</t>
        </is>
      </c>
      <c r="E1539" s="2" t="inlineStr">
        <is>
          <t>North</t>
        </is>
      </c>
      <c r="F1539" s="12" t="n">
        <v>46191</v>
      </c>
      <c r="G1539" s="12" t="n">
        <v>46204</v>
      </c>
      <c r="H1539" s="12" t="n">
        <v>46202</v>
      </c>
      <c r="I1539" s="12" t="n">
        <v>46202</v>
      </c>
      <c r="J1539" s="12" t="n">
        <v>46204</v>
      </c>
      <c r="K1539" s="2" t="n">
        <v>1028</v>
      </c>
      <c r="L1539" s="2" t="inlineStr">
        <is>
          <t>Road</t>
        </is>
      </c>
      <c r="M1539" s="2" t="inlineStr">
        <is>
          <t>No Delay</t>
        </is>
      </c>
      <c r="N1539" s="4">
        <f>IF(I1539&lt;=H1539,1,0)</f>
        <v/>
      </c>
      <c r="O1539" s="4">
        <f>IF(J1539&lt;=G1539,1,0)</f>
        <v/>
      </c>
      <c r="P1539" s="4">
        <f>MAX(0,I1539-H1539)</f>
        <v/>
      </c>
      <c r="Q1539" s="4">
        <f>MAX(0,J1539-G1539)</f>
        <v/>
      </c>
      <c r="R1539" s="4">
        <f>IF(AND(N1539=1,O1539=1),"On Track",IF(O1539=0,"Customer Delivery Late","Ship Late"))</f>
        <v/>
      </c>
    </row>
    <row r="1540">
      <c r="A1540" s="2" t="inlineStr">
        <is>
          <t>ORD-01539</t>
        </is>
      </c>
      <c r="B1540" s="2" t="inlineStr">
        <is>
          <t>Customer 15</t>
        </is>
      </c>
      <c r="C1540" s="2" t="inlineStr">
        <is>
          <t>Switchgear</t>
        </is>
      </c>
      <c r="D1540" s="2" t="inlineStr">
        <is>
          <t>Plant B</t>
        </is>
      </c>
      <c r="E1540" s="2" t="inlineStr">
        <is>
          <t>Central</t>
        </is>
      </c>
      <c r="F1540" s="12" t="n">
        <v>46187</v>
      </c>
      <c r="G1540" s="12" t="n">
        <v>46197</v>
      </c>
      <c r="H1540" s="12" t="n">
        <v>46196</v>
      </c>
      <c r="I1540" s="12" t="n">
        <v>46195</v>
      </c>
      <c r="J1540" s="12" t="n">
        <v>46196</v>
      </c>
      <c r="K1540" s="2" t="n">
        <v>1192</v>
      </c>
      <c r="L1540" s="2" t="inlineStr">
        <is>
          <t>Air</t>
        </is>
      </c>
      <c r="M1540" s="2" t="inlineStr">
        <is>
          <t>No Delay</t>
        </is>
      </c>
      <c r="N1540" s="4">
        <f>IF(I1540&lt;=H1540,1,0)</f>
        <v/>
      </c>
      <c r="O1540" s="4">
        <f>IF(J1540&lt;=G1540,1,0)</f>
        <v/>
      </c>
      <c r="P1540" s="4">
        <f>MAX(0,I1540-H1540)</f>
        <v/>
      </c>
      <c r="Q1540" s="4">
        <f>MAX(0,J1540-G1540)</f>
        <v/>
      </c>
      <c r="R1540" s="4">
        <f>IF(AND(N1540=1,O1540=1),"On Track",IF(O1540=0,"Customer Delivery Late","Ship Late"))</f>
        <v/>
      </c>
    </row>
    <row r="1541">
      <c r="A1541" s="2" t="inlineStr">
        <is>
          <t>ORD-01540</t>
        </is>
      </c>
      <c r="B1541" s="2" t="inlineStr">
        <is>
          <t>Customer 02</t>
        </is>
      </c>
      <c r="C1541" s="2" t="inlineStr">
        <is>
          <t>Breaker</t>
        </is>
      </c>
      <c r="D1541" s="2" t="inlineStr">
        <is>
          <t>Plant C</t>
        </is>
      </c>
      <c r="E1541" s="2" t="inlineStr">
        <is>
          <t>South</t>
        </is>
      </c>
      <c r="F1541" s="12" t="n">
        <v>46125</v>
      </c>
      <c r="G1541" s="12" t="n">
        <v>46140</v>
      </c>
      <c r="H1541" s="12" t="n">
        <v>46136</v>
      </c>
      <c r="I1541" s="12" t="n">
        <v>46135</v>
      </c>
      <c r="J1541" s="12" t="n">
        <v>46138</v>
      </c>
      <c r="K1541" s="2" t="n">
        <v>322</v>
      </c>
      <c r="L1541" s="2" t="inlineStr">
        <is>
          <t>Air</t>
        </is>
      </c>
      <c r="M1541" s="2" t="inlineStr">
        <is>
          <t>No Delay</t>
        </is>
      </c>
      <c r="N1541" s="4">
        <f>IF(I1541&lt;=H1541,1,0)</f>
        <v/>
      </c>
      <c r="O1541" s="4">
        <f>IF(J1541&lt;=G1541,1,0)</f>
        <v/>
      </c>
      <c r="P1541" s="4">
        <f>MAX(0,I1541-H1541)</f>
        <v/>
      </c>
      <c r="Q1541" s="4">
        <f>MAX(0,J1541-G1541)</f>
        <v/>
      </c>
      <c r="R1541" s="4">
        <f>IF(AND(N1541=1,O1541=1),"On Track",IF(O1541=0,"Customer Delivery Late","Ship Late"))</f>
        <v/>
      </c>
    </row>
    <row r="1542">
      <c r="A1542" s="2" t="inlineStr">
        <is>
          <t>ORD-01541</t>
        </is>
      </c>
      <c r="B1542" s="2" t="inlineStr">
        <is>
          <t>Customer 02</t>
        </is>
      </c>
      <c r="C1542" s="2" t="inlineStr">
        <is>
          <t>Breaker</t>
        </is>
      </c>
      <c r="D1542" s="2" t="inlineStr">
        <is>
          <t>Plant A</t>
        </is>
      </c>
      <c r="E1542" s="2" t="inlineStr">
        <is>
          <t>Central</t>
        </is>
      </c>
      <c r="F1542" s="12" t="n">
        <v>46160</v>
      </c>
      <c r="G1542" s="12" t="n">
        <v>46167</v>
      </c>
      <c r="H1542" s="12" t="n">
        <v>46166</v>
      </c>
      <c r="I1542" s="12" t="n">
        <v>46165</v>
      </c>
      <c r="J1542" s="12" t="n">
        <v>46167</v>
      </c>
      <c r="K1542" s="2" t="n">
        <v>1000</v>
      </c>
      <c r="L1542" s="2" t="inlineStr">
        <is>
          <t>Sea</t>
        </is>
      </c>
      <c r="M1542" s="2" t="inlineStr">
        <is>
          <t>No Delay</t>
        </is>
      </c>
      <c r="N1542" s="4">
        <f>IF(I1542&lt;=H1542,1,0)</f>
        <v/>
      </c>
      <c r="O1542" s="4">
        <f>IF(J1542&lt;=G1542,1,0)</f>
        <v/>
      </c>
      <c r="P1542" s="4">
        <f>MAX(0,I1542-H1542)</f>
        <v/>
      </c>
      <c r="Q1542" s="4">
        <f>MAX(0,J1542-G1542)</f>
        <v/>
      </c>
      <c r="R1542" s="4">
        <f>IF(AND(N1542=1,O1542=1),"On Track",IF(O1542=0,"Customer Delivery Late","Ship Late"))</f>
        <v/>
      </c>
    </row>
    <row r="1543">
      <c r="A1543" s="2" t="inlineStr">
        <is>
          <t>ORD-01542</t>
        </is>
      </c>
      <c r="B1543" s="2" t="inlineStr">
        <is>
          <t>Customer 01</t>
        </is>
      </c>
      <c r="C1543" s="2" t="inlineStr">
        <is>
          <t>Sensor</t>
        </is>
      </c>
      <c r="D1543" s="2" t="inlineStr">
        <is>
          <t>Plant A</t>
        </is>
      </c>
      <c r="E1543" s="2" t="inlineStr">
        <is>
          <t>North</t>
        </is>
      </c>
      <c r="F1543" s="12" t="n">
        <v>46068</v>
      </c>
      <c r="G1543" s="12" t="n">
        <v>46077</v>
      </c>
      <c r="H1543" s="12" t="n">
        <v>46076</v>
      </c>
      <c r="I1543" s="12" t="n">
        <v>46075</v>
      </c>
      <c r="J1543" s="12" t="n">
        <v>46076</v>
      </c>
      <c r="K1543" s="2" t="n">
        <v>455</v>
      </c>
      <c r="L1543" s="2" t="inlineStr">
        <is>
          <t>Air</t>
        </is>
      </c>
      <c r="M1543" s="2" t="inlineStr">
        <is>
          <t>No Delay</t>
        </is>
      </c>
      <c r="N1543" s="4">
        <f>IF(I1543&lt;=H1543,1,0)</f>
        <v/>
      </c>
      <c r="O1543" s="4">
        <f>IF(J1543&lt;=G1543,1,0)</f>
        <v/>
      </c>
      <c r="P1543" s="4">
        <f>MAX(0,I1543-H1543)</f>
        <v/>
      </c>
      <c r="Q1543" s="4">
        <f>MAX(0,J1543-G1543)</f>
        <v/>
      </c>
      <c r="R1543" s="4">
        <f>IF(AND(N1543=1,O1543=1),"On Track",IF(O1543=0,"Customer Delivery Late","Ship Late"))</f>
        <v/>
      </c>
    </row>
    <row r="1544">
      <c r="A1544" s="2" t="inlineStr">
        <is>
          <t>ORD-01543</t>
        </is>
      </c>
      <c r="B1544" s="2" t="inlineStr">
        <is>
          <t>Customer 13</t>
        </is>
      </c>
      <c r="C1544" s="2" t="inlineStr">
        <is>
          <t>Drive</t>
        </is>
      </c>
      <c r="D1544" s="2" t="inlineStr">
        <is>
          <t>Plant B</t>
        </is>
      </c>
      <c r="E1544" s="2" t="inlineStr">
        <is>
          <t>Central</t>
        </is>
      </c>
      <c r="F1544" s="12" t="n">
        <v>46158</v>
      </c>
      <c r="G1544" s="12" t="n">
        <v>46183</v>
      </c>
      <c r="H1544" s="12" t="n">
        <v>46182</v>
      </c>
      <c r="I1544" s="12" t="n">
        <v>46180</v>
      </c>
      <c r="J1544" s="12" t="n">
        <v>46181</v>
      </c>
      <c r="K1544" s="2" t="n">
        <v>1071</v>
      </c>
      <c r="L1544" s="2" t="inlineStr">
        <is>
          <t>Air</t>
        </is>
      </c>
      <c r="M1544" s="2" t="inlineStr">
        <is>
          <t>No Delay</t>
        </is>
      </c>
      <c r="N1544" s="4">
        <f>IF(I1544&lt;=H1544,1,0)</f>
        <v/>
      </c>
      <c r="O1544" s="4">
        <f>IF(J1544&lt;=G1544,1,0)</f>
        <v/>
      </c>
      <c r="P1544" s="4">
        <f>MAX(0,I1544-H1544)</f>
        <v/>
      </c>
      <c r="Q1544" s="4">
        <f>MAX(0,J1544-G1544)</f>
        <v/>
      </c>
      <c r="R1544" s="4">
        <f>IF(AND(N1544=1,O1544=1),"On Track",IF(O1544=0,"Customer Delivery Late","Ship Late"))</f>
        <v/>
      </c>
    </row>
    <row r="1545">
      <c r="A1545" s="2" t="inlineStr">
        <is>
          <t>ORD-01544</t>
        </is>
      </c>
      <c r="B1545" s="2" t="inlineStr">
        <is>
          <t>Customer 24</t>
        </is>
      </c>
      <c r="C1545" s="2" t="inlineStr">
        <is>
          <t>Drive</t>
        </is>
      </c>
      <c r="D1545" s="2" t="inlineStr">
        <is>
          <t>Plant C</t>
        </is>
      </c>
      <c r="E1545" s="2" t="inlineStr">
        <is>
          <t>South</t>
        </is>
      </c>
      <c r="F1545" s="12" t="n">
        <v>46068</v>
      </c>
      <c r="G1545" s="12" t="n">
        <v>46073</v>
      </c>
      <c r="H1545" s="12" t="n">
        <v>46068</v>
      </c>
      <c r="I1545" s="12" t="n">
        <v>46068</v>
      </c>
      <c r="J1545" s="12" t="n">
        <v>46073</v>
      </c>
      <c r="K1545" s="2" t="n">
        <v>1360</v>
      </c>
      <c r="L1545" s="2" t="inlineStr">
        <is>
          <t>Sea</t>
        </is>
      </c>
      <c r="M1545" s="2" t="inlineStr">
        <is>
          <t>No Delay</t>
        </is>
      </c>
      <c r="N1545" s="4">
        <f>IF(I1545&lt;=H1545,1,0)</f>
        <v/>
      </c>
      <c r="O1545" s="4">
        <f>IF(J1545&lt;=G1545,1,0)</f>
        <v/>
      </c>
      <c r="P1545" s="4">
        <f>MAX(0,I1545-H1545)</f>
        <v/>
      </c>
      <c r="Q1545" s="4">
        <f>MAX(0,J1545-G1545)</f>
        <v/>
      </c>
      <c r="R1545" s="4">
        <f>IF(AND(N1545=1,O1545=1),"On Track",IF(O1545=0,"Customer Delivery Late","Ship Late"))</f>
        <v/>
      </c>
    </row>
    <row r="1546">
      <c r="A1546" s="2" t="inlineStr">
        <is>
          <t>ORD-01545</t>
        </is>
      </c>
      <c r="B1546" s="2" t="inlineStr">
        <is>
          <t>Customer 07</t>
        </is>
      </c>
      <c r="C1546" s="2" t="inlineStr">
        <is>
          <t>Relay</t>
        </is>
      </c>
      <c r="D1546" s="2" t="inlineStr">
        <is>
          <t>Plant A</t>
        </is>
      </c>
      <c r="E1546" s="2" t="inlineStr">
        <is>
          <t>South</t>
        </is>
      </c>
      <c r="F1546" s="12" t="n">
        <v>46077</v>
      </c>
      <c r="G1546" s="12" t="n">
        <v>46089</v>
      </c>
      <c r="H1546" s="12" t="n">
        <v>46087</v>
      </c>
      <c r="I1546" s="12" t="n">
        <v>46087</v>
      </c>
      <c r="J1546" s="12" t="n">
        <v>46089</v>
      </c>
      <c r="K1546" s="2" t="n">
        <v>754</v>
      </c>
      <c r="L1546" s="2" t="inlineStr">
        <is>
          <t>Air</t>
        </is>
      </c>
      <c r="M1546" s="2" t="inlineStr">
        <is>
          <t>No Delay</t>
        </is>
      </c>
      <c r="N1546" s="4">
        <f>IF(I1546&lt;=H1546,1,0)</f>
        <v/>
      </c>
      <c r="O1546" s="4">
        <f>IF(J1546&lt;=G1546,1,0)</f>
        <v/>
      </c>
      <c r="P1546" s="4">
        <f>MAX(0,I1546-H1546)</f>
        <v/>
      </c>
      <c r="Q1546" s="4">
        <f>MAX(0,J1546-G1546)</f>
        <v/>
      </c>
      <c r="R1546" s="4">
        <f>IF(AND(N1546=1,O1546=1),"On Track",IF(O1546=0,"Customer Delivery Late","Ship Late"))</f>
        <v/>
      </c>
    </row>
    <row r="1547">
      <c r="A1547" s="2" t="inlineStr">
        <is>
          <t>ORD-01546</t>
        </is>
      </c>
      <c r="B1547" s="2" t="inlineStr">
        <is>
          <t>Customer 12</t>
        </is>
      </c>
      <c r="C1547" s="2" t="inlineStr">
        <is>
          <t>Breaker</t>
        </is>
      </c>
      <c r="D1547" s="2" t="inlineStr">
        <is>
          <t>Plant B</t>
        </is>
      </c>
      <c r="E1547" s="2" t="inlineStr">
        <is>
          <t>Export</t>
        </is>
      </c>
      <c r="F1547" s="12" t="n">
        <v>46199</v>
      </c>
      <c r="G1547" s="12" t="n">
        <v>46211</v>
      </c>
      <c r="H1547" s="12" t="n">
        <v>46208</v>
      </c>
      <c r="I1547" s="12" t="n">
        <v>46206</v>
      </c>
      <c r="J1547" s="12" t="n">
        <v>46209</v>
      </c>
      <c r="K1547" s="2" t="n">
        <v>197</v>
      </c>
      <c r="L1547" s="2" t="inlineStr">
        <is>
          <t>Road</t>
        </is>
      </c>
      <c r="M1547" s="2" t="inlineStr">
        <is>
          <t>No Delay</t>
        </is>
      </c>
      <c r="N1547" s="4">
        <f>IF(I1547&lt;=H1547,1,0)</f>
        <v/>
      </c>
      <c r="O1547" s="4">
        <f>IF(J1547&lt;=G1547,1,0)</f>
        <v/>
      </c>
      <c r="P1547" s="4">
        <f>MAX(0,I1547-H1547)</f>
        <v/>
      </c>
      <c r="Q1547" s="4">
        <f>MAX(0,J1547-G1547)</f>
        <v/>
      </c>
      <c r="R1547" s="4">
        <f>IF(AND(N1547=1,O1547=1),"On Track",IF(O1547=0,"Customer Delivery Late","Ship Late"))</f>
        <v/>
      </c>
    </row>
    <row r="1548">
      <c r="A1548" s="2" t="inlineStr">
        <is>
          <t>ORD-01547</t>
        </is>
      </c>
      <c r="B1548" s="2" t="inlineStr">
        <is>
          <t>Customer 26</t>
        </is>
      </c>
      <c r="C1548" s="2" t="inlineStr">
        <is>
          <t>Relay</t>
        </is>
      </c>
      <c r="D1548" s="2" t="inlineStr">
        <is>
          <t>Plant A</t>
        </is>
      </c>
      <c r="E1548" s="2" t="inlineStr">
        <is>
          <t>Export</t>
        </is>
      </c>
      <c r="F1548" s="12" t="n">
        <v>46164</v>
      </c>
      <c r="G1548" s="12" t="n">
        <v>46183</v>
      </c>
      <c r="H1548" s="12" t="n">
        <v>46182</v>
      </c>
      <c r="I1548" s="12" t="n">
        <v>46181</v>
      </c>
      <c r="J1548" s="12" t="n">
        <v>46182</v>
      </c>
      <c r="K1548" s="2" t="n">
        <v>89</v>
      </c>
      <c r="L1548" s="2" t="inlineStr">
        <is>
          <t>Road</t>
        </is>
      </c>
      <c r="M1548" s="2" t="inlineStr">
        <is>
          <t>No Delay</t>
        </is>
      </c>
      <c r="N1548" s="4">
        <f>IF(I1548&lt;=H1548,1,0)</f>
        <v/>
      </c>
      <c r="O1548" s="4">
        <f>IF(J1548&lt;=G1548,1,0)</f>
        <v/>
      </c>
      <c r="P1548" s="4">
        <f>MAX(0,I1548-H1548)</f>
        <v/>
      </c>
      <c r="Q1548" s="4">
        <f>MAX(0,J1548-G1548)</f>
        <v/>
      </c>
      <c r="R1548" s="4">
        <f>IF(AND(N1548=1,O1548=1),"On Track",IF(O1548=0,"Customer Delivery Late","Ship Late"))</f>
        <v/>
      </c>
    </row>
    <row r="1549">
      <c r="A1549" s="2" t="inlineStr">
        <is>
          <t>ORD-01548</t>
        </is>
      </c>
      <c r="B1549" s="2" t="inlineStr">
        <is>
          <t>Customer 18</t>
        </is>
      </c>
      <c r="C1549" s="2" t="inlineStr">
        <is>
          <t>Relay</t>
        </is>
      </c>
      <c r="D1549" s="2" t="inlineStr">
        <is>
          <t>Plant C</t>
        </is>
      </c>
      <c r="E1549" s="2" t="inlineStr">
        <is>
          <t>North</t>
        </is>
      </c>
      <c r="F1549" s="12" t="n">
        <v>46026</v>
      </c>
      <c r="G1549" s="12" t="n">
        <v>46046</v>
      </c>
      <c r="H1549" s="12" t="n">
        <v>46045</v>
      </c>
      <c r="I1549" s="12" t="n">
        <v>46043</v>
      </c>
      <c r="J1549" s="12" t="n">
        <v>46045</v>
      </c>
      <c r="K1549" s="2" t="n">
        <v>1019</v>
      </c>
      <c r="L1549" s="2" t="inlineStr">
        <is>
          <t>Sea</t>
        </is>
      </c>
      <c r="M1549" s="2" t="inlineStr">
        <is>
          <t>No Delay</t>
        </is>
      </c>
      <c r="N1549" s="4">
        <f>IF(I1549&lt;=H1549,1,0)</f>
        <v/>
      </c>
      <c r="O1549" s="4">
        <f>IF(J1549&lt;=G1549,1,0)</f>
        <v/>
      </c>
      <c r="P1549" s="4">
        <f>MAX(0,I1549-H1549)</f>
        <v/>
      </c>
      <c r="Q1549" s="4">
        <f>MAX(0,J1549-G1549)</f>
        <v/>
      </c>
      <c r="R1549" s="4">
        <f>IF(AND(N1549=1,O1549=1),"On Track",IF(O1549=0,"Customer Delivery Late","Ship Late"))</f>
        <v/>
      </c>
    </row>
    <row r="1550">
      <c r="A1550" s="2" t="inlineStr">
        <is>
          <t>ORD-01549</t>
        </is>
      </c>
      <c r="B1550" s="2" t="inlineStr">
        <is>
          <t>Customer 15</t>
        </is>
      </c>
      <c r="C1550" s="2" t="inlineStr">
        <is>
          <t>Sensor</t>
        </is>
      </c>
      <c r="D1550" s="2" t="inlineStr">
        <is>
          <t>Plant A</t>
        </is>
      </c>
      <c r="E1550" s="2" t="inlineStr">
        <is>
          <t>Central</t>
        </is>
      </c>
      <c r="F1550" s="12" t="n">
        <v>46184</v>
      </c>
      <c r="G1550" s="12" t="n">
        <v>46202</v>
      </c>
      <c r="H1550" s="12" t="n">
        <v>46199</v>
      </c>
      <c r="I1550" s="12" t="n">
        <v>46198</v>
      </c>
      <c r="J1550" s="12" t="n">
        <v>46201</v>
      </c>
      <c r="K1550" s="2" t="n">
        <v>439</v>
      </c>
      <c r="L1550" s="2" t="inlineStr">
        <is>
          <t>Road</t>
        </is>
      </c>
      <c r="M1550" s="2" t="inlineStr">
        <is>
          <t>No Delay</t>
        </is>
      </c>
      <c r="N1550" s="4">
        <f>IF(I1550&lt;=H1550,1,0)</f>
        <v/>
      </c>
      <c r="O1550" s="4">
        <f>IF(J1550&lt;=G1550,1,0)</f>
        <v/>
      </c>
      <c r="P1550" s="4">
        <f>MAX(0,I1550-H1550)</f>
        <v/>
      </c>
      <c r="Q1550" s="4">
        <f>MAX(0,J1550-G1550)</f>
        <v/>
      </c>
      <c r="R1550" s="4">
        <f>IF(AND(N1550=1,O1550=1),"On Track",IF(O1550=0,"Customer Delivery Late","Ship Late"))</f>
        <v/>
      </c>
    </row>
    <row r="1551">
      <c r="A1551" s="2" t="inlineStr">
        <is>
          <t>ORD-01550</t>
        </is>
      </c>
      <c r="B1551" s="2" t="inlineStr">
        <is>
          <t>Customer 10</t>
        </is>
      </c>
      <c r="C1551" s="2" t="inlineStr">
        <is>
          <t>Sensor</t>
        </is>
      </c>
      <c r="D1551" s="2" t="inlineStr">
        <is>
          <t>Plant A</t>
        </is>
      </c>
      <c r="E1551" s="2" t="inlineStr">
        <is>
          <t>South</t>
        </is>
      </c>
      <c r="F1551" s="12" t="n">
        <v>46199</v>
      </c>
      <c r="G1551" s="12" t="n">
        <v>46208</v>
      </c>
      <c r="H1551" s="12" t="n">
        <v>46206</v>
      </c>
      <c r="I1551" s="12" t="n">
        <v>46206</v>
      </c>
      <c r="J1551" s="12" t="n">
        <v>46207</v>
      </c>
      <c r="K1551" s="2" t="n">
        <v>1157</v>
      </c>
      <c r="L1551" s="2" t="inlineStr">
        <is>
          <t>Sea</t>
        </is>
      </c>
      <c r="M1551" s="2" t="inlineStr">
        <is>
          <t>No Delay</t>
        </is>
      </c>
      <c r="N1551" s="4">
        <f>IF(I1551&lt;=H1551,1,0)</f>
        <v/>
      </c>
      <c r="O1551" s="4">
        <f>IF(J1551&lt;=G1551,1,0)</f>
        <v/>
      </c>
      <c r="P1551" s="4">
        <f>MAX(0,I1551-H1551)</f>
        <v/>
      </c>
      <c r="Q1551" s="4">
        <f>MAX(0,J1551-G1551)</f>
        <v/>
      </c>
      <c r="R1551" s="4">
        <f>IF(AND(N1551=1,O1551=1),"On Track",IF(O1551=0,"Customer Delivery Late","Ship Late"))</f>
        <v/>
      </c>
    </row>
    <row r="1552">
      <c r="A1552" s="2" t="inlineStr">
        <is>
          <t>ORD-01551</t>
        </is>
      </c>
      <c r="B1552" s="2" t="inlineStr">
        <is>
          <t>Customer 27</t>
        </is>
      </c>
      <c r="C1552" s="2" t="inlineStr">
        <is>
          <t>Drive</t>
        </is>
      </c>
      <c r="D1552" s="2" t="inlineStr">
        <is>
          <t>Plant A</t>
        </is>
      </c>
      <c r="E1552" s="2" t="inlineStr">
        <is>
          <t>South</t>
        </is>
      </c>
      <c r="F1552" s="12" t="n">
        <v>46167</v>
      </c>
      <c r="G1552" s="12" t="n">
        <v>46176</v>
      </c>
      <c r="H1552" s="12" t="n">
        <v>46174</v>
      </c>
      <c r="I1552" s="12" t="n">
        <v>46173</v>
      </c>
      <c r="J1552" s="12" t="n">
        <v>46174</v>
      </c>
      <c r="K1552" s="2" t="n">
        <v>1353</v>
      </c>
      <c r="L1552" s="2" t="inlineStr">
        <is>
          <t>Road</t>
        </is>
      </c>
      <c r="M1552" s="2" t="inlineStr">
        <is>
          <t>No Delay</t>
        </is>
      </c>
      <c r="N1552" s="4">
        <f>IF(I1552&lt;=H1552,1,0)</f>
        <v/>
      </c>
      <c r="O1552" s="4">
        <f>IF(J1552&lt;=G1552,1,0)</f>
        <v/>
      </c>
      <c r="P1552" s="4">
        <f>MAX(0,I1552-H1552)</f>
        <v/>
      </c>
      <c r="Q1552" s="4">
        <f>MAX(0,J1552-G1552)</f>
        <v/>
      </c>
      <c r="R1552" s="4">
        <f>IF(AND(N1552=1,O1552=1),"On Track",IF(O1552=0,"Customer Delivery Late","Ship Late"))</f>
        <v/>
      </c>
    </row>
    <row r="1553">
      <c r="A1553" s="2" t="inlineStr">
        <is>
          <t>ORD-01552</t>
        </is>
      </c>
      <c r="B1553" s="2" t="inlineStr">
        <is>
          <t>Customer 09</t>
        </is>
      </c>
      <c r="C1553" s="2" t="inlineStr">
        <is>
          <t>Power Supply</t>
        </is>
      </c>
      <c r="D1553" s="2" t="inlineStr">
        <is>
          <t>Plant C</t>
        </is>
      </c>
      <c r="E1553" s="2" t="inlineStr">
        <is>
          <t>Export</t>
        </is>
      </c>
      <c r="F1553" s="12" t="n">
        <v>46122</v>
      </c>
      <c r="G1553" s="12" t="n">
        <v>46134</v>
      </c>
      <c r="H1553" s="12" t="n">
        <v>46130</v>
      </c>
      <c r="I1553" s="12" t="n">
        <v>46128</v>
      </c>
      <c r="J1553" s="12" t="n">
        <v>46131</v>
      </c>
      <c r="K1553" s="2" t="n">
        <v>574</v>
      </c>
      <c r="L1553" s="2" t="inlineStr">
        <is>
          <t>Road</t>
        </is>
      </c>
      <c r="M1553" s="2" t="inlineStr">
        <is>
          <t>No Delay</t>
        </is>
      </c>
      <c r="N1553" s="4">
        <f>IF(I1553&lt;=H1553,1,0)</f>
        <v/>
      </c>
      <c r="O1553" s="4">
        <f>IF(J1553&lt;=G1553,1,0)</f>
        <v/>
      </c>
      <c r="P1553" s="4">
        <f>MAX(0,I1553-H1553)</f>
        <v/>
      </c>
      <c r="Q1553" s="4">
        <f>MAX(0,J1553-G1553)</f>
        <v/>
      </c>
      <c r="R1553" s="4">
        <f>IF(AND(N1553=1,O1553=1),"On Track",IF(O1553=0,"Customer Delivery Late","Ship Late"))</f>
        <v/>
      </c>
    </row>
    <row r="1554">
      <c r="A1554" s="2" t="inlineStr">
        <is>
          <t>ORD-01553</t>
        </is>
      </c>
      <c r="B1554" s="2" t="inlineStr">
        <is>
          <t>Customer 11</t>
        </is>
      </c>
      <c r="C1554" s="2" t="inlineStr">
        <is>
          <t>Relay</t>
        </is>
      </c>
      <c r="D1554" s="2" t="inlineStr">
        <is>
          <t>Plant A</t>
        </is>
      </c>
      <c r="E1554" s="2" t="inlineStr">
        <is>
          <t>North</t>
        </is>
      </c>
      <c r="F1554" s="12" t="n">
        <v>46083</v>
      </c>
      <c r="G1554" s="12" t="n">
        <v>46088</v>
      </c>
      <c r="H1554" s="12" t="n">
        <v>46084</v>
      </c>
      <c r="I1554" s="12" t="n">
        <v>46082</v>
      </c>
      <c r="J1554" s="12" t="n">
        <v>46085</v>
      </c>
      <c r="K1554" s="2" t="n">
        <v>460</v>
      </c>
      <c r="L1554" s="2" t="inlineStr">
        <is>
          <t>Air</t>
        </is>
      </c>
      <c r="M1554" s="2" t="inlineStr">
        <is>
          <t>No Delay</t>
        </is>
      </c>
      <c r="N1554" s="4">
        <f>IF(I1554&lt;=H1554,1,0)</f>
        <v/>
      </c>
      <c r="O1554" s="4">
        <f>IF(J1554&lt;=G1554,1,0)</f>
        <v/>
      </c>
      <c r="P1554" s="4">
        <f>MAX(0,I1554-H1554)</f>
        <v/>
      </c>
      <c r="Q1554" s="4">
        <f>MAX(0,J1554-G1554)</f>
        <v/>
      </c>
      <c r="R1554" s="4">
        <f>IF(AND(N1554=1,O1554=1),"On Track",IF(O1554=0,"Customer Delivery Late","Ship Late"))</f>
        <v/>
      </c>
    </row>
    <row r="1555">
      <c r="A1555" s="2" t="inlineStr">
        <is>
          <t>ORD-01554</t>
        </is>
      </c>
      <c r="B1555" s="2" t="inlineStr">
        <is>
          <t>Customer 24</t>
        </is>
      </c>
      <c r="C1555" s="2" t="inlineStr">
        <is>
          <t>Switchgear</t>
        </is>
      </c>
      <c r="D1555" s="2" t="inlineStr">
        <is>
          <t>Plant C</t>
        </is>
      </c>
      <c r="E1555" s="2" t="inlineStr">
        <is>
          <t>South</t>
        </is>
      </c>
      <c r="F1555" s="12" t="n">
        <v>46067</v>
      </c>
      <c r="G1555" s="12" t="n">
        <v>46084</v>
      </c>
      <c r="H1555" s="12" t="n">
        <v>46083</v>
      </c>
      <c r="I1555" s="12" t="n">
        <v>46082</v>
      </c>
      <c r="J1555" s="12" t="n">
        <v>46083</v>
      </c>
      <c r="K1555" s="2" t="n">
        <v>800</v>
      </c>
      <c r="L1555" s="2" t="inlineStr">
        <is>
          <t>Road</t>
        </is>
      </c>
      <c r="M1555" s="2" t="inlineStr">
        <is>
          <t>No Delay</t>
        </is>
      </c>
      <c r="N1555" s="4">
        <f>IF(I1555&lt;=H1555,1,0)</f>
        <v/>
      </c>
      <c r="O1555" s="4">
        <f>IF(J1555&lt;=G1555,1,0)</f>
        <v/>
      </c>
      <c r="P1555" s="4">
        <f>MAX(0,I1555-H1555)</f>
        <v/>
      </c>
      <c r="Q1555" s="4">
        <f>MAX(0,J1555-G1555)</f>
        <v/>
      </c>
      <c r="R1555" s="4">
        <f>IF(AND(N1555=1,O1555=1),"On Track",IF(O1555=0,"Customer Delivery Late","Ship Late"))</f>
        <v/>
      </c>
    </row>
    <row r="1556">
      <c r="A1556" s="2" t="inlineStr">
        <is>
          <t>ORD-01555</t>
        </is>
      </c>
      <c r="B1556" s="2" t="inlineStr">
        <is>
          <t>Customer 06</t>
        </is>
      </c>
      <c r="C1556" s="2" t="inlineStr">
        <is>
          <t>Contactor</t>
        </is>
      </c>
      <c r="D1556" s="2" t="inlineStr">
        <is>
          <t>Plant B</t>
        </is>
      </c>
      <c r="E1556" s="2" t="inlineStr">
        <is>
          <t>North</t>
        </is>
      </c>
      <c r="F1556" s="12" t="n">
        <v>46103</v>
      </c>
      <c r="G1556" s="12" t="n">
        <v>46116</v>
      </c>
      <c r="H1556" s="12" t="n">
        <v>46112</v>
      </c>
      <c r="I1556" s="12" t="n">
        <v>46111</v>
      </c>
      <c r="J1556" s="12" t="n">
        <v>46116</v>
      </c>
      <c r="K1556" s="2" t="n">
        <v>886</v>
      </c>
      <c r="L1556" s="2" t="inlineStr">
        <is>
          <t>Sea</t>
        </is>
      </c>
      <c r="M1556" s="2" t="inlineStr">
        <is>
          <t>No Delay</t>
        </is>
      </c>
      <c r="N1556" s="4">
        <f>IF(I1556&lt;=H1556,1,0)</f>
        <v/>
      </c>
      <c r="O1556" s="4">
        <f>IF(J1556&lt;=G1556,1,0)</f>
        <v/>
      </c>
      <c r="P1556" s="4">
        <f>MAX(0,I1556-H1556)</f>
        <v/>
      </c>
      <c r="Q1556" s="4">
        <f>MAX(0,J1556-G1556)</f>
        <v/>
      </c>
      <c r="R1556" s="4">
        <f>IF(AND(N1556=1,O1556=1),"On Track",IF(O1556=0,"Customer Delivery Late","Ship Late"))</f>
        <v/>
      </c>
    </row>
    <row r="1557">
      <c r="A1557" s="2" t="inlineStr">
        <is>
          <t>ORD-01556</t>
        </is>
      </c>
      <c r="B1557" s="2" t="inlineStr">
        <is>
          <t>Customer 01</t>
        </is>
      </c>
      <c r="C1557" s="2" t="inlineStr">
        <is>
          <t>Contactor</t>
        </is>
      </c>
      <c r="D1557" s="2" t="inlineStr">
        <is>
          <t>Plant C</t>
        </is>
      </c>
      <c r="E1557" s="2" t="inlineStr">
        <is>
          <t>Export</t>
        </is>
      </c>
      <c r="F1557" s="12" t="n">
        <v>46091</v>
      </c>
      <c r="G1557" s="12" t="n">
        <v>46098</v>
      </c>
      <c r="H1557" s="12" t="n">
        <v>46097</v>
      </c>
      <c r="I1557" s="12" t="n">
        <v>46097</v>
      </c>
      <c r="J1557" s="12" t="n">
        <v>46098</v>
      </c>
      <c r="K1557" s="2" t="n">
        <v>1223</v>
      </c>
      <c r="L1557" s="2" t="inlineStr">
        <is>
          <t>Road</t>
        </is>
      </c>
      <c r="M1557" s="2" t="inlineStr">
        <is>
          <t>No Delay</t>
        </is>
      </c>
      <c r="N1557" s="4">
        <f>IF(I1557&lt;=H1557,1,0)</f>
        <v/>
      </c>
      <c r="O1557" s="4">
        <f>IF(J1557&lt;=G1557,1,0)</f>
        <v/>
      </c>
      <c r="P1557" s="4">
        <f>MAX(0,I1557-H1557)</f>
        <v/>
      </c>
      <c r="Q1557" s="4">
        <f>MAX(0,J1557-G1557)</f>
        <v/>
      </c>
      <c r="R1557" s="4">
        <f>IF(AND(N1557=1,O1557=1),"On Track",IF(O1557=0,"Customer Delivery Late","Ship Late"))</f>
        <v/>
      </c>
    </row>
    <row r="1558">
      <c r="A1558" s="2" t="inlineStr">
        <is>
          <t>ORD-01557</t>
        </is>
      </c>
      <c r="B1558" s="2" t="inlineStr">
        <is>
          <t>Customer 01</t>
        </is>
      </c>
      <c r="C1558" s="2" t="inlineStr">
        <is>
          <t>Relay</t>
        </is>
      </c>
      <c r="D1558" s="2" t="inlineStr">
        <is>
          <t>Plant A</t>
        </is>
      </c>
      <c r="E1558" s="2" t="inlineStr">
        <is>
          <t>South</t>
        </is>
      </c>
      <c r="F1558" s="12" t="n">
        <v>46174</v>
      </c>
      <c r="G1558" s="12" t="n">
        <v>46189</v>
      </c>
      <c r="H1558" s="12" t="n">
        <v>46185</v>
      </c>
      <c r="I1558" s="12" t="n">
        <v>46184</v>
      </c>
      <c r="J1558" s="12" t="n">
        <v>46187</v>
      </c>
      <c r="K1558" s="2" t="n">
        <v>355</v>
      </c>
      <c r="L1558" s="2" t="inlineStr">
        <is>
          <t>Air</t>
        </is>
      </c>
      <c r="M1558" s="2" t="inlineStr">
        <is>
          <t>No Delay</t>
        </is>
      </c>
      <c r="N1558" s="4">
        <f>IF(I1558&lt;=H1558,1,0)</f>
        <v/>
      </c>
      <c r="O1558" s="4">
        <f>IF(J1558&lt;=G1558,1,0)</f>
        <v/>
      </c>
      <c r="P1558" s="4">
        <f>MAX(0,I1558-H1558)</f>
        <v/>
      </c>
      <c r="Q1558" s="4">
        <f>MAX(0,J1558-G1558)</f>
        <v/>
      </c>
      <c r="R1558" s="4">
        <f>IF(AND(N1558=1,O1558=1),"On Track",IF(O1558=0,"Customer Delivery Late","Ship Late"))</f>
        <v/>
      </c>
    </row>
    <row r="1559">
      <c r="A1559" s="2" t="inlineStr">
        <is>
          <t>ORD-01558</t>
        </is>
      </c>
      <c r="B1559" s="2" t="inlineStr">
        <is>
          <t>Customer 22</t>
        </is>
      </c>
      <c r="C1559" s="2" t="inlineStr">
        <is>
          <t>Contactor</t>
        </is>
      </c>
      <c r="D1559" s="2" t="inlineStr">
        <is>
          <t>Plant A</t>
        </is>
      </c>
      <c r="E1559" s="2" t="inlineStr">
        <is>
          <t>South</t>
        </is>
      </c>
      <c r="F1559" s="12" t="n">
        <v>46063</v>
      </c>
      <c r="G1559" s="12" t="n">
        <v>46068</v>
      </c>
      <c r="H1559" s="12" t="n">
        <v>46067</v>
      </c>
      <c r="I1559" s="12" t="n">
        <v>46067</v>
      </c>
      <c r="J1559" s="12" t="n">
        <v>46068</v>
      </c>
      <c r="K1559" s="2" t="n">
        <v>160</v>
      </c>
      <c r="L1559" s="2" t="inlineStr">
        <is>
          <t>Road</t>
        </is>
      </c>
      <c r="M1559" s="2" t="inlineStr">
        <is>
          <t>No Delay</t>
        </is>
      </c>
      <c r="N1559" s="4">
        <f>IF(I1559&lt;=H1559,1,0)</f>
        <v/>
      </c>
      <c r="O1559" s="4">
        <f>IF(J1559&lt;=G1559,1,0)</f>
        <v/>
      </c>
      <c r="P1559" s="4">
        <f>MAX(0,I1559-H1559)</f>
        <v/>
      </c>
      <c r="Q1559" s="4">
        <f>MAX(0,J1559-G1559)</f>
        <v/>
      </c>
      <c r="R1559" s="4">
        <f>IF(AND(N1559=1,O1559=1),"On Track",IF(O1559=0,"Customer Delivery Late","Ship Late"))</f>
        <v/>
      </c>
    </row>
    <row r="1560">
      <c r="A1560" s="2" t="inlineStr">
        <is>
          <t>ORD-01559</t>
        </is>
      </c>
      <c r="B1560" s="2" t="inlineStr">
        <is>
          <t>Customer 21</t>
        </is>
      </c>
      <c r="C1560" s="2" t="inlineStr">
        <is>
          <t>Switchgear</t>
        </is>
      </c>
      <c r="D1560" s="2" t="inlineStr">
        <is>
          <t>Plant B</t>
        </is>
      </c>
      <c r="E1560" s="2" t="inlineStr">
        <is>
          <t>North</t>
        </is>
      </c>
      <c r="F1560" s="12" t="n">
        <v>46169</v>
      </c>
      <c r="G1560" s="12" t="n">
        <v>46181</v>
      </c>
      <c r="H1560" s="12" t="n">
        <v>46177</v>
      </c>
      <c r="I1560" s="12" t="n">
        <v>46177</v>
      </c>
      <c r="J1560" s="12" t="n">
        <v>46181</v>
      </c>
      <c r="K1560" s="2" t="n">
        <v>1169</v>
      </c>
      <c r="L1560" s="2" t="inlineStr">
        <is>
          <t>Sea</t>
        </is>
      </c>
      <c r="M1560" s="2" t="inlineStr">
        <is>
          <t>No Delay</t>
        </is>
      </c>
      <c r="N1560" s="4">
        <f>IF(I1560&lt;=H1560,1,0)</f>
        <v/>
      </c>
      <c r="O1560" s="4">
        <f>IF(J1560&lt;=G1560,1,0)</f>
        <v/>
      </c>
      <c r="P1560" s="4">
        <f>MAX(0,I1560-H1560)</f>
        <v/>
      </c>
      <c r="Q1560" s="4">
        <f>MAX(0,J1560-G1560)</f>
        <v/>
      </c>
      <c r="R1560" s="4">
        <f>IF(AND(N1560=1,O1560=1),"On Track",IF(O1560=0,"Customer Delivery Late","Ship Late"))</f>
        <v/>
      </c>
    </row>
    <row r="1561">
      <c r="A1561" s="2" t="inlineStr">
        <is>
          <t>ORD-01560</t>
        </is>
      </c>
      <c r="B1561" s="2" t="inlineStr">
        <is>
          <t>Customer 20</t>
        </is>
      </c>
      <c r="C1561" s="2" t="inlineStr">
        <is>
          <t>Relay</t>
        </is>
      </c>
      <c r="D1561" s="2" t="inlineStr">
        <is>
          <t>Plant A</t>
        </is>
      </c>
      <c r="E1561" s="2" t="inlineStr">
        <is>
          <t>Export</t>
        </is>
      </c>
      <c r="F1561" s="12" t="n">
        <v>46144</v>
      </c>
      <c r="G1561" s="12" t="n">
        <v>46155</v>
      </c>
      <c r="H1561" s="12" t="n">
        <v>46154</v>
      </c>
      <c r="I1561" s="12" t="n">
        <v>46153</v>
      </c>
      <c r="J1561" s="12" t="n">
        <v>46154</v>
      </c>
      <c r="K1561" s="2" t="n">
        <v>1345</v>
      </c>
      <c r="L1561" s="2" t="inlineStr">
        <is>
          <t>Air</t>
        </is>
      </c>
      <c r="M1561" s="2" t="inlineStr">
        <is>
          <t>No Delay</t>
        </is>
      </c>
      <c r="N1561" s="4">
        <f>IF(I1561&lt;=H1561,1,0)</f>
        <v/>
      </c>
      <c r="O1561" s="4">
        <f>IF(J1561&lt;=G1561,1,0)</f>
        <v/>
      </c>
      <c r="P1561" s="4">
        <f>MAX(0,I1561-H1561)</f>
        <v/>
      </c>
      <c r="Q1561" s="4">
        <f>MAX(0,J1561-G1561)</f>
        <v/>
      </c>
      <c r="R1561" s="4">
        <f>IF(AND(N1561=1,O1561=1),"On Track",IF(O1561=0,"Customer Delivery Late","Ship Late"))</f>
        <v/>
      </c>
    </row>
    <row r="1562">
      <c r="A1562" s="2" t="inlineStr">
        <is>
          <t>ORD-01561</t>
        </is>
      </c>
      <c r="B1562" s="2" t="inlineStr">
        <is>
          <t>Customer 27</t>
        </is>
      </c>
      <c r="C1562" s="2" t="inlineStr">
        <is>
          <t>PLC</t>
        </is>
      </c>
      <c r="D1562" s="2" t="inlineStr">
        <is>
          <t>Plant C</t>
        </is>
      </c>
      <c r="E1562" s="2" t="inlineStr">
        <is>
          <t>South</t>
        </is>
      </c>
      <c r="F1562" s="12" t="n">
        <v>46195</v>
      </c>
      <c r="G1562" s="12" t="n">
        <v>46200</v>
      </c>
      <c r="H1562" s="12" t="n">
        <v>46196</v>
      </c>
      <c r="I1562" s="12" t="n">
        <v>46196</v>
      </c>
      <c r="J1562" s="12" t="n">
        <v>46201</v>
      </c>
      <c r="K1562" s="2" t="n">
        <v>425</v>
      </c>
      <c r="L1562" s="2" t="inlineStr">
        <is>
          <t>Road</t>
        </is>
      </c>
      <c r="M1562" s="2" t="inlineStr">
        <is>
          <t>Production Delay</t>
        </is>
      </c>
      <c r="N1562" s="4">
        <f>IF(I1562&lt;=H1562,1,0)</f>
        <v/>
      </c>
      <c r="O1562" s="4">
        <f>IF(J1562&lt;=G1562,1,0)</f>
        <v/>
      </c>
      <c r="P1562" s="4">
        <f>MAX(0,I1562-H1562)</f>
        <v/>
      </c>
      <c r="Q1562" s="4">
        <f>MAX(0,J1562-G1562)</f>
        <v/>
      </c>
      <c r="R1562" s="4">
        <f>IF(AND(N1562=1,O1562=1),"On Track",IF(O1562=0,"Customer Delivery Late","Ship Late"))</f>
        <v/>
      </c>
    </row>
    <row r="1563">
      <c r="A1563" s="2" t="inlineStr">
        <is>
          <t>ORD-01562</t>
        </is>
      </c>
      <c r="B1563" s="2" t="inlineStr">
        <is>
          <t>Customer 26</t>
        </is>
      </c>
      <c r="C1563" s="2" t="inlineStr">
        <is>
          <t>Drive</t>
        </is>
      </c>
      <c r="D1563" s="2" t="inlineStr">
        <is>
          <t>Plant A</t>
        </is>
      </c>
      <c r="E1563" s="2" t="inlineStr">
        <is>
          <t>Central</t>
        </is>
      </c>
      <c r="F1563" s="12" t="n">
        <v>46177</v>
      </c>
      <c r="G1563" s="12" t="n">
        <v>46184</v>
      </c>
      <c r="H1563" s="12" t="n">
        <v>46180</v>
      </c>
      <c r="I1563" s="12" t="n">
        <v>46178</v>
      </c>
      <c r="J1563" s="12" t="n">
        <v>46183</v>
      </c>
      <c r="K1563" s="2" t="n">
        <v>265</v>
      </c>
      <c r="L1563" s="2" t="inlineStr">
        <is>
          <t>Road</t>
        </is>
      </c>
      <c r="M1563" s="2" t="inlineStr">
        <is>
          <t>No Delay</t>
        </is>
      </c>
      <c r="N1563" s="4">
        <f>IF(I1563&lt;=H1563,1,0)</f>
        <v/>
      </c>
      <c r="O1563" s="4">
        <f>IF(J1563&lt;=G1563,1,0)</f>
        <v/>
      </c>
      <c r="P1563" s="4">
        <f>MAX(0,I1563-H1563)</f>
        <v/>
      </c>
      <c r="Q1563" s="4">
        <f>MAX(0,J1563-G1563)</f>
        <v/>
      </c>
      <c r="R1563" s="4">
        <f>IF(AND(N1563=1,O1563=1),"On Track",IF(O1563=0,"Customer Delivery Late","Ship Late"))</f>
        <v/>
      </c>
    </row>
    <row r="1564">
      <c r="A1564" s="2" t="inlineStr">
        <is>
          <t>ORD-01563</t>
        </is>
      </c>
      <c r="B1564" s="2" t="inlineStr">
        <is>
          <t>Customer 13</t>
        </is>
      </c>
      <c r="C1564" s="2" t="inlineStr">
        <is>
          <t>Sensor</t>
        </is>
      </c>
      <c r="D1564" s="2" t="inlineStr">
        <is>
          <t>Plant B</t>
        </is>
      </c>
      <c r="E1564" s="2" t="inlineStr">
        <is>
          <t>Export</t>
        </is>
      </c>
      <c r="F1564" s="12" t="n">
        <v>46034</v>
      </c>
      <c r="G1564" s="12" t="n">
        <v>46044</v>
      </c>
      <c r="H1564" s="12" t="n">
        <v>46043</v>
      </c>
      <c r="I1564" s="12" t="n">
        <v>46042</v>
      </c>
      <c r="J1564" s="12" t="n">
        <v>46043</v>
      </c>
      <c r="K1564" s="2" t="n">
        <v>591</v>
      </c>
      <c r="L1564" s="2" t="inlineStr">
        <is>
          <t>Air</t>
        </is>
      </c>
      <c r="M1564" s="2" t="inlineStr">
        <is>
          <t>No Delay</t>
        </is>
      </c>
      <c r="N1564" s="4">
        <f>IF(I1564&lt;=H1564,1,0)</f>
        <v/>
      </c>
      <c r="O1564" s="4">
        <f>IF(J1564&lt;=G1564,1,0)</f>
        <v/>
      </c>
      <c r="P1564" s="4">
        <f>MAX(0,I1564-H1564)</f>
        <v/>
      </c>
      <c r="Q1564" s="4">
        <f>MAX(0,J1564-G1564)</f>
        <v/>
      </c>
      <c r="R1564" s="4">
        <f>IF(AND(N1564=1,O1564=1),"On Track",IF(O1564=0,"Customer Delivery Late","Ship Late"))</f>
        <v/>
      </c>
    </row>
    <row r="1565">
      <c r="A1565" s="2" t="inlineStr">
        <is>
          <t>ORD-01564</t>
        </is>
      </c>
      <c r="B1565" s="2" t="inlineStr">
        <is>
          <t>Customer 18</t>
        </is>
      </c>
      <c r="C1565" s="2" t="inlineStr">
        <is>
          <t>Power Supply</t>
        </is>
      </c>
      <c r="D1565" s="2" t="inlineStr">
        <is>
          <t>Plant B</t>
        </is>
      </c>
      <c r="E1565" s="2" t="inlineStr">
        <is>
          <t>Export</t>
        </is>
      </c>
      <c r="F1565" s="12" t="n">
        <v>46024</v>
      </c>
      <c r="G1565" s="12" t="n">
        <v>46030</v>
      </c>
      <c r="H1565" s="12" t="n">
        <v>46029</v>
      </c>
      <c r="I1565" s="12" t="n">
        <v>46029</v>
      </c>
      <c r="J1565" s="12" t="n">
        <v>46030</v>
      </c>
      <c r="K1565" s="2" t="n">
        <v>619</v>
      </c>
      <c r="L1565" s="2" t="inlineStr">
        <is>
          <t>Sea</t>
        </is>
      </c>
      <c r="M1565" s="2" t="inlineStr">
        <is>
          <t>No Delay</t>
        </is>
      </c>
      <c r="N1565" s="4">
        <f>IF(I1565&lt;=H1565,1,0)</f>
        <v/>
      </c>
      <c r="O1565" s="4">
        <f>IF(J1565&lt;=G1565,1,0)</f>
        <v/>
      </c>
      <c r="P1565" s="4">
        <f>MAX(0,I1565-H1565)</f>
        <v/>
      </c>
      <c r="Q1565" s="4">
        <f>MAX(0,J1565-G1565)</f>
        <v/>
      </c>
      <c r="R1565" s="4">
        <f>IF(AND(N1565=1,O1565=1),"On Track",IF(O1565=0,"Customer Delivery Late","Ship Late"))</f>
        <v/>
      </c>
    </row>
    <row r="1566">
      <c r="A1566" s="2" t="inlineStr">
        <is>
          <t>ORD-01565</t>
        </is>
      </c>
      <c r="B1566" s="2" t="inlineStr">
        <is>
          <t>Customer 12</t>
        </is>
      </c>
      <c r="C1566" s="2" t="inlineStr">
        <is>
          <t>Power Supply</t>
        </is>
      </c>
      <c r="D1566" s="2" t="inlineStr">
        <is>
          <t>Plant C</t>
        </is>
      </c>
      <c r="E1566" s="2" t="inlineStr">
        <is>
          <t>North</t>
        </is>
      </c>
      <c r="F1566" s="12" t="n">
        <v>46137</v>
      </c>
      <c r="G1566" s="12" t="n">
        <v>46160</v>
      </c>
      <c r="H1566" s="12" t="n">
        <v>46156</v>
      </c>
      <c r="I1566" s="12" t="n">
        <v>46154</v>
      </c>
      <c r="J1566" s="12" t="n">
        <v>46158</v>
      </c>
      <c r="K1566" s="2" t="n">
        <v>536</v>
      </c>
      <c r="L1566" s="2" t="inlineStr">
        <is>
          <t>Air</t>
        </is>
      </c>
      <c r="M1566" s="2" t="inlineStr">
        <is>
          <t>No Delay</t>
        </is>
      </c>
      <c r="N1566" s="4">
        <f>IF(I1566&lt;=H1566,1,0)</f>
        <v/>
      </c>
      <c r="O1566" s="4">
        <f>IF(J1566&lt;=G1566,1,0)</f>
        <v/>
      </c>
      <c r="P1566" s="4">
        <f>MAX(0,I1566-H1566)</f>
        <v/>
      </c>
      <c r="Q1566" s="4">
        <f>MAX(0,J1566-G1566)</f>
        <v/>
      </c>
      <c r="R1566" s="4">
        <f>IF(AND(N1566=1,O1566=1),"On Track",IF(O1566=0,"Customer Delivery Late","Ship Late"))</f>
        <v/>
      </c>
    </row>
    <row r="1567">
      <c r="A1567" s="2" t="inlineStr">
        <is>
          <t>ORD-01566</t>
        </is>
      </c>
      <c r="B1567" s="2" t="inlineStr">
        <is>
          <t>Customer 19</t>
        </is>
      </c>
      <c r="C1567" s="2" t="inlineStr">
        <is>
          <t>Power Supply</t>
        </is>
      </c>
      <c r="D1567" s="2" t="inlineStr">
        <is>
          <t>Plant B</t>
        </is>
      </c>
      <c r="E1567" s="2" t="inlineStr">
        <is>
          <t>Export</t>
        </is>
      </c>
      <c r="F1567" s="12" t="n">
        <v>46031</v>
      </c>
      <c r="G1567" s="12" t="n">
        <v>46036</v>
      </c>
      <c r="H1567" s="12" t="n">
        <v>46032</v>
      </c>
      <c r="I1567" s="12" t="n">
        <v>46031</v>
      </c>
      <c r="J1567" s="12" t="n">
        <v>46035</v>
      </c>
      <c r="K1567" s="2" t="n">
        <v>1272</v>
      </c>
      <c r="L1567" s="2" t="inlineStr">
        <is>
          <t>Road</t>
        </is>
      </c>
      <c r="M1567" s="2" t="inlineStr">
        <is>
          <t>No Delay</t>
        </is>
      </c>
      <c r="N1567" s="4">
        <f>IF(I1567&lt;=H1567,1,0)</f>
        <v/>
      </c>
      <c r="O1567" s="4">
        <f>IF(J1567&lt;=G1567,1,0)</f>
        <v/>
      </c>
      <c r="P1567" s="4">
        <f>MAX(0,I1567-H1567)</f>
        <v/>
      </c>
      <c r="Q1567" s="4">
        <f>MAX(0,J1567-G1567)</f>
        <v/>
      </c>
      <c r="R1567" s="4">
        <f>IF(AND(N1567=1,O1567=1),"On Track",IF(O1567=0,"Customer Delivery Late","Ship Late"))</f>
        <v/>
      </c>
    </row>
    <row r="1568">
      <c r="A1568" s="2" t="inlineStr">
        <is>
          <t>ORD-01567</t>
        </is>
      </c>
      <c r="B1568" s="2" t="inlineStr">
        <is>
          <t>Customer 13</t>
        </is>
      </c>
      <c r="C1568" s="2" t="inlineStr">
        <is>
          <t>PLC</t>
        </is>
      </c>
      <c r="D1568" s="2" t="inlineStr">
        <is>
          <t>Plant B</t>
        </is>
      </c>
      <c r="E1568" s="2" t="inlineStr">
        <is>
          <t>Central</t>
        </is>
      </c>
      <c r="F1568" s="12" t="n">
        <v>46141</v>
      </c>
      <c r="G1568" s="12" t="n">
        <v>46160</v>
      </c>
      <c r="H1568" s="12" t="n">
        <v>46159</v>
      </c>
      <c r="I1568" s="12" t="n">
        <v>46159</v>
      </c>
      <c r="J1568" s="12" t="n">
        <v>46160</v>
      </c>
      <c r="K1568" s="2" t="n">
        <v>111</v>
      </c>
      <c r="L1568" s="2" t="inlineStr">
        <is>
          <t>Sea</t>
        </is>
      </c>
      <c r="M1568" s="2" t="inlineStr">
        <is>
          <t>No Delay</t>
        </is>
      </c>
      <c r="N1568" s="4">
        <f>IF(I1568&lt;=H1568,1,0)</f>
        <v/>
      </c>
      <c r="O1568" s="4">
        <f>IF(J1568&lt;=G1568,1,0)</f>
        <v/>
      </c>
      <c r="P1568" s="4">
        <f>MAX(0,I1568-H1568)</f>
        <v/>
      </c>
      <c r="Q1568" s="4">
        <f>MAX(0,J1568-G1568)</f>
        <v/>
      </c>
      <c r="R1568" s="4">
        <f>IF(AND(N1568=1,O1568=1),"On Track",IF(O1568=0,"Customer Delivery Late","Ship Late"))</f>
        <v/>
      </c>
    </row>
    <row r="1569">
      <c r="A1569" s="2" t="inlineStr">
        <is>
          <t>ORD-01568</t>
        </is>
      </c>
      <c r="B1569" s="2" t="inlineStr">
        <is>
          <t>Customer 17</t>
        </is>
      </c>
      <c r="C1569" s="2" t="inlineStr">
        <is>
          <t>Relay</t>
        </is>
      </c>
      <c r="D1569" s="2" t="inlineStr">
        <is>
          <t>Plant B</t>
        </is>
      </c>
      <c r="E1569" s="2" t="inlineStr">
        <is>
          <t>Export</t>
        </is>
      </c>
      <c r="F1569" s="12" t="n">
        <v>46117</v>
      </c>
      <c r="G1569" s="12" t="n">
        <v>46140</v>
      </c>
      <c r="H1569" s="12" t="n">
        <v>46136</v>
      </c>
      <c r="I1569" s="12" t="n">
        <v>46134</v>
      </c>
      <c r="J1569" s="12" t="n">
        <v>46138</v>
      </c>
      <c r="K1569" s="2" t="n">
        <v>1391</v>
      </c>
      <c r="L1569" s="2" t="inlineStr">
        <is>
          <t>Road</t>
        </is>
      </c>
      <c r="M1569" s="2" t="inlineStr">
        <is>
          <t>No Delay</t>
        </is>
      </c>
      <c r="N1569" s="4">
        <f>IF(I1569&lt;=H1569,1,0)</f>
        <v/>
      </c>
      <c r="O1569" s="4">
        <f>IF(J1569&lt;=G1569,1,0)</f>
        <v/>
      </c>
      <c r="P1569" s="4">
        <f>MAX(0,I1569-H1569)</f>
        <v/>
      </c>
      <c r="Q1569" s="4">
        <f>MAX(0,J1569-G1569)</f>
        <v/>
      </c>
      <c r="R1569" s="4">
        <f>IF(AND(N1569=1,O1569=1),"On Track",IF(O1569=0,"Customer Delivery Late","Ship Late"))</f>
        <v/>
      </c>
    </row>
    <row r="1570">
      <c r="A1570" s="2" t="inlineStr">
        <is>
          <t>ORD-01569</t>
        </is>
      </c>
      <c r="B1570" s="2" t="inlineStr">
        <is>
          <t>Customer 27</t>
        </is>
      </c>
      <c r="C1570" s="2" t="inlineStr">
        <is>
          <t>Drive</t>
        </is>
      </c>
      <c r="D1570" s="2" t="inlineStr">
        <is>
          <t>Plant C</t>
        </is>
      </c>
      <c r="E1570" s="2" t="inlineStr">
        <is>
          <t>Export</t>
        </is>
      </c>
      <c r="F1570" s="12" t="n">
        <v>46132</v>
      </c>
      <c r="G1570" s="12" t="n">
        <v>46146</v>
      </c>
      <c r="H1570" s="12" t="n">
        <v>46144</v>
      </c>
      <c r="I1570" s="12" t="n">
        <v>46150</v>
      </c>
      <c r="J1570" s="12" t="n">
        <v>46153</v>
      </c>
      <c r="K1570" s="2" t="n">
        <v>724</v>
      </c>
      <c r="L1570" s="2" t="inlineStr">
        <is>
          <t>Air</t>
        </is>
      </c>
      <c r="M1570" s="2" t="inlineStr">
        <is>
          <t>Capacity Constraint</t>
        </is>
      </c>
      <c r="N1570" s="4">
        <f>IF(I1570&lt;=H1570,1,0)</f>
        <v/>
      </c>
      <c r="O1570" s="4">
        <f>IF(J1570&lt;=G1570,1,0)</f>
        <v/>
      </c>
      <c r="P1570" s="4">
        <f>MAX(0,I1570-H1570)</f>
        <v/>
      </c>
      <c r="Q1570" s="4">
        <f>MAX(0,J1570-G1570)</f>
        <v/>
      </c>
      <c r="R1570" s="4">
        <f>IF(AND(N1570=1,O1570=1),"On Track",IF(O1570=0,"Customer Delivery Late","Ship Late"))</f>
        <v/>
      </c>
    </row>
    <row r="1571">
      <c r="A1571" s="2" t="inlineStr">
        <is>
          <t>ORD-01570</t>
        </is>
      </c>
      <c r="B1571" s="2" t="inlineStr">
        <is>
          <t>Customer 10</t>
        </is>
      </c>
      <c r="C1571" s="2" t="inlineStr">
        <is>
          <t>Sensor</t>
        </is>
      </c>
      <c r="D1571" s="2" t="inlineStr">
        <is>
          <t>Plant A</t>
        </is>
      </c>
      <c r="E1571" s="2" t="inlineStr">
        <is>
          <t>South</t>
        </is>
      </c>
      <c r="F1571" s="12" t="n">
        <v>46128</v>
      </c>
      <c r="G1571" s="12" t="n">
        <v>46146</v>
      </c>
      <c r="H1571" s="12" t="n">
        <v>46144</v>
      </c>
      <c r="I1571" s="12" t="n">
        <v>46143</v>
      </c>
      <c r="J1571" s="12" t="n">
        <v>46145</v>
      </c>
      <c r="K1571" s="2" t="n">
        <v>1263</v>
      </c>
      <c r="L1571" s="2" t="inlineStr">
        <is>
          <t>Road</t>
        </is>
      </c>
      <c r="M1571" s="2" t="inlineStr">
        <is>
          <t>No Delay</t>
        </is>
      </c>
      <c r="N1571" s="4">
        <f>IF(I1571&lt;=H1571,1,0)</f>
        <v/>
      </c>
      <c r="O1571" s="4">
        <f>IF(J1571&lt;=G1571,1,0)</f>
        <v/>
      </c>
      <c r="P1571" s="4">
        <f>MAX(0,I1571-H1571)</f>
        <v/>
      </c>
      <c r="Q1571" s="4">
        <f>MAX(0,J1571-G1571)</f>
        <v/>
      </c>
      <c r="R1571" s="4">
        <f>IF(AND(N1571=1,O1571=1),"On Track",IF(O1571=0,"Customer Delivery Late","Ship Late"))</f>
        <v/>
      </c>
    </row>
    <row r="1572">
      <c r="A1572" s="2" t="inlineStr">
        <is>
          <t>ORD-01571</t>
        </is>
      </c>
      <c r="B1572" s="2" t="inlineStr">
        <is>
          <t>Customer 15</t>
        </is>
      </c>
      <c r="C1572" s="2" t="inlineStr">
        <is>
          <t>Sensor</t>
        </is>
      </c>
      <c r="D1572" s="2" t="inlineStr">
        <is>
          <t>Plant A</t>
        </is>
      </c>
      <c r="E1572" s="2" t="inlineStr">
        <is>
          <t>South</t>
        </is>
      </c>
      <c r="F1572" s="12" t="n">
        <v>46124</v>
      </c>
      <c r="G1572" s="12" t="n">
        <v>46147</v>
      </c>
      <c r="H1572" s="12" t="n">
        <v>46142</v>
      </c>
      <c r="I1572" s="12" t="n">
        <v>46142</v>
      </c>
      <c r="J1572" s="12" t="n">
        <v>46147</v>
      </c>
      <c r="K1572" s="2" t="n">
        <v>849</v>
      </c>
      <c r="L1572" s="2" t="inlineStr">
        <is>
          <t>Air</t>
        </is>
      </c>
      <c r="M1572" s="2" t="inlineStr">
        <is>
          <t>No Delay</t>
        </is>
      </c>
      <c r="N1572" s="4">
        <f>IF(I1572&lt;=H1572,1,0)</f>
        <v/>
      </c>
      <c r="O1572" s="4">
        <f>IF(J1572&lt;=G1572,1,0)</f>
        <v/>
      </c>
      <c r="P1572" s="4">
        <f>MAX(0,I1572-H1572)</f>
        <v/>
      </c>
      <c r="Q1572" s="4">
        <f>MAX(0,J1572-G1572)</f>
        <v/>
      </c>
      <c r="R1572" s="4">
        <f>IF(AND(N1572=1,O1572=1),"On Track",IF(O1572=0,"Customer Delivery Late","Ship Late"))</f>
        <v/>
      </c>
    </row>
    <row r="1573">
      <c r="A1573" s="2" t="inlineStr">
        <is>
          <t>ORD-01572</t>
        </is>
      </c>
      <c r="B1573" s="2" t="inlineStr">
        <is>
          <t>Customer 14</t>
        </is>
      </c>
      <c r="C1573" s="2" t="inlineStr">
        <is>
          <t>Relay</t>
        </is>
      </c>
      <c r="D1573" s="2" t="inlineStr">
        <is>
          <t>Plant C</t>
        </is>
      </c>
      <c r="E1573" s="2" t="inlineStr">
        <is>
          <t>Export</t>
        </is>
      </c>
      <c r="F1573" s="12" t="n">
        <v>46027</v>
      </c>
      <c r="G1573" s="12" t="n">
        <v>46048</v>
      </c>
      <c r="H1573" s="12" t="n">
        <v>46043</v>
      </c>
      <c r="I1573" s="12" t="n">
        <v>46041</v>
      </c>
      <c r="J1573" s="12" t="n">
        <v>46047</v>
      </c>
      <c r="K1573" s="2" t="n">
        <v>1491</v>
      </c>
      <c r="L1573" s="2" t="inlineStr">
        <is>
          <t>Road</t>
        </is>
      </c>
      <c r="M1573" s="2" t="inlineStr">
        <is>
          <t>No Delay</t>
        </is>
      </c>
      <c r="N1573" s="4">
        <f>IF(I1573&lt;=H1573,1,0)</f>
        <v/>
      </c>
      <c r="O1573" s="4">
        <f>IF(J1573&lt;=G1573,1,0)</f>
        <v/>
      </c>
      <c r="P1573" s="4">
        <f>MAX(0,I1573-H1573)</f>
        <v/>
      </c>
      <c r="Q1573" s="4">
        <f>MAX(0,J1573-G1573)</f>
        <v/>
      </c>
      <c r="R1573" s="4">
        <f>IF(AND(N1573=1,O1573=1),"On Track",IF(O1573=0,"Customer Delivery Late","Ship Late"))</f>
        <v/>
      </c>
    </row>
    <row r="1574">
      <c r="A1574" s="2" t="inlineStr">
        <is>
          <t>ORD-01573</t>
        </is>
      </c>
      <c r="B1574" s="2" t="inlineStr">
        <is>
          <t>Customer 01</t>
        </is>
      </c>
      <c r="C1574" s="2" t="inlineStr">
        <is>
          <t>Switchgear</t>
        </is>
      </c>
      <c r="D1574" s="2" t="inlineStr">
        <is>
          <t>Plant A</t>
        </is>
      </c>
      <c r="E1574" s="2" t="inlineStr">
        <is>
          <t>North</t>
        </is>
      </c>
      <c r="F1574" s="12" t="n">
        <v>46170</v>
      </c>
      <c r="G1574" s="12" t="n">
        <v>46192</v>
      </c>
      <c r="H1574" s="12" t="n">
        <v>46187</v>
      </c>
      <c r="I1574" s="12" t="n">
        <v>46186</v>
      </c>
      <c r="J1574" s="12" t="n">
        <v>46191</v>
      </c>
      <c r="K1574" s="2" t="n">
        <v>1425</v>
      </c>
      <c r="L1574" s="2" t="inlineStr">
        <is>
          <t>Road</t>
        </is>
      </c>
      <c r="M1574" s="2" t="inlineStr">
        <is>
          <t>No Delay</t>
        </is>
      </c>
      <c r="N1574" s="4">
        <f>IF(I1574&lt;=H1574,1,0)</f>
        <v/>
      </c>
      <c r="O1574" s="4">
        <f>IF(J1574&lt;=G1574,1,0)</f>
        <v/>
      </c>
      <c r="P1574" s="4">
        <f>MAX(0,I1574-H1574)</f>
        <v/>
      </c>
      <c r="Q1574" s="4">
        <f>MAX(0,J1574-G1574)</f>
        <v/>
      </c>
      <c r="R1574" s="4">
        <f>IF(AND(N1574=1,O1574=1),"On Track",IF(O1574=0,"Customer Delivery Late","Ship Late"))</f>
        <v/>
      </c>
    </row>
    <row r="1575">
      <c r="A1575" s="2" t="inlineStr">
        <is>
          <t>ORD-01574</t>
        </is>
      </c>
      <c r="B1575" s="2" t="inlineStr">
        <is>
          <t>Customer 23</t>
        </is>
      </c>
      <c r="C1575" s="2" t="inlineStr">
        <is>
          <t>Power Supply</t>
        </is>
      </c>
      <c r="D1575" s="2" t="inlineStr">
        <is>
          <t>Plant B</t>
        </is>
      </c>
      <c r="E1575" s="2" t="inlineStr">
        <is>
          <t>South</t>
        </is>
      </c>
      <c r="F1575" s="12" t="n">
        <v>46052</v>
      </c>
      <c r="G1575" s="12" t="n">
        <v>46072</v>
      </c>
      <c r="H1575" s="12" t="n">
        <v>46071</v>
      </c>
      <c r="I1575" s="12" t="n">
        <v>46070</v>
      </c>
      <c r="J1575" s="12" t="n">
        <v>46071</v>
      </c>
      <c r="K1575" s="2" t="n">
        <v>977</v>
      </c>
      <c r="L1575" s="2" t="inlineStr">
        <is>
          <t>Sea</t>
        </is>
      </c>
      <c r="M1575" s="2" t="inlineStr">
        <is>
          <t>No Delay</t>
        </is>
      </c>
      <c r="N1575" s="4">
        <f>IF(I1575&lt;=H1575,1,0)</f>
        <v/>
      </c>
      <c r="O1575" s="4">
        <f>IF(J1575&lt;=G1575,1,0)</f>
        <v/>
      </c>
      <c r="P1575" s="4">
        <f>MAX(0,I1575-H1575)</f>
        <v/>
      </c>
      <c r="Q1575" s="4">
        <f>MAX(0,J1575-G1575)</f>
        <v/>
      </c>
      <c r="R1575" s="4">
        <f>IF(AND(N1575=1,O1575=1),"On Track",IF(O1575=0,"Customer Delivery Late","Ship Late"))</f>
        <v/>
      </c>
    </row>
    <row r="1576">
      <c r="A1576" s="2" t="inlineStr">
        <is>
          <t>ORD-01575</t>
        </is>
      </c>
      <c r="B1576" s="2" t="inlineStr">
        <is>
          <t>Customer 28</t>
        </is>
      </c>
      <c r="C1576" s="2" t="inlineStr">
        <is>
          <t>Sensor</t>
        </is>
      </c>
      <c r="D1576" s="2" t="inlineStr">
        <is>
          <t>Plant B</t>
        </is>
      </c>
      <c r="E1576" s="2" t="inlineStr">
        <is>
          <t>North</t>
        </is>
      </c>
      <c r="F1576" s="12" t="n">
        <v>46056</v>
      </c>
      <c r="G1576" s="12" t="n">
        <v>46065</v>
      </c>
      <c r="H1576" s="12" t="n">
        <v>46064</v>
      </c>
      <c r="I1576" s="12" t="n">
        <v>46062</v>
      </c>
      <c r="J1576" s="12" t="n">
        <v>46063</v>
      </c>
      <c r="K1576" s="2" t="n">
        <v>313</v>
      </c>
      <c r="L1576" s="2" t="inlineStr">
        <is>
          <t>Sea</t>
        </is>
      </c>
      <c r="M1576" s="2" t="inlineStr">
        <is>
          <t>No Delay</t>
        </is>
      </c>
      <c r="N1576" s="4">
        <f>IF(I1576&lt;=H1576,1,0)</f>
        <v/>
      </c>
      <c r="O1576" s="4">
        <f>IF(J1576&lt;=G1576,1,0)</f>
        <v/>
      </c>
      <c r="P1576" s="4">
        <f>MAX(0,I1576-H1576)</f>
        <v/>
      </c>
      <c r="Q1576" s="4">
        <f>MAX(0,J1576-G1576)</f>
        <v/>
      </c>
      <c r="R1576" s="4">
        <f>IF(AND(N1576=1,O1576=1),"On Track",IF(O1576=0,"Customer Delivery Late","Ship Late"))</f>
        <v/>
      </c>
    </row>
    <row r="1577">
      <c r="A1577" s="2" t="inlineStr">
        <is>
          <t>ORD-01576</t>
        </is>
      </c>
      <c r="B1577" s="2" t="inlineStr">
        <is>
          <t>Customer 25</t>
        </is>
      </c>
      <c r="C1577" s="2" t="inlineStr">
        <is>
          <t>Contactor</t>
        </is>
      </c>
      <c r="D1577" s="2" t="inlineStr">
        <is>
          <t>Plant A</t>
        </is>
      </c>
      <c r="E1577" s="2" t="inlineStr">
        <is>
          <t>Export</t>
        </is>
      </c>
      <c r="F1577" s="12" t="n">
        <v>46179</v>
      </c>
      <c r="G1577" s="12" t="n">
        <v>46191</v>
      </c>
      <c r="H1577" s="12" t="n">
        <v>46186</v>
      </c>
      <c r="I1577" s="12" t="n">
        <v>46184</v>
      </c>
      <c r="J1577" s="12" t="n">
        <v>46189</v>
      </c>
      <c r="K1577" s="2" t="n">
        <v>692</v>
      </c>
      <c r="L1577" s="2" t="inlineStr">
        <is>
          <t>Air</t>
        </is>
      </c>
      <c r="M1577" s="2" t="inlineStr">
        <is>
          <t>No Delay</t>
        </is>
      </c>
      <c r="N1577" s="4">
        <f>IF(I1577&lt;=H1577,1,0)</f>
        <v/>
      </c>
      <c r="O1577" s="4">
        <f>IF(J1577&lt;=G1577,1,0)</f>
        <v/>
      </c>
      <c r="P1577" s="4">
        <f>MAX(0,I1577-H1577)</f>
        <v/>
      </c>
      <c r="Q1577" s="4">
        <f>MAX(0,J1577-G1577)</f>
        <v/>
      </c>
      <c r="R1577" s="4">
        <f>IF(AND(N1577=1,O1577=1),"On Track",IF(O1577=0,"Customer Delivery Late","Ship Late"))</f>
        <v/>
      </c>
    </row>
    <row r="1578">
      <c r="A1578" s="2" t="inlineStr">
        <is>
          <t>ORD-01577</t>
        </is>
      </c>
      <c r="B1578" s="2" t="inlineStr">
        <is>
          <t>Customer 18</t>
        </is>
      </c>
      <c r="C1578" s="2" t="inlineStr">
        <is>
          <t>Power Supply</t>
        </is>
      </c>
      <c r="D1578" s="2" t="inlineStr">
        <is>
          <t>Plant A</t>
        </is>
      </c>
      <c r="E1578" s="2" t="inlineStr">
        <is>
          <t>Central</t>
        </is>
      </c>
      <c r="F1578" s="12" t="n">
        <v>46114</v>
      </c>
      <c r="G1578" s="12" t="n">
        <v>46135</v>
      </c>
      <c r="H1578" s="12" t="n">
        <v>46130</v>
      </c>
      <c r="I1578" s="12" t="n">
        <v>46129</v>
      </c>
      <c r="J1578" s="12" t="n">
        <v>46134</v>
      </c>
      <c r="K1578" s="2" t="n">
        <v>150</v>
      </c>
      <c r="L1578" s="2" t="inlineStr">
        <is>
          <t>Air</t>
        </is>
      </c>
      <c r="M1578" s="2" t="inlineStr">
        <is>
          <t>No Delay</t>
        </is>
      </c>
      <c r="N1578" s="4">
        <f>IF(I1578&lt;=H1578,1,0)</f>
        <v/>
      </c>
      <c r="O1578" s="4">
        <f>IF(J1578&lt;=G1578,1,0)</f>
        <v/>
      </c>
      <c r="P1578" s="4">
        <f>MAX(0,I1578-H1578)</f>
        <v/>
      </c>
      <c r="Q1578" s="4">
        <f>MAX(0,J1578-G1578)</f>
        <v/>
      </c>
      <c r="R1578" s="4">
        <f>IF(AND(N1578=1,O1578=1),"On Track",IF(O1578=0,"Customer Delivery Late","Ship Late"))</f>
        <v/>
      </c>
    </row>
    <row r="1579">
      <c r="A1579" s="2" t="inlineStr">
        <is>
          <t>ORD-01578</t>
        </is>
      </c>
      <c r="B1579" s="2" t="inlineStr">
        <is>
          <t>Customer 03</t>
        </is>
      </c>
      <c r="C1579" s="2" t="inlineStr">
        <is>
          <t>Contactor</t>
        </is>
      </c>
      <c r="D1579" s="2" t="inlineStr">
        <is>
          <t>Plant A</t>
        </is>
      </c>
      <c r="E1579" s="2" t="inlineStr">
        <is>
          <t>South</t>
        </is>
      </c>
      <c r="F1579" s="12" t="n">
        <v>46203</v>
      </c>
      <c r="G1579" s="12" t="n">
        <v>46219</v>
      </c>
      <c r="H1579" s="12" t="n">
        <v>46214</v>
      </c>
      <c r="I1579" s="12" t="n">
        <v>46213</v>
      </c>
      <c r="J1579" s="12" t="n">
        <v>46218</v>
      </c>
      <c r="K1579" s="2" t="n">
        <v>108</v>
      </c>
      <c r="L1579" s="2" t="inlineStr">
        <is>
          <t>Road</t>
        </is>
      </c>
      <c r="M1579" s="2" t="inlineStr">
        <is>
          <t>No Delay</t>
        </is>
      </c>
      <c r="N1579" s="4">
        <f>IF(I1579&lt;=H1579,1,0)</f>
        <v/>
      </c>
      <c r="O1579" s="4">
        <f>IF(J1579&lt;=G1579,1,0)</f>
        <v/>
      </c>
      <c r="P1579" s="4">
        <f>MAX(0,I1579-H1579)</f>
        <v/>
      </c>
      <c r="Q1579" s="4">
        <f>MAX(0,J1579-G1579)</f>
        <v/>
      </c>
      <c r="R1579" s="4">
        <f>IF(AND(N1579=1,O1579=1),"On Track",IF(O1579=0,"Customer Delivery Late","Ship Late"))</f>
        <v/>
      </c>
    </row>
    <row r="1580">
      <c r="A1580" s="2" t="inlineStr">
        <is>
          <t>ORD-01579</t>
        </is>
      </c>
      <c r="B1580" s="2" t="inlineStr">
        <is>
          <t>Customer 07</t>
        </is>
      </c>
      <c r="C1580" s="2" t="inlineStr">
        <is>
          <t>Sensor</t>
        </is>
      </c>
      <c r="D1580" s="2" t="inlineStr">
        <is>
          <t>Plant B</t>
        </is>
      </c>
      <c r="E1580" s="2" t="inlineStr">
        <is>
          <t>South</t>
        </is>
      </c>
      <c r="F1580" s="12" t="n">
        <v>46098</v>
      </c>
      <c r="G1580" s="12" t="n">
        <v>46108</v>
      </c>
      <c r="H1580" s="12" t="n">
        <v>46106</v>
      </c>
      <c r="I1580" s="12" t="n">
        <v>46104</v>
      </c>
      <c r="J1580" s="12" t="n">
        <v>46105</v>
      </c>
      <c r="K1580" s="2" t="n">
        <v>385</v>
      </c>
      <c r="L1580" s="2" t="inlineStr">
        <is>
          <t>Air</t>
        </is>
      </c>
      <c r="M1580" s="2" t="inlineStr">
        <is>
          <t>No Delay</t>
        </is>
      </c>
      <c r="N1580" s="4">
        <f>IF(I1580&lt;=H1580,1,0)</f>
        <v/>
      </c>
      <c r="O1580" s="4">
        <f>IF(J1580&lt;=G1580,1,0)</f>
        <v/>
      </c>
      <c r="P1580" s="4">
        <f>MAX(0,I1580-H1580)</f>
        <v/>
      </c>
      <c r="Q1580" s="4">
        <f>MAX(0,J1580-G1580)</f>
        <v/>
      </c>
      <c r="R1580" s="4">
        <f>IF(AND(N1580=1,O1580=1),"On Track",IF(O1580=0,"Customer Delivery Late","Ship Late"))</f>
        <v/>
      </c>
    </row>
    <row r="1581">
      <c r="A1581" s="2" t="inlineStr">
        <is>
          <t>ORD-01580</t>
        </is>
      </c>
      <c r="B1581" s="2" t="inlineStr">
        <is>
          <t>Customer 24</t>
        </is>
      </c>
      <c r="C1581" s="2" t="inlineStr">
        <is>
          <t>Power Supply</t>
        </is>
      </c>
      <c r="D1581" s="2" t="inlineStr">
        <is>
          <t>Plant C</t>
        </is>
      </c>
      <c r="E1581" s="2" t="inlineStr">
        <is>
          <t>North</t>
        </is>
      </c>
      <c r="F1581" s="12" t="n">
        <v>46127</v>
      </c>
      <c r="G1581" s="12" t="n">
        <v>46138</v>
      </c>
      <c r="H1581" s="12" t="n">
        <v>46137</v>
      </c>
      <c r="I1581" s="12" t="n">
        <v>46135</v>
      </c>
      <c r="J1581" s="12" t="n">
        <v>46137</v>
      </c>
      <c r="K1581" s="2" t="n">
        <v>76</v>
      </c>
      <c r="L1581" s="2" t="inlineStr">
        <is>
          <t>Sea</t>
        </is>
      </c>
      <c r="M1581" s="2" t="inlineStr">
        <is>
          <t>No Delay</t>
        </is>
      </c>
      <c r="N1581" s="4">
        <f>IF(I1581&lt;=H1581,1,0)</f>
        <v/>
      </c>
      <c r="O1581" s="4">
        <f>IF(J1581&lt;=G1581,1,0)</f>
        <v/>
      </c>
      <c r="P1581" s="4">
        <f>MAX(0,I1581-H1581)</f>
        <v/>
      </c>
      <c r="Q1581" s="4">
        <f>MAX(0,J1581-G1581)</f>
        <v/>
      </c>
      <c r="R1581" s="4">
        <f>IF(AND(N1581=1,O1581=1),"On Track",IF(O1581=0,"Customer Delivery Late","Ship Late"))</f>
        <v/>
      </c>
    </row>
    <row r="1582">
      <c r="A1582" s="2" t="inlineStr">
        <is>
          <t>ORD-01581</t>
        </is>
      </c>
      <c r="B1582" s="2" t="inlineStr">
        <is>
          <t>Customer 05</t>
        </is>
      </c>
      <c r="C1582" s="2" t="inlineStr">
        <is>
          <t>Contactor</t>
        </is>
      </c>
      <c r="D1582" s="2" t="inlineStr">
        <is>
          <t>Plant C</t>
        </is>
      </c>
      <c r="E1582" s="2" t="inlineStr">
        <is>
          <t>Export</t>
        </is>
      </c>
      <c r="F1582" s="12" t="n">
        <v>46189</v>
      </c>
      <c r="G1582" s="12" t="n">
        <v>46204</v>
      </c>
      <c r="H1582" s="12" t="n">
        <v>46202</v>
      </c>
      <c r="I1582" s="12" t="n">
        <v>46201</v>
      </c>
      <c r="J1582" s="12" t="n">
        <v>46204</v>
      </c>
      <c r="K1582" s="2" t="n">
        <v>907</v>
      </c>
      <c r="L1582" s="2" t="inlineStr">
        <is>
          <t>Air</t>
        </is>
      </c>
      <c r="M1582" s="2" t="inlineStr">
        <is>
          <t>No Delay</t>
        </is>
      </c>
      <c r="N1582" s="4">
        <f>IF(I1582&lt;=H1582,1,0)</f>
        <v/>
      </c>
      <c r="O1582" s="4">
        <f>IF(J1582&lt;=G1582,1,0)</f>
        <v/>
      </c>
      <c r="P1582" s="4">
        <f>MAX(0,I1582-H1582)</f>
        <v/>
      </c>
      <c r="Q1582" s="4">
        <f>MAX(0,J1582-G1582)</f>
        <v/>
      </c>
      <c r="R1582" s="4">
        <f>IF(AND(N1582=1,O1582=1),"On Track",IF(O1582=0,"Customer Delivery Late","Ship Late"))</f>
        <v/>
      </c>
    </row>
    <row r="1583">
      <c r="A1583" s="2" t="inlineStr">
        <is>
          <t>ORD-01582</t>
        </is>
      </c>
      <c r="B1583" s="2" t="inlineStr">
        <is>
          <t>Customer 02</t>
        </is>
      </c>
      <c r="C1583" s="2" t="inlineStr">
        <is>
          <t>Relay</t>
        </is>
      </c>
      <c r="D1583" s="2" t="inlineStr">
        <is>
          <t>Plant A</t>
        </is>
      </c>
      <c r="E1583" s="2" t="inlineStr">
        <is>
          <t>South</t>
        </is>
      </c>
      <c r="F1583" s="12" t="n">
        <v>46039</v>
      </c>
      <c r="G1583" s="12" t="n">
        <v>46058</v>
      </c>
      <c r="H1583" s="12" t="n">
        <v>46055</v>
      </c>
      <c r="I1583" s="12" t="n">
        <v>46053</v>
      </c>
      <c r="J1583" s="12" t="n">
        <v>46056</v>
      </c>
      <c r="K1583" s="2" t="n">
        <v>106</v>
      </c>
      <c r="L1583" s="2" t="inlineStr">
        <is>
          <t>Road</t>
        </is>
      </c>
      <c r="M1583" s="2" t="inlineStr">
        <is>
          <t>No Delay</t>
        </is>
      </c>
      <c r="N1583" s="4">
        <f>IF(I1583&lt;=H1583,1,0)</f>
        <v/>
      </c>
      <c r="O1583" s="4">
        <f>IF(J1583&lt;=G1583,1,0)</f>
        <v/>
      </c>
      <c r="P1583" s="4">
        <f>MAX(0,I1583-H1583)</f>
        <v/>
      </c>
      <c r="Q1583" s="4">
        <f>MAX(0,J1583-G1583)</f>
        <v/>
      </c>
      <c r="R1583" s="4">
        <f>IF(AND(N1583=1,O1583=1),"On Track",IF(O1583=0,"Customer Delivery Late","Ship Late"))</f>
        <v/>
      </c>
    </row>
    <row r="1584">
      <c r="A1584" s="2" t="inlineStr">
        <is>
          <t>ORD-01583</t>
        </is>
      </c>
      <c r="B1584" s="2" t="inlineStr">
        <is>
          <t>Customer 25</t>
        </is>
      </c>
      <c r="C1584" s="2" t="inlineStr">
        <is>
          <t>Drive</t>
        </is>
      </c>
      <c r="D1584" s="2" t="inlineStr">
        <is>
          <t>Plant C</t>
        </is>
      </c>
      <c r="E1584" s="2" t="inlineStr">
        <is>
          <t>Central</t>
        </is>
      </c>
      <c r="F1584" s="12" t="n">
        <v>46064</v>
      </c>
      <c r="G1584" s="12" t="n">
        <v>46086</v>
      </c>
      <c r="H1584" s="12" t="n">
        <v>46081</v>
      </c>
      <c r="I1584" s="12" t="n">
        <v>46080</v>
      </c>
      <c r="J1584" s="12" t="n">
        <v>46085</v>
      </c>
      <c r="K1584" s="2" t="n">
        <v>417</v>
      </c>
      <c r="L1584" s="2" t="inlineStr">
        <is>
          <t>Road</t>
        </is>
      </c>
      <c r="M1584" s="2" t="inlineStr">
        <is>
          <t>No Delay</t>
        </is>
      </c>
      <c r="N1584" s="4">
        <f>IF(I1584&lt;=H1584,1,0)</f>
        <v/>
      </c>
      <c r="O1584" s="4">
        <f>IF(J1584&lt;=G1584,1,0)</f>
        <v/>
      </c>
      <c r="P1584" s="4">
        <f>MAX(0,I1584-H1584)</f>
        <v/>
      </c>
      <c r="Q1584" s="4">
        <f>MAX(0,J1584-G1584)</f>
        <v/>
      </c>
      <c r="R1584" s="4">
        <f>IF(AND(N1584=1,O1584=1),"On Track",IF(O1584=0,"Customer Delivery Late","Ship Late"))</f>
        <v/>
      </c>
    </row>
    <row r="1585">
      <c r="A1585" s="2" t="inlineStr">
        <is>
          <t>ORD-01584</t>
        </is>
      </c>
      <c r="B1585" s="2" t="inlineStr">
        <is>
          <t>Customer 19</t>
        </is>
      </c>
      <c r="C1585" s="2" t="inlineStr">
        <is>
          <t>Contactor</t>
        </is>
      </c>
      <c r="D1585" s="2" t="inlineStr">
        <is>
          <t>Plant A</t>
        </is>
      </c>
      <c r="E1585" s="2" t="inlineStr">
        <is>
          <t>Central</t>
        </is>
      </c>
      <c r="F1585" s="12" t="n">
        <v>46057</v>
      </c>
      <c r="G1585" s="12" t="n">
        <v>46078</v>
      </c>
      <c r="H1585" s="12" t="n">
        <v>46076</v>
      </c>
      <c r="I1585" s="12" t="n">
        <v>46074</v>
      </c>
      <c r="J1585" s="12" t="n">
        <v>46081</v>
      </c>
      <c r="K1585" s="2" t="n">
        <v>30</v>
      </c>
      <c r="L1585" s="2" t="inlineStr">
        <is>
          <t>Road</t>
        </is>
      </c>
      <c r="M1585" s="2" t="inlineStr">
        <is>
          <t>Documentation Issue</t>
        </is>
      </c>
      <c r="N1585" s="4">
        <f>IF(I1585&lt;=H1585,1,0)</f>
        <v/>
      </c>
      <c r="O1585" s="4">
        <f>IF(J1585&lt;=G1585,1,0)</f>
        <v/>
      </c>
      <c r="P1585" s="4">
        <f>MAX(0,I1585-H1585)</f>
        <v/>
      </c>
      <c r="Q1585" s="4">
        <f>MAX(0,J1585-G1585)</f>
        <v/>
      </c>
      <c r="R1585" s="4">
        <f>IF(AND(N1585=1,O1585=1),"On Track",IF(O1585=0,"Customer Delivery Late","Ship Late"))</f>
        <v/>
      </c>
    </row>
    <row r="1586">
      <c r="A1586" s="2" t="inlineStr">
        <is>
          <t>ORD-01585</t>
        </is>
      </c>
      <c r="B1586" s="2" t="inlineStr">
        <is>
          <t>Customer 04</t>
        </is>
      </c>
      <c r="C1586" s="2" t="inlineStr">
        <is>
          <t>Power Supply</t>
        </is>
      </c>
      <c r="D1586" s="2" t="inlineStr">
        <is>
          <t>Plant B</t>
        </is>
      </c>
      <c r="E1586" s="2" t="inlineStr">
        <is>
          <t>South</t>
        </is>
      </c>
      <c r="F1586" s="12" t="n">
        <v>46028</v>
      </c>
      <c r="G1586" s="12" t="n">
        <v>46040</v>
      </c>
      <c r="H1586" s="12" t="n">
        <v>46038</v>
      </c>
      <c r="I1586" s="12" t="n">
        <v>46037</v>
      </c>
      <c r="J1586" s="12" t="n">
        <v>46038</v>
      </c>
      <c r="K1586" s="2" t="n">
        <v>31</v>
      </c>
      <c r="L1586" s="2" t="inlineStr">
        <is>
          <t>Air</t>
        </is>
      </c>
      <c r="M1586" s="2" t="inlineStr">
        <is>
          <t>No Delay</t>
        </is>
      </c>
      <c r="N1586" s="4">
        <f>IF(I1586&lt;=H1586,1,0)</f>
        <v/>
      </c>
      <c r="O1586" s="4">
        <f>IF(J1586&lt;=G1586,1,0)</f>
        <v/>
      </c>
      <c r="P1586" s="4">
        <f>MAX(0,I1586-H1586)</f>
        <v/>
      </c>
      <c r="Q1586" s="4">
        <f>MAX(0,J1586-G1586)</f>
        <v/>
      </c>
      <c r="R1586" s="4">
        <f>IF(AND(N1586=1,O1586=1),"On Track",IF(O1586=0,"Customer Delivery Late","Ship Late"))</f>
        <v/>
      </c>
    </row>
    <row r="1587">
      <c r="A1587" s="2" t="inlineStr">
        <is>
          <t>ORD-01586</t>
        </is>
      </c>
      <c r="B1587" s="2" t="inlineStr">
        <is>
          <t>Customer 02</t>
        </is>
      </c>
      <c r="C1587" s="2" t="inlineStr">
        <is>
          <t>Relay</t>
        </is>
      </c>
      <c r="D1587" s="2" t="inlineStr">
        <is>
          <t>Plant B</t>
        </is>
      </c>
      <c r="E1587" s="2" t="inlineStr">
        <is>
          <t>South</t>
        </is>
      </c>
      <c r="F1587" s="12" t="n">
        <v>46132</v>
      </c>
      <c r="G1587" s="12" t="n">
        <v>46141</v>
      </c>
      <c r="H1587" s="12" t="n">
        <v>46137</v>
      </c>
      <c r="I1587" s="12" t="n">
        <v>46136</v>
      </c>
      <c r="J1587" s="12" t="n">
        <v>46140</v>
      </c>
      <c r="K1587" s="2" t="n">
        <v>441</v>
      </c>
      <c r="L1587" s="2" t="inlineStr">
        <is>
          <t>Road</t>
        </is>
      </c>
      <c r="M1587" s="2" t="inlineStr">
        <is>
          <t>No Delay</t>
        </is>
      </c>
      <c r="N1587" s="4">
        <f>IF(I1587&lt;=H1587,1,0)</f>
        <v/>
      </c>
      <c r="O1587" s="4">
        <f>IF(J1587&lt;=G1587,1,0)</f>
        <v/>
      </c>
      <c r="P1587" s="4">
        <f>MAX(0,I1587-H1587)</f>
        <v/>
      </c>
      <c r="Q1587" s="4">
        <f>MAX(0,J1587-G1587)</f>
        <v/>
      </c>
      <c r="R1587" s="4">
        <f>IF(AND(N1587=1,O1587=1),"On Track",IF(O1587=0,"Customer Delivery Late","Ship Late"))</f>
        <v/>
      </c>
    </row>
    <row r="1588">
      <c r="A1588" s="2" t="inlineStr">
        <is>
          <t>ORD-01587</t>
        </is>
      </c>
      <c r="B1588" s="2" t="inlineStr">
        <is>
          <t>Customer 01</t>
        </is>
      </c>
      <c r="C1588" s="2" t="inlineStr">
        <is>
          <t>PLC</t>
        </is>
      </c>
      <c r="D1588" s="2" t="inlineStr">
        <is>
          <t>Plant B</t>
        </is>
      </c>
      <c r="E1588" s="2" t="inlineStr">
        <is>
          <t>Central</t>
        </is>
      </c>
      <c r="F1588" s="12" t="n">
        <v>46043</v>
      </c>
      <c r="G1588" s="12" t="n">
        <v>46053</v>
      </c>
      <c r="H1588" s="12" t="n">
        <v>46051</v>
      </c>
      <c r="I1588" s="12" t="n">
        <v>46051</v>
      </c>
      <c r="J1588" s="12" t="n">
        <v>46053</v>
      </c>
      <c r="K1588" s="2" t="n">
        <v>105</v>
      </c>
      <c r="L1588" s="2" t="inlineStr">
        <is>
          <t>Road</t>
        </is>
      </c>
      <c r="M1588" s="2" t="inlineStr">
        <is>
          <t>No Delay</t>
        </is>
      </c>
      <c r="N1588" s="4">
        <f>IF(I1588&lt;=H1588,1,0)</f>
        <v/>
      </c>
      <c r="O1588" s="4">
        <f>IF(J1588&lt;=G1588,1,0)</f>
        <v/>
      </c>
      <c r="P1588" s="4">
        <f>MAX(0,I1588-H1588)</f>
        <v/>
      </c>
      <c r="Q1588" s="4">
        <f>MAX(0,J1588-G1588)</f>
        <v/>
      </c>
      <c r="R1588" s="4">
        <f>IF(AND(N1588=1,O1588=1),"On Track",IF(O1588=0,"Customer Delivery Late","Ship Late"))</f>
        <v/>
      </c>
    </row>
    <row r="1589">
      <c r="A1589" s="2" t="inlineStr">
        <is>
          <t>ORD-01588</t>
        </is>
      </c>
      <c r="B1589" s="2" t="inlineStr">
        <is>
          <t>Customer 06</t>
        </is>
      </c>
      <c r="C1589" s="2" t="inlineStr">
        <is>
          <t>Relay</t>
        </is>
      </c>
      <c r="D1589" s="2" t="inlineStr">
        <is>
          <t>Plant C</t>
        </is>
      </c>
      <c r="E1589" s="2" t="inlineStr">
        <is>
          <t>Central</t>
        </is>
      </c>
      <c r="F1589" s="12" t="n">
        <v>46161</v>
      </c>
      <c r="G1589" s="12" t="n">
        <v>46175</v>
      </c>
      <c r="H1589" s="12" t="n">
        <v>46171</v>
      </c>
      <c r="I1589" s="12" t="n">
        <v>46171</v>
      </c>
      <c r="J1589" s="12" t="n">
        <v>46174</v>
      </c>
      <c r="K1589" s="2" t="n">
        <v>609</v>
      </c>
      <c r="L1589" s="2" t="inlineStr">
        <is>
          <t>Road</t>
        </is>
      </c>
      <c r="M1589" s="2" t="inlineStr">
        <is>
          <t>No Delay</t>
        </is>
      </c>
      <c r="N1589" s="4">
        <f>IF(I1589&lt;=H1589,1,0)</f>
        <v/>
      </c>
      <c r="O1589" s="4">
        <f>IF(J1589&lt;=G1589,1,0)</f>
        <v/>
      </c>
      <c r="P1589" s="4">
        <f>MAX(0,I1589-H1589)</f>
        <v/>
      </c>
      <c r="Q1589" s="4">
        <f>MAX(0,J1589-G1589)</f>
        <v/>
      </c>
      <c r="R1589" s="4">
        <f>IF(AND(N1589=1,O1589=1),"On Track",IF(O1589=0,"Customer Delivery Late","Ship Late"))</f>
        <v/>
      </c>
    </row>
    <row r="1590">
      <c r="A1590" s="2" t="inlineStr">
        <is>
          <t>ORD-01589</t>
        </is>
      </c>
      <c r="B1590" s="2" t="inlineStr">
        <is>
          <t>Customer 18</t>
        </is>
      </c>
      <c r="C1590" s="2" t="inlineStr">
        <is>
          <t>Switchgear</t>
        </is>
      </c>
      <c r="D1590" s="2" t="inlineStr">
        <is>
          <t>Plant C</t>
        </is>
      </c>
      <c r="E1590" s="2" t="inlineStr">
        <is>
          <t>North</t>
        </is>
      </c>
      <c r="F1590" s="12" t="n">
        <v>46118</v>
      </c>
      <c r="G1590" s="12" t="n">
        <v>46124</v>
      </c>
      <c r="H1590" s="12" t="n">
        <v>46120</v>
      </c>
      <c r="I1590" s="12" t="n">
        <v>46120</v>
      </c>
      <c r="J1590" s="12" t="n">
        <v>46124</v>
      </c>
      <c r="K1590" s="2" t="n">
        <v>985</v>
      </c>
      <c r="L1590" s="2" t="inlineStr">
        <is>
          <t>Sea</t>
        </is>
      </c>
      <c r="M1590" s="2" t="inlineStr">
        <is>
          <t>No Delay</t>
        </is>
      </c>
      <c r="N1590" s="4">
        <f>IF(I1590&lt;=H1590,1,0)</f>
        <v/>
      </c>
      <c r="O1590" s="4">
        <f>IF(J1590&lt;=G1590,1,0)</f>
        <v/>
      </c>
      <c r="P1590" s="4">
        <f>MAX(0,I1590-H1590)</f>
        <v/>
      </c>
      <c r="Q1590" s="4">
        <f>MAX(0,J1590-G1590)</f>
        <v/>
      </c>
      <c r="R1590" s="4">
        <f>IF(AND(N1590=1,O1590=1),"On Track",IF(O1590=0,"Customer Delivery Late","Ship Late"))</f>
        <v/>
      </c>
    </row>
    <row r="1591">
      <c r="A1591" s="2" t="inlineStr">
        <is>
          <t>ORD-01590</t>
        </is>
      </c>
      <c r="B1591" s="2" t="inlineStr">
        <is>
          <t>Customer 20</t>
        </is>
      </c>
      <c r="C1591" s="2" t="inlineStr">
        <is>
          <t>Relay</t>
        </is>
      </c>
      <c r="D1591" s="2" t="inlineStr">
        <is>
          <t>Plant B</t>
        </is>
      </c>
      <c r="E1591" s="2" t="inlineStr">
        <is>
          <t>North</t>
        </is>
      </c>
      <c r="F1591" s="12" t="n">
        <v>46185</v>
      </c>
      <c r="G1591" s="12" t="n">
        <v>46205</v>
      </c>
      <c r="H1591" s="12" t="n">
        <v>46202</v>
      </c>
      <c r="I1591" s="12" t="n">
        <v>46201</v>
      </c>
      <c r="J1591" s="12" t="n">
        <v>46205</v>
      </c>
      <c r="K1591" s="2" t="n">
        <v>801</v>
      </c>
      <c r="L1591" s="2" t="inlineStr">
        <is>
          <t>Air</t>
        </is>
      </c>
      <c r="M1591" s="2" t="inlineStr">
        <is>
          <t>No Delay</t>
        </is>
      </c>
      <c r="N1591" s="4">
        <f>IF(I1591&lt;=H1591,1,0)</f>
        <v/>
      </c>
      <c r="O1591" s="4">
        <f>IF(J1591&lt;=G1591,1,0)</f>
        <v/>
      </c>
      <c r="P1591" s="4">
        <f>MAX(0,I1591-H1591)</f>
        <v/>
      </c>
      <c r="Q1591" s="4">
        <f>MAX(0,J1591-G1591)</f>
        <v/>
      </c>
      <c r="R1591" s="4">
        <f>IF(AND(N1591=1,O1591=1),"On Track",IF(O1591=0,"Customer Delivery Late","Ship Late"))</f>
        <v/>
      </c>
    </row>
    <row r="1592">
      <c r="A1592" s="2" t="inlineStr">
        <is>
          <t>ORD-01591</t>
        </is>
      </c>
      <c r="B1592" s="2" t="inlineStr">
        <is>
          <t>Customer 11</t>
        </is>
      </c>
      <c r="C1592" s="2" t="inlineStr">
        <is>
          <t>Contactor</t>
        </is>
      </c>
      <c r="D1592" s="2" t="inlineStr">
        <is>
          <t>Plant A</t>
        </is>
      </c>
      <c r="E1592" s="2" t="inlineStr">
        <is>
          <t>Central</t>
        </is>
      </c>
      <c r="F1592" s="12" t="n">
        <v>46186</v>
      </c>
      <c r="G1592" s="12" t="n">
        <v>46208</v>
      </c>
      <c r="H1592" s="12" t="n">
        <v>46206</v>
      </c>
      <c r="I1592" s="12" t="n">
        <v>46205</v>
      </c>
      <c r="J1592" s="12" t="n">
        <v>46207</v>
      </c>
      <c r="K1592" s="2" t="n">
        <v>658</v>
      </c>
      <c r="L1592" s="2" t="inlineStr">
        <is>
          <t>Sea</t>
        </is>
      </c>
      <c r="M1592" s="2" t="inlineStr">
        <is>
          <t>No Delay</t>
        </is>
      </c>
      <c r="N1592" s="4">
        <f>IF(I1592&lt;=H1592,1,0)</f>
        <v/>
      </c>
      <c r="O1592" s="4">
        <f>IF(J1592&lt;=G1592,1,0)</f>
        <v/>
      </c>
      <c r="P1592" s="4">
        <f>MAX(0,I1592-H1592)</f>
        <v/>
      </c>
      <c r="Q1592" s="4">
        <f>MAX(0,J1592-G1592)</f>
        <v/>
      </c>
      <c r="R1592" s="4">
        <f>IF(AND(N1592=1,O1592=1),"On Track",IF(O1592=0,"Customer Delivery Late","Ship Late"))</f>
        <v/>
      </c>
    </row>
    <row r="1593">
      <c r="A1593" s="2" t="inlineStr">
        <is>
          <t>ORD-01592</t>
        </is>
      </c>
      <c r="B1593" s="2" t="inlineStr">
        <is>
          <t>Customer 24</t>
        </is>
      </c>
      <c r="C1593" s="2" t="inlineStr">
        <is>
          <t>Relay</t>
        </is>
      </c>
      <c r="D1593" s="2" t="inlineStr">
        <is>
          <t>Plant A</t>
        </is>
      </c>
      <c r="E1593" s="2" t="inlineStr">
        <is>
          <t>Export</t>
        </is>
      </c>
      <c r="F1593" s="12" t="n">
        <v>46033</v>
      </c>
      <c r="G1593" s="12" t="n">
        <v>46056</v>
      </c>
      <c r="H1593" s="12" t="n">
        <v>46053</v>
      </c>
      <c r="I1593" s="12" t="n">
        <v>46053</v>
      </c>
      <c r="J1593" s="12" t="n">
        <v>46056</v>
      </c>
      <c r="K1593" s="2" t="n">
        <v>520</v>
      </c>
      <c r="L1593" s="2" t="inlineStr">
        <is>
          <t>Sea</t>
        </is>
      </c>
      <c r="M1593" s="2" t="inlineStr">
        <is>
          <t>No Delay</t>
        </is>
      </c>
      <c r="N1593" s="4">
        <f>IF(I1593&lt;=H1593,1,0)</f>
        <v/>
      </c>
      <c r="O1593" s="4">
        <f>IF(J1593&lt;=G1593,1,0)</f>
        <v/>
      </c>
      <c r="P1593" s="4">
        <f>MAX(0,I1593-H1593)</f>
        <v/>
      </c>
      <c r="Q1593" s="4">
        <f>MAX(0,J1593-G1593)</f>
        <v/>
      </c>
      <c r="R1593" s="4">
        <f>IF(AND(N1593=1,O1593=1),"On Track",IF(O1593=0,"Customer Delivery Late","Ship Late"))</f>
        <v/>
      </c>
    </row>
    <row r="1594">
      <c r="A1594" s="2" t="inlineStr">
        <is>
          <t>ORD-01593</t>
        </is>
      </c>
      <c r="B1594" s="2" t="inlineStr">
        <is>
          <t>Customer 03</t>
        </is>
      </c>
      <c r="C1594" s="2" t="inlineStr">
        <is>
          <t>Breaker</t>
        </is>
      </c>
      <c r="D1594" s="2" t="inlineStr">
        <is>
          <t>Plant A</t>
        </is>
      </c>
      <c r="E1594" s="2" t="inlineStr">
        <is>
          <t>Export</t>
        </is>
      </c>
      <c r="F1594" s="12" t="n">
        <v>46071</v>
      </c>
      <c r="G1594" s="12" t="n">
        <v>46090</v>
      </c>
      <c r="H1594" s="12" t="n">
        <v>46085</v>
      </c>
      <c r="I1594" s="12" t="n">
        <v>46083</v>
      </c>
      <c r="J1594" s="12" t="n">
        <v>46087</v>
      </c>
      <c r="K1594" s="2" t="n">
        <v>1061</v>
      </c>
      <c r="L1594" s="2" t="inlineStr">
        <is>
          <t>Road</t>
        </is>
      </c>
      <c r="M1594" s="2" t="inlineStr">
        <is>
          <t>No Delay</t>
        </is>
      </c>
      <c r="N1594" s="4">
        <f>IF(I1594&lt;=H1594,1,0)</f>
        <v/>
      </c>
      <c r="O1594" s="4">
        <f>IF(J1594&lt;=G1594,1,0)</f>
        <v/>
      </c>
      <c r="P1594" s="4">
        <f>MAX(0,I1594-H1594)</f>
        <v/>
      </c>
      <c r="Q1594" s="4">
        <f>MAX(0,J1594-G1594)</f>
        <v/>
      </c>
      <c r="R1594" s="4">
        <f>IF(AND(N1594=1,O1594=1),"On Track",IF(O1594=0,"Customer Delivery Late","Ship Late"))</f>
        <v/>
      </c>
    </row>
    <row r="1595">
      <c r="A1595" s="2" t="inlineStr">
        <is>
          <t>ORD-01594</t>
        </is>
      </c>
      <c r="B1595" s="2" t="inlineStr">
        <is>
          <t>Customer 02</t>
        </is>
      </c>
      <c r="C1595" s="2" t="inlineStr">
        <is>
          <t>Switchgear</t>
        </is>
      </c>
      <c r="D1595" s="2" t="inlineStr">
        <is>
          <t>Plant B</t>
        </is>
      </c>
      <c r="E1595" s="2" t="inlineStr">
        <is>
          <t>North</t>
        </is>
      </c>
      <c r="F1595" s="12" t="n">
        <v>46083</v>
      </c>
      <c r="G1595" s="12" t="n">
        <v>46099</v>
      </c>
      <c r="H1595" s="12" t="n">
        <v>46094</v>
      </c>
      <c r="I1595" s="12" t="n">
        <v>46094</v>
      </c>
      <c r="J1595" s="12" t="n">
        <v>46098</v>
      </c>
      <c r="K1595" s="2" t="n">
        <v>1298</v>
      </c>
      <c r="L1595" s="2" t="inlineStr">
        <is>
          <t>Road</t>
        </is>
      </c>
      <c r="M1595" s="2" t="inlineStr">
        <is>
          <t>No Delay</t>
        </is>
      </c>
      <c r="N1595" s="4">
        <f>IF(I1595&lt;=H1595,1,0)</f>
        <v/>
      </c>
      <c r="O1595" s="4">
        <f>IF(J1595&lt;=G1595,1,0)</f>
        <v/>
      </c>
      <c r="P1595" s="4">
        <f>MAX(0,I1595-H1595)</f>
        <v/>
      </c>
      <c r="Q1595" s="4">
        <f>MAX(0,J1595-G1595)</f>
        <v/>
      </c>
      <c r="R1595" s="4">
        <f>IF(AND(N1595=1,O1595=1),"On Track",IF(O1595=0,"Customer Delivery Late","Ship Late"))</f>
        <v/>
      </c>
    </row>
    <row r="1596">
      <c r="A1596" s="2" t="inlineStr">
        <is>
          <t>ORD-01595</t>
        </is>
      </c>
      <c r="B1596" s="2" t="inlineStr">
        <is>
          <t>Customer 11</t>
        </is>
      </c>
      <c r="C1596" s="2" t="inlineStr">
        <is>
          <t>Contactor</t>
        </is>
      </c>
      <c r="D1596" s="2" t="inlineStr">
        <is>
          <t>Plant B</t>
        </is>
      </c>
      <c r="E1596" s="2" t="inlineStr">
        <is>
          <t>North</t>
        </is>
      </c>
      <c r="F1596" s="12" t="n">
        <v>46176</v>
      </c>
      <c r="G1596" s="12" t="n">
        <v>46185</v>
      </c>
      <c r="H1596" s="12" t="n">
        <v>46182</v>
      </c>
      <c r="I1596" s="12" t="n">
        <v>46182</v>
      </c>
      <c r="J1596" s="12" t="n">
        <v>46185</v>
      </c>
      <c r="K1596" s="2" t="n">
        <v>363</v>
      </c>
      <c r="L1596" s="2" t="inlineStr">
        <is>
          <t>Road</t>
        </is>
      </c>
      <c r="M1596" s="2" t="inlineStr">
        <is>
          <t>No Delay</t>
        </is>
      </c>
      <c r="N1596" s="4">
        <f>IF(I1596&lt;=H1596,1,0)</f>
        <v/>
      </c>
      <c r="O1596" s="4">
        <f>IF(J1596&lt;=G1596,1,0)</f>
        <v/>
      </c>
      <c r="P1596" s="4">
        <f>MAX(0,I1596-H1596)</f>
        <v/>
      </c>
      <c r="Q1596" s="4">
        <f>MAX(0,J1596-G1596)</f>
        <v/>
      </c>
      <c r="R1596" s="4">
        <f>IF(AND(N1596=1,O1596=1),"On Track",IF(O1596=0,"Customer Delivery Late","Ship Late"))</f>
        <v/>
      </c>
    </row>
    <row r="1597">
      <c r="A1597" s="2" t="inlineStr">
        <is>
          <t>ORD-01596</t>
        </is>
      </c>
      <c r="B1597" s="2" t="inlineStr">
        <is>
          <t>Customer 06</t>
        </is>
      </c>
      <c r="C1597" s="2" t="inlineStr">
        <is>
          <t>Breaker</t>
        </is>
      </c>
      <c r="D1597" s="2" t="inlineStr">
        <is>
          <t>Plant B</t>
        </is>
      </c>
      <c r="E1597" s="2" t="inlineStr">
        <is>
          <t>South</t>
        </is>
      </c>
      <c r="F1597" s="12" t="n">
        <v>46059</v>
      </c>
      <c r="G1597" s="12" t="n">
        <v>46079</v>
      </c>
      <c r="H1597" s="12" t="n">
        <v>46075</v>
      </c>
      <c r="I1597" s="12" t="n">
        <v>46073</v>
      </c>
      <c r="J1597" s="12" t="n">
        <v>46078</v>
      </c>
      <c r="K1597" s="2" t="n">
        <v>316</v>
      </c>
      <c r="L1597" s="2" t="inlineStr">
        <is>
          <t>Road</t>
        </is>
      </c>
      <c r="M1597" s="2" t="inlineStr">
        <is>
          <t>No Delay</t>
        </is>
      </c>
      <c r="N1597" s="4">
        <f>IF(I1597&lt;=H1597,1,0)</f>
        <v/>
      </c>
      <c r="O1597" s="4">
        <f>IF(J1597&lt;=G1597,1,0)</f>
        <v/>
      </c>
      <c r="P1597" s="4">
        <f>MAX(0,I1597-H1597)</f>
        <v/>
      </c>
      <c r="Q1597" s="4">
        <f>MAX(0,J1597-G1597)</f>
        <v/>
      </c>
      <c r="R1597" s="4">
        <f>IF(AND(N1597=1,O1597=1),"On Track",IF(O1597=0,"Customer Delivery Late","Ship Late"))</f>
        <v/>
      </c>
    </row>
    <row r="1598">
      <c r="A1598" s="2" t="inlineStr">
        <is>
          <t>ORD-01597</t>
        </is>
      </c>
      <c r="B1598" s="2" t="inlineStr">
        <is>
          <t>Customer 13</t>
        </is>
      </c>
      <c r="C1598" s="2" t="inlineStr">
        <is>
          <t>PLC</t>
        </is>
      </c>
      <c r="D1598" s="2" t="inlineStr">
        <is>
          <t>Plant A</t>
        </is>
      </c>
      <c r="E1598" s="2" t="inlineStr">
        <is>
          <t>North</t>
        </is>
      </c>
      <c r="F1598" s="12" t="n">
        <v>46051</v>
      </c>
      <c r="G1598" s="12" t="n">
        <v>46068</v>
      </c>
      <c r="H1598" s="12" t="n">
        <v>46066</v>
      </c>
      <c r="I1598" s="12" t="n">
        <v>46065</v>
      </c>
      <c r="J1598" s="12" t="n">
        <v>46068</v>
      </c>
      <c r="K1598" s="2" t="n">
        <v>1427</v>
      </c>
      <c r="L1598" s="2" t="inlineStr">
        <is>
          <t>Sea</t>
        </is>
      </c>
      <c r="M1598" s="2" t="inlineStr">
        <is>
          <t>No Delay</t>
        </is>
      </c>
      <c r="N1598" s="4">
        <f>IF(I1598&lt;=H1598,1,0)</f>
        <v/>
      </c>
      <c r="O1598" s="4">
        <f>IF(J1598&lt;=G1598,1,0)</f>
        <v/>
      </c>
      <c r="P1598" s="4">
        <f>MAX(0,I1598-H1598)</f>
        <v/>
      </c>
      <c r="Q1598" s="4">
        <f>MAX(0,J1598-G1598)</f>
        <v/>
      </c>
      <c r="R1598" s="4">
        <f>IF(AND(N1598=1,O1598=1),"On Track",IF(O1598=0,"Customer Delivery Late","Ship Late"))</f>
        <v/>
      </c>
    </row>
    <row r="1599">
      <c r="A1599" s="2" t="inlineStr">
        <is>
          <t>ORD-01598</t>
        </is>
      </c>
      <c r="B1599" s="2" t="inlineStr">
        <is>
          <t>Customer 17</t>
        </is>
      </c>
      <c r="C1599" s="2" t="inlineStr">
        <is>
          <t>Switchgear</t>
        </is>
      </c>
      <c r="D1599" s="2" t="inlineStr">
        <is>
          <t>Plant C</t>
        </is>
      </c>
      <c r="E1599" s="2" t="inlineStr">
        <is>
          <t>South</t>
        </is>
      </c>
      <c r="F1599" s="12" t="n">
        <v>46073</v>
      </c>
      <c r="G1599" s="12" t="n">
        <v>46084</v>
      </c>
      <c r="H1599" s="12" t="n">
        <v>46081</v>
      </c>
      <c r="I1599" s="12" t="n">
        <v>46080</v>
      </c>
      <c r="J1599" s="12" t="n">
        <v>46083</v>
      </c>
      <c r="K1599" s="2" t="n">
        <v>34</v>
      </c>
      <c r="L1599" s="2" t="inlineStr">
        <is>
          <t>Air</t>
        </is>
      </c>
      <c r="M1599" s="2" t="inlineStr">
        <is>
          <t>No Delay</t>
        </is>
      </c>
      <c r="N1599" s="4">
        <f>IF(I1599&lt;=H1599,1,0)</f>
        <v/>
      </c>
      <c r="O1599" s="4">
        <f>IF(J1599&lt;=G1599,1,0)</f>
        <v/>
      </c>
      <c r="P1599" s="4">
        <f>MAX(0,I1599-H1599)</f>
        <v/>
      </c>
      <c r="Q1599" s="4">
        <f>MAX(0,J1599-G1599)</f>
        <v/>
      </c>
      <c r="R1599" s="4">
        <f>IF(AND(N1599=1,O1599=1),"On Track",IF(O1599=0,"Customer Delivery Late","Ship Late"))</f>
        <v/>
      </c>
    </row>
    <row r="1600">
      <c r="A1600" s="2" t="inlineStr">
        <is>
          <t>ORD-01599</t>
        </is>
      </c>
      <c r="B1600" s="2" t="inlineStr">
        <is>
          <t>Customer 03</t>
        </is>
      </c>
      <c r="C1600" s="2" t="inlineStr">
        <is>
          <t>Drive</t>
        </is>
      </c>
      <c r="D1600" s="2" t="inlineStr">
        <is>
          <t>Plant A</t>
        </is>
      </c>
      <c r="E1600" s="2" t="inlineStr">
        <is>
          <t>Export</t>
        </is>
      </c>
      <c r="F1600" s="12" t="n">
        <v>46141</v>
      </c>
      <c r="G1600" s="12" t="n">
        <v>46146</v>
      </c>
      <c r="H1600" s="12" t="n">
        <v>46144</v>
      </c>
      <c r="I1600" s="12" t="n">
        <v>46143</v>
      </c>
      <c r="J1600" s="12" t="n">
        <v>46146</v>
      </c>
      <c r="K1600" s="2" t="n">
        <v>1027</v>
      </c>
      <c r="L1600" s="2" t="inlineStr">
        <is>
          <t>Air</t>
        </is>
      </c>
      <c r="M1600" s="2" t="inlineStr">
        <is>
          <t>No Delay</t>
        </is>
      </c>
      <c r="N1600" s="4">
        <f>IF(I1600&lt;=H1600,1,0)</f>
        <v/>
      </c>
      <c r="O1600" s="4">
        <f>IF(J1600&lt;=G1600,1,0)</f>
        <v/>
      </c>
      <c r="P1600" s="4">
        <f>MAX(0,I1600-H1600)</f>
        <v/>
      </c>
      <c r="Q1600" s="4">
        <f>MAX(0,J1600-G1600)</f>
        <v/>
      </c>
      <c r="R1600" s="4">
        <f>IF(AND(N1600=1,O1600=1),"On Track",IF(O1600=0,"Customer Delivery Late","Ship Late"))</f>
        <v/>
      </c>
    </row>
    <row r="1601">
      <c r="A1601" s="2" t="inlineStr">
        <is>
          <t>ORD-01600</t>
        </is>
      </c>
      <c r="B1601" s="2" t="inlineStr">
        <is>
          <t>Customer 20</t>
        </is>
      </c>
      <c r="C1601" s="2" t="inlineStr">
        <is>
          <t>Drive</t>
        </is>
      </c>
      <c r="D1601" s="2" t="inlineStr">
        <is>
          <t>Plant B</t>
        </is>
      </c>
      <c r="E1601" s="2" t="inlineStr">
        <is>
          <t>Central</t>
        </is>
      </c>
      <c r="F1601" s="12" t="n">
        <v>46182</v>
      </c>
      <c r="G1601" s="12" t="n">
        <v>46192</v>
      </c>
      <c r="H1601" s="12" t="n">
        <v>46188</v>
      </c>
      <c r="I1601" s="12" t="n">
        <v>46188</v>
      </c>
      <c r="J1601" s="12" t="n">
        <v>46192</v>
      </c>
      <c r="K1601" s="2" t="n">
        <v>558</v>
      </c>
      <c r="L1601" s="2" t="inlineStr">
        <is>
          <t>Road</t>
        </is>
      </c>
      <c r="M1601" s="2" t="inlineStr">
        <is>
          <t>No Delay</t>
        </is>
      </c>
      <c r="N1601" s="4">
        <f>IF(I1601&lt;=H1601,1,0)</f>
        <v/>
      </c>
      <c r="O1601" s="4">
        <f>IF(J1601&lt;=G1601,1,0)</f>
        <v/>
      </c>
      <c r="P1601" s="4">
        <f>MAX(0,I1601-H1601)</f>
        <v/>
      </c>
      <c r="Q1601" s="4">
        <f>MAX(0,J1601-G1601)</f>
        <v/>
      </c>
      <c r="R1601" s="4">
        <f>IF(AND(N1601=1,O1601=1),"On Track",IF(O1601=0,"Customer Delivery Late","Ship Late"))</f>
        <v/>
      </c>
    </row>
    <row r="1602">
      <c r="A1602" s="2" t="inlineStr">
        <is>
          <t>ORD-01601</t>
        </is>
      </c>
      <c r="B1602" s="2" t="inlineStr">
        <is>
          <t>Customer 01</t>
        </is>
      </c>
      <c r="C1602" s="2" t="inlineStr">
        <is>
          <t>Power Supply</t>
        </is>
      </c>
      <c r="D1602" s="2" t="inlineStr">
        <is>
          <t>Plant A</t>
        </is>
      </c>
      <c r="E1602" s="2" t="inlineStr">
        <is>
          <t>Export</t>
        </is>
      </c>
      <c r="F1602" s="12" t="n">
        <v>46138</v>
      </c>
      <c r="G1602" s="12" t="n">
        <v>46158</v>
      </c>
      <c r="H1602" s="12" t="n">
        <v>46154</v>
      </c>
      <c r="I1602" s="12" t="n">
        <v>46152</v>
      </c>
      <c r="J1602" s="12" t="n">
        <v>46156</v>
      </c>
      <c r="K1602" s="2" t="n">
        <v>725</v>
      </c>
      <c r="L1602" s="2" t="inlineStr">
        <is>
          <t>Sea</t>
        </is>
      </c>
      <c r="M1602" s="2" t="inlineStr">
        <is>
          <t>No Delay</t>
        </is>
      </c>
      <c r="N1602" s="4">
        <f>IF(I1602&lt;=H1602,1,0)</f>
        <v/>
      </c>
      <c r="O1602" s="4">
        <f>IF(J1602&lt;=G1602,1,0)</f>
        <v/>
      </c>
      <c r="P1602" s="4">
        <f>MAX(0,I1602-H1602)</f>
        <v/>
      </c>
      <c r="Q1602" s="4">
        <f>MAX(0,J1602-G1602)</f>
        <v/>
      </c>
      <c r="R1602" s="4">
        <f>IF(AND(N1602=1,O1602=1),"On Track",IF(O1602=0,"Customer Delivery Late","Ship Late"))</f>
        <v/>
      </c>
    </row>
    <row r="1603">
      <c r="A1603" s="2" t="inlineStr">
        <is>
          <t>ORD-01602</t>
        </is>
      </c>
      <c r="B1603" s="2" t="inlineStr">
        <is>
          <t>Customer 05</t>
        </is>
      </c>
      <c r="C1603" s="2" t="inlineStr">
        <is>
          <t>Sensor</t>
        </is>
      </c>
      <c r="D1603" s="2" t="inlineStr">
        <is>
          <t>Plant A</t>
        </is>
      </c>
      <c r="E1603" s="2" t="inlineStr">
        <is>
          <t>North</t>
        </is>
      </c>
      <c r="F1603" s="12" t="n">
        <v>46044</v>
      </c>
      <c r="G1603" s="12" t="n">
        <v>46053</v>
      </c>
      <c r="H1603" s="12" t="n">
        <v>46048</v>
      </c>
      <c r="I1603" s="12" t="n">
        <v>46048</v>
      </c>
      <c r="J1603" s="12" t="n">
        <v>46054</v>
      </c>
      <c r="K1603" s="2" t="n">
        <v>670</v>
      </c>
      <c r="L1603" s="2" t="inlineStr">
        <is>
          <t>Air</t>
        </is>
      </c>
      <c r="M1603" s="2" t="inlineStr">
        <is>
          <t>Production Delay</t>
        </is>
      </c>
      <c r="N1603" s="4">
        <f>IF(I1603&lt;=H1603,1,0)</f>
        <v/>
      </c>
      <c r="O1603" s="4">
        <f>IF(J1603&lt;=G1603,1,0)</f>
        <v/>
      </c>
      <c r="P1603" s="4">
        <f>MAX(0,I1603-H1603)</f>
        <v/>
      </c>
      <c r="Q1603" s="4">
        <f>MAX(0,J1603-G1603)</f>
        <v/>
      </c>
      <c r="R1603" s="4">
        <f>IF(AND(N1603=1,O1603=1),"On Track",IF(O1603=0,"Customer Delivery Late","Ship Late"))</f>
        <v/>
      </c>
    </row>
    <row r="1604">
      <c r="A1604" s="2" t="inlineStr">
        <is>
          <t>ORD-01603</t>
        </is>
      </c>
      <c r="B1604" s="2" t="inlineStr">
        <is>
          <t>Customer 15</t>
        </is>
      </c>
      <c r="C1604" s="2" t="inlineStr">
        <is>
          <t>Relay</t>
        </is>
      </c>
      <c r="D1604" s="2" t="inlineStr">
        <is>
          <t>Plant C</t>
        </is>
      </c>
      <c r="E1604" s="2" t="inlineStr">
        <is>
          <t>Export</t>
        </is>
      </c>
      <c r="F1604" s="12" t="n">
        <v>46078</v>
      </c>
      <c r="G1604" s="12" t="n">
        <v>46084</v>
      </c>
      <c r="H1604" s="12" t="n">
        <v>46082</v>
      </c>
      <c r="I1604" s="12" t="n">
        <v>46081</v>
      </c>
      <c r="J1604" s="12" t="n">
        <v>46083</v>
      </c>
      <c r="K1604" s="2" t="n">
        <v>362</v>
      </c>
      <c r="L1604" s="2" t="inlineStr">
        <is>
          <t>Sea</t>
        </is>
      </c>
      <c r="M1604" s="2" t="inlineStr">
        <is>
          <t>No Delay</t>
        </is>
      </c>
      <c r="N1604" s="4">
        <f>IF(I1604&lt;=H1604,1,0)</f>
        <v/>
      </c>
      <c r="O1604" s="4">
        <f>IF(J1604&lt;=G1604,1,0)</f>
        <v/>
      </c>
      <c r="P1604" s="4">
        <f>MAX(0,I1604-H1604)</f>
        <v/>
      </c>
      <c r="Q1604" s="4">
        <f>MAX(0,J1604-G1604)</f>
        <v/>
      </c>
      <c r="R1604" s="4">
        <f>IF(AND(N1604=1,O1604=1),"On Track",IF(O1604=0,"Customer Delivery Late","Ship Late"))</f>
        <v/>
      </c>
    </row>
    <row r="1605">
      <c r="A1605" s="2" t="inlineStr">
        <is>
          <t>ORD-01604</t>
        </is>
      </c>
      <c r="B1605" s="2" t="inlineStr">
        <is>
          <t>Customer 01</t>
        </is>
      </c>
      <c r="C1605" s="2" t="inlineStr">
        <is>
          <t>Drive</t>
        </is>
      </c>
      <c r="D1605" s="2" t="inlineStr">
        <is>
          <t>Plant A</t>
        </is>
      </c>
      <c r="E1605" s="2" t="inlineStr">
        <is>
          <t>Central</t>
        </is>
      </c>
      <c r="F1605" s="12" t="n">
        <v>46098</v>
      </c>
      <c r="G1605" s="12" t="n">
        <v>46108</v>
      </c>
      <c r="H1605" s="12" t="n">
        <v>46107</v>
      </c>
      <c r="I1605" s="12" t="n">
        <v>46105</v>
      </c>
      <c r="J1605" s="12" t="n">
        <v>46106</v>
      </c>
      <c r="K1605" s="2" t="n">
        <v>429</v>
      </c>
      <c r="L1605" s="2" t="inlineStr">
        <is>
          <t>Sea</t>
        </is>
      </c>
      <c r="M1605" s="2" t="inlineStr">
        <is>
          <t>No Delay</t>
        </is>
      </c>
      <c r="N1605" s="4">
        <f>IF(I1605&lt;=H1605,1,0)</f>
        <v/>
      </c>
      <c r="O1605" s="4">
        <f>IF(J1605&lt;=G1605,1,0)</f>
        <v/>
      </c>
      <c r="P1605" s="4">
        <f>MAX(0,I1605-H1605)</f>
        <v/>
      </c>
      <c r="Q1605" s="4">
        <f>MAX(0,J1605-G1605)</f>
        <v/>
      </c>
      <c r="R1605" s="4">
        <f>IF(AND(N1605=1,O1605=1),"On Track",IF(O1605=0,"Customer Delivery Late","Ship Late"))</f>
        <v/>
      </c>
    </row>
    <row r="1606">
      <c r="A1606" s="2" t="inlineStr">
        <is>
          <t>ORD-01605</t>
        </is>
      </c>
      <c r="B1606" s="2" t="inlineStr">
        <is>
          <t>Customer 28</t>
        </is>
      </c>
      <c r="C1606" s="2" t="inlineStr">
        <is>
          <t>PLC</t>
        </is>
      </c>
      <c r="D1606" s="2" t="inlineStr">
        <is>
          <t>Plant C</t>
        </is>
      </c>
      <c r="E1606" s="2" t="inlineStr">
        <is>
          <t>Central</t>
        </is>
      </c>
      <c r="F1606" s="12" t="n">
        <v>46050</v>
      </c>
      <c r="G1606" s="12" t="n">
        <v>46062</v>
      </c>
      <c r="H1606" s="12" t="n">
        <v>46057</v>
      </c>
      <c r="I1606" s="12" t="n">
        <v>46055</v>
      </c>
      <c r="J1606" s="12" t="n">
        <v>46060</v>
      </c>
      <c r="K1606" s="2" t="n">
        <v>141</v>
      </c>
      <c r="L1606" s="2" t="inlineStr">
        <is>
          <t>Sea</t>
        </is>
      </c>
      <c r="M1606" s="2" t="inlineStr">
        <is>
          <t>No Delay</t>
        </is>
      </c>
      <c r="N1606" s="4">
        <f>IF(I1606&lt;=H1606,1,0)</f>
        <v/>
      </c>
      <c r="O1606" s="4">
        <f>IF(J1606&lt;=G1606,1,0)</f>
        <v/>
      </c>
      <c r="P1606" s="4">
        <f>MAX(0,I1606-H1606)</f>
        <v/>
      </c>
      <c r="Q1606" s="4">
        <f>MAX(0,J1606-G1606)</f>
        <v/>
      </c>
      <c r="R1606" s="4">
        <f>IF(AND(N1606=1,O1606=1),"On Track",IF(O1606=0,"Customer Delivery Late","Ship Late"))</f>
        <v/>
      </c>
    </row>
    <row r="1607">
      <c r="A1607" s="2" t="inlineStr">
        <is>
          <t>ORD-01606</t>
        </is>
      </c>
      <c r="B1607" s="2" t="inlineStr">
        <is>
          <t>Customer 17</t>
        </is>
      </c>
      <c r="C1607" s="2" t="inlineStr">
        <is>
          <t>Contactor</t>
        </is>
      </c>
      <c r="D1607" s="2" t="inlineStr">
        <is>
          <t>Plant C</t>
        </is>
      </c>
      <c r="E1607" s="2" t="inlineStr">
        <is>
          <t>South</t>
        </is>
      </c>
      <c r="F1607" s="12" t="n">
        <v>46044</v>
      </c>
      <c r="G1607" s="12" t="n">
        <v>46054</v>
      </c>
      <c r="H1607" s="12" t="n">
        <v>46052</v>
      </c>
      <c r="I1607" s="12" t="n">
        <v>46050</v>
      </c>
      <c r="J1607" s="12" t="n">
        <v>46052</v>
      </c>
      <c r="K1607" s="2" t="n">
        <v>1112</v>
      </c>
      <c r="L1607" s="2" t="inlineStr">
        <is>
          <t>Road</t>
        </is>
      </c>
      <c r="M1607" s="2" t="inlineStr">
        <is>
          <t>No Delay</t>
        </is>
      </c>
      <c r="N1607" s="4">
        <f>IF(I1607&lt;=H1607,1,0)</f>
        <v/>
      </c>
      <c r="O1607" s="4">
        <f>IF(J1607&lt;=G1607,1,0)</f>
        <v/>
      </c>
      <c r="P1607" s="4">
        <f>MAX(0,I1607-H1607)</f>
        <v/>
      </c>
      <c r="Q1607" s="4">
        <f>MAX(0,J1607-G1607)</f>
        <v/>
      </c>
      <c r="R1607" s="4">
        <f>IF(AND(N1607=1,O1607=1),"On Track",IF(O1607=0,"Customer Delivery Late","Ship Late"))</f>
        <v/>
      </c>
    </row>
    <row r="1608">
      <c r="A1608" s="2" t="inlineStr">
        <is>
          <t>ORD-01607</t>
        </is>
      </c>
      <c r="B1608" s="2" t="inlineStr">
        <is>
          <t>Customer 19</t>
        </is>
      </c>
      <c r="C1608" s="2" t="inlineStr">
        <is>
          <t>Contactor</t>
        </is>
      </c>
      <c r="D1608" s="2" t="inlineStr">
        <is>
          <t>Plant C</t>
        </is>
      </c>
      <c r="E1608" s="2" t="inlineStr">
        <is>
          <t>South</t>
        </is>
      </c>
      <c r="F1608" s="12" t="n">
        <v>46134</v>
      </c>
      <c r="G1608" s="12" t="n">
        <v>46156</v>
      </c>
      <c r="H1608" s="12" t="n">
        <v>46152</v>
      </c>
      <c r="I1608" s="12" t="n">
        <v>46151</v>
      </c>
      <c r="J1608" s="12" t="n">
        <v>46154</v>
      </c>
      <c r="K1608" s="2" t="n">
        <v>546</v>
      </c>
      <c r="L1608" s="2" t="inlineStr">
        <is>
          <t>Sea</t>
        </is>
      </c>
      <c r="M1608" s="2" t="inlineStr">
        <is>
          <t>No Delay</t>
        </is>
      </c>
      <c r="N1608" s="4">
        <f>IF(I1608&lt;=H1608,1,0)</f>
        <v/>
      </c>
      <c r="O1608" s="4">
        <f>IF(J1608&lt;=G1608,1,0)</f>
        <v/>
      </c>
      <c r="P1608" s="4">
        <f>MAX(0,I1608-H1608)</f>
        <v/>
      </c>
      <c r="Q1608" s="4">
        <f>MAX(0,J1608-G1608)</f>
        <v/>
      </c>
      <c r="R1608" s="4">
        <f>IF(AND(N1608=1,O1608=1),"On Track",IF(O1608=0,"Customer Delivery Late","Ship Late"))</f>
        <v/>
      </c>
    </row>
    <row r="1609">
      <c r="A1609" s="2" t="inlineStr">
        <is>
          <t>ORD-01608</t>
        </is>
      </c>
      <c r="B1609" s="2" t="inlineStr">
        <is>
          <t>Customer 13</t>
        </is>
      </c>
      <c r="C1609" s="2" t="inlineStr">
        <is>
          <t>Relay</t>
        </is>
      </c>
      <c r="D1609" s="2" t="inlineStr">
        <is>
          <t>Plant C</t>
        </is>
      </c>
      <c r="E1609" s="2" t="inlineStr">
        <is>
          <t>Export</t>
        </is>
      </c>
      <c r="F1609" s="12" t="n">
        <v>46160</v>
      </c>
      <c r="G1609" s="12" t="n">
        <v>46166</v>
      </c>
      <c r="H1609" s="12" t="n">
        <v>46162</v>
      </c>
      <c r="I1609" s="12" t="n">
        <v>46161</v>
      </c>
      <c r="J1609" s="12" t="n">
        <v>46164</v>
      </c>
      <c r="K1609" s="2" t="n">
        <v>915</v>
      </c>
      <c r="L1609" s="2" t="inlineStr">
        <is>
          <t>Sea</t>
        </is>
      </c>
      <c r="M1609" s="2" t="inlineStr">
        <is>
          <t>No Delay</t>
        </is>
      </c>
      <c r="N1609" s="4">
        <f>IF(I1609&lt;=H1609,1,0)</f>
        <v/>
      </c>
      <c r="O1609" s="4">
        <f>IF(J1609&lt;=G1609,1,0)</f>
        <v/>
      </c>
      <c r="P1609" s="4">
        <f>MAX(0,I1609-H1609)</f>
        <v/>
      </c>
      <c r="Q1609" s="4">
        <f>MAX(0,J1609-G1609)</f>
        <v/>
      </c>
      <c r="R1609" s="4">
        <f>IF(AND(N1609=1,O1609=1),"On Track",IF(O1609=0,"Customer Delivery Late","Ship Late"))</f>
        <v/>
      </c>
    </row>
    <row r="1610">
      <c r="A1610" s="2" t="inlineStr">
        <is>
          <t>ORD-01609</t>
        </is>
      </c>
      <c r="B1610" s="2" t="inlineStr">
        <is>
          <t>Customer 10</t>
        </is>
      </c>
      <c r="C1610" s="2" t="inlineStr">
        <is>
          <t>Power Supply</t>
        </is>
      </c>
      <c r="D1610" s="2" t="inlineStr">
        <is>
          <t>Plant C</t>
        </is>
      </c>
      <c r="E1610" s="2" t="inlineStr">
        <is>
          <t>South</t>
        </is>
      </c>
      <c r="F1610" s="12" t="n">
        <v>46157</v>
      </c>
      <c r="G1610" s="12" t="n">
        <v>46177</v>
      </c>
      <c r="H1610" s="12" t="n">
        <v>46175</v>
      </c>
      <c r="I1610" s="12" t="n">
        <v>46175</v>
      </c>
      <c r="J1610" s="12" t="n">
        <v>46177</v>
      </c>
      <c r="K1610" s="2" t="n">
        <v>253</v>
      </c>
      <c r="L1610" s="2" t="inlineStr">
        <is>
          <t>Sea</t>
        </is>
      </c>
      <c r="M1610" s="2" t="inlineStr">
        <is>
          <t>No Delay</t>
        </is>
      </c>
      <c r="N1610" s="4">
        <f>IF(I1610&lt;=H1610,1,0)</f>
        <v/>
      </c>
      <c r="O1610" s="4">
        <f>IF(J1610&lt;=G1610,1,0)</f>
        <v/>
      </c>
      <c r="P1610" s="4">
        <f>MAX(0,I1610-H1610)</f>
        <v/>
      </c>
      <c r="Q1610" s="4">
        <f>MAX(0,J1610-G1610)</f>
        <v/>
      </c>
      <c r="R1610" s="4">
        <f>IF(AND(N1610=1,O1610=1),"On Track",IF(O1610=0,"Customer Delivery Late","Ship Late"))</f>
        <v/>
      </c>
    </row>
    <row r="1611">
      <c r="A1611" s="2" t="inlineStr">
        <is>
          <t>ORD-01610</t>
        </is>
      </c>
      <c r="B1611" s="2" t="inlineStr">
        <is>
          <t>Customer 30</t>
        </is>
      </c>
      <c r="C1611" s="2" t="inlineStr">
        <is>
          <t>Power Supply</t>
        </is>
      </c>
      <c r="D1611" s="2" t="inlineStr">
        <is>
          <t>Plant A</t>
        </is>
      </c>
      <c r="E1611" s="2" t="inlineStr">
        <is>
          <t>Central</t>
        </is>
      </c>
      <c r="F1611" s="12" t="n">
        <v>46134</v>
      </c>
      <c r="G1611" s="12" t="n">
        <v>46143</v>
      </c>
      <c r="H1611" s="12" t="n">
        <v>46141</v>
      </c>
      <c r="I1611" s="12" t="n">
        <v>46139</v>
      </c>
      <c r="J1611" s="12" t="n">
        <v>46142</v>
      </c>
      <c r="K1611" s="2" t="n">
        <v>163</v>
      </c>
      <c r="L1611" s="2" t="inlineStr">
        <is>
          <t>Road</t>
        </is>
      </c>
      <c r="M1611" s="2" t="inlineStr">
        <is>
          <t>No Delay</t>
        </is>
      </c>
      <c r="N1611" s="4">
        <f>IF(I1611&lt;=H1611,1,0)</f>
        <v/>
      </c>
      <c r="O1611" s="4">
        <f>IF(J1611&lt;=G1611,1,0)</f>
        <v/>
      </c>
      <c r="P1611" s="4">
        <f>MAX(0,I1611-H1611)</f>
        <v/>
      </c>
      <c r="Q1611" s="4">
        <f>MAX(0,J1611-G1611)</f>
        <v/>
      </c>
      <c r="R1611" s="4">
        <f>IF(AND(N1611=1,O1611=1),"On Track",IF(O1611=0,"Customer Delivery Late","Ship Late"))</f>
        <v/>
      </c>
    </row>
    <row r="1612">
      <c r="A1612" s="2" t="inlineStr">
        <is>
          <t>ORD-01611</t>
        </is>
      </c>
      <c r="B1612" s="2" t="inlineStr">
        <is>
          <t>Customer 18</t>
        </is>
      </c>
      <c r="C1612" s="2" t="inlineStr">
        <is>
          <t>PLC</t>
        </is>
      </c>
      <c r="D1612" s="2" t="inlineStr">
        <is>
          <t>Plant A</t>
        </is>
      </c>
      <c r="E1612" s="2" t="inlineStr">
        <is>
          <t>South</t>
        </is>
      </c>
      <c r="F1612" s="12" t="n">
        <v>46069</v>
      </c>
      <c r="G1612" s="12" t="n">
        <v>46074</v>
      </c>
      <c r="H1612" s="12" t="n">
        <v>46071</v>
      </c>
      <c r="I1612" s="12" t="n">
        <v>46069</v>
      </c>
      <c r="J1612" s="12" t="n">
        <v>46072</v>
      </c>
      <c r="K1612" s="2" t="n">
        <v>1004</v>
      </c>
      <c r="L1612" s="2" t="inlineStr">
        <is>
          <t>Sea</t>
        </is>
      </c>
      <c r="M1612" s="2" t="inlineStr">
        <is>
          <t>No Delay</t>
        </is>
      </c>
      <c r="N1612" s="4">
        <f>IF(I1612&lt;=H1612,1,0)</f>
        <v/>
      </c>
      <c r="O1612" s="4">
        <f>IF(J1612&lt;=G1612,1,0)</f>
        <v/>
      </c>
      <c r="P1612" s="4">
        <f>MAX(0,I1612-H1612)</f>
        <v/>
      </c>
      <c r="Q1612" s="4">
        <f>MAX(0,J1612-G1612)</f>
        <v/>
      </c>
      <c r="R1612" s="4">
        <f>IF(AND(N1612=1,O1612=1),"On Track",IF(O1612=0,"Customer Delivery Late","Ship Late"))</f>
        <v/>
      </c>
    </row>
    <row r="1613">
      <c r="A1613" s="2" t="inlineStr">
        <is>
          <t>ORD-01612</t>
        </is>
      </c>
      <c r="B1613" s="2" t="inlineStr">
        <is>
          <t>Customer 14</t>
        </is>
      </c>
      <c r="C1613" s="2" t="inlineStr">
        <is>
          <t>Sensor</t>
        </is>
      </c>
      <c r="D1613" s="2" t="inlineStr">
        <is>
          <t>Plant C</t>
        </is>
      </c>
      <c r="E1613" s="2" t="inlineStr">
        <is>
          <t>North</t>
        </is>
      </c>
      <c r="F1613" s="12" t="n">
        <v>46168</v>
      </c>
      <c r="G1613" s="12" t="n">
        <v>46176</v>
      </c>
      <c r="H1613" s="12" t="n">
        <v>46175</v>
      </c>
      <c r="I1613" s="12" t="n">
        <v>46175</v>
      </c>
      <c r="J1613" s="12" t="n">
        <v>46176</v>
      </c>
      <c r="K1613" s="2" t="n">
        <v>1344</v>
      </c>
      <c r="L1613" s="2" t="inlineStr">
        <is>
          <t>Road</t>
        </is>
      </c>
      <c r="M1613" s="2" t="inlineStr">
        <is>
          <t>No Delay</t>
        </is>
      </c>
      <c r="N1613" s="4">
        <f>IF(I1613&lt;=H1613,1,0)</f>
        <v/>
      </c>
      <c r="O1613" s="4">
        <f>IF(J1613&lt;=G1613,1,0)</f>
        <v/>
      </c>
      <c r="P1613" s="4">
        <f>MAX(0,I1613-H1613)</f>
        <v/>
      </c>
      <c r="Q1613" s="4">
        <f>MAX(0,J1613-G1613)</f>
        <v/>
      </c>
      <c r="R1613" s="4">
        <f>IF(AND(N1613=1,O1613=1),"On Track",IF(O1613=0,"Customer Delivery Late","Ship Late"))</f>
        <v/>
      </c>
    </row>
    <row r="1614">
      <c r="A1614" s="2" t="inlineStr">
        <is>
          <t>ORD-01613</t>
        </is>
      </c>
      <c r="B1614" s="2" t="inlineStr">
        <is>
          <t>Customer 14</t>
        </is>
      </c>
      <c r="C1614" s="2" t="inlineStr">
        <is>
          <t>Power Supply</t>
        </is>
      </c>
      <c r="D1614" s="2" t="inlineStr">
        <is>
          <t>Plant A</t>
        </is>
      </c>
      <c r="E1614" s="2" t="inlineStr">
        <is>
          <t>Central</t>
        </is>
      </c>
      <c r="F1614" s="12" t="n">
        <v>46154</v>
      </c>
      <c r="G1614" s="12" t="n">
        <v>46165</v>
      </c>
      <c r="H1614" s="12" t="n">
        <v>46164</v>
      </c>
      <c r="I1614" s="12" t="n">
        <v>46162</v>
      </c>
      <c r="J1614" s="12" t="n">
        <v>46163</v>
      </c>
      <c r="K1614" s="2" t="n">
        <v>1456</v>
      </c>
      <c r="L1614" s="2" t="inlineStr">
        <is>
          <t>Road</t>
        </is>
      </c>
      <c r="M1614" s="2" t="inlineStr">
        <is>
          <t>No Delay</t>
        </is>
      </c>
      <c r="N1614" s="4">
        <f>IF(I1614&lt;=H1614,1,0)</f>
        <v/>
      </c>
      <c r="O1614" s="4">
        <f>IF(J1614&lt;=G1614,1,0)</f>
        <v/>
      </c>
      <c r="P1614" s="4">
        <f>MAX(0,I1614-H1614)</f>
        <v/>
      </c>
      <c r="Q1614" s="4">
        <f>MAX(0,J1614-G1614)</f>
        <v/>
      </c>
      <c r="R1614" s="4">
        <f>IF(AND(N1614=1,O1614=1),"On Track",IF(O1614=0,"Customer Delivery Late","Ship Late"))</f>
        <v/>
      </c>
    </row>
    <row r="1615">
      <c r="A1615" s="2" t="inlineStr">
        <is>
          <t>ORD-01614</t>
        </is>
      </c>
      <c r="B1615" s="2" t="inlineStr">
        <is>
          <t>Customer 13</t>
        </is>
      </c>
      <c r="C1615" s="2" t="inlineStr">
        <is>
          <t>PLC</t>
        </is>
      </c>
      <c r="D1615" s="2" t="inlineStr">
        <is>
          <t>Plant A</t>
        </is>
      </c>
      <c r="E1615" s="2" t="inlineStr">
        <is>
          <t>North</t>
        </is>
      </c>
      <c r="F1615" s="12" t="n">
        <v>46038</v>
      </c>
      <c r="G1615" s="12" t="n">
        <v>46043</v>
      </c>
      <c r="H1615" s="12" t="n">
        <v>46040</v>
      </c>
      <c r="I1615" s="12" t="n">
        <v>46040</v>
      </c>
      <c r="J1615" s="12" t="n">
        <v>46044</v>
      </c>
      <c r="K1615" s="2" t="n">
        <v>668</v>
      </c>
      <c r="L1615" s="2" t="inlineStr">
        <is>
          <t>Sea</t>
        </is>
      </c>
      <c r="M1615" s="2" t="inlineStr">
        <is>
          <t>Capacity Constraint</t>
        </is>
      </c>
      <c r="N1615" s="4">
        <f>IF(I1615&lt;=H1615,1,0)</f>
        <v/>
      </c>
      <c r="O1615" s="4">
        <f>IF(J1615&lt;=G1615,1,0)</f>
        <v/>
      </c>
      <c r="P1615" s="4">
        <f>MAX(0,I1615-H1615)</f>
        <v/>
      </c>
      <c r="Q1615" s="4">
        <f>MAX(0,J1615-G1615)</f>
        <v/>
      </c>
      <c r="R1615" s="4">
        <f>IF(AND(N1615=1,O1615=1),"On Track",IF(O1615=0,"Customer Delivery Late","Ship Late"))</f>
        <v/>
      </c>
    </row>
    <row r="1616">
      <c r="A1616" s="2" t="inlineStr">
        <is>
          <t>ORD-01615</t>
        </is>
      </c>
      <c r="B1616" s="2" t="inlineStr">
        <is>
          <t>Customer 18</t>
        </is>
      </c>
      <c r="C1616" s="2" t="inlineStr">
        <is>
          <t>Relay</t>
        </is>
      </c>
      <c r="D1616" s="2" t="inlineStr">
        <is>
          <t>Plant B</t>
        </is>
      </c>
      <c r="E1616" s="2" t="inlineStr">
        <is>
          <t>Central</t>
        </is>
      </c>
      <c r="F1616" s="12" t="n">
        <v>46034</v>
      </c>
      <c r="G1616" s="12" t="n">
        <v>46049</v>
      </c>
      <c r="H1616" s="12" t="n">
        <v>46047</v>
      </c>
      <c r="I1616" s="12" t="n">
        <v>46047</v>
      </c>
      <c r="J1616" s="12" t="n">
        <v>46050</v>
      </c>
      <c r="K1616" s="2" t="n">
        <v>1361</v>
      </c>
      <c r="L1616" s="2" t="inlineStr">
        <is>
          <t>Sea</t>
        </is>
      </c>
      <c r="M1616" s="2" t="inlineStr">
        <is>
          <t>Carrier Delay</t>
        </is>
      </c>
      <c r="N1616" s="4">
        <f>IF(I1616&lt;=H1616,1,0)</f>
        <v/>
      </c>
      <c r="O1616" s="4">
        <f>IF(J1616&lt;=G1616,1,0)</f>
        <v/>
      </c>
      <c r="P1616" s="4">
        <f>MAX(0,I1616-H1616)</f>
        <v/>
      </c>
      <c r="Q1616" s="4">
        <f>MAX(0,J1616-G1616)</f>
        <v/>
      </c>
      <c r="R1616" s="4">
        <f>IF(AND(N1616=1,O1616=1),"On Track",IF(O1616=0,"Customer Delivery Late","Ship Late"))</f>
        <v/>
      </c>
    </row>
    <row r="1617">
      <c r="A1617" s="2" t="inlineStr">
        <is>
          <t>ORD-01616</t>
        </is>
      </c>
      <c r="B1617" s="2" t="inlineStr">
        <is>
          <t>Customer 25</t>
        </is>
      </c>
      <c r="C1617" s="2" t="inlineStr">
        <is>
          <t>Power Supply</t>
        </is>
      </c>
      <c r="D1617" s="2" t="inlineStr">
        <is>
          <t>Plant A</t>
        </is>
      </c>
      <c r="E1617" s="2" t="inlineStr">
        <is>
          <t>Central</t>
        </is>
      </c>
      <c r="F1617" s="12" t="n">
        <v>46179</v>
      </c>
      <c r="G1617" s="12" t="n">
        <v>46185</v>
      </c>
      <c r="H1617" s="12" t="n">
        <v>46184</v>
      </c>
      <c r="I1617" s="12" t="n">
        <v>46184</v>
      </c>
      <c r="J1617" s="12" t="n">
        <v>46185</v>
      </c>
      <c r="K1617" s="2" t="n">
        <v>373</v>
      </c>
      <c r="L1617" s="2" t="inlineStr">
        <is>
          <t>Sea</t>
        </is>
      </c>
      <c r="M1617" s="2" t="inlineStr">
        <is>
          <t>No Delay</t>
        </is>
      </c>
      <c r="N1617" s="4">
        <f>IF(I1617&lt;=H1617,1,0)</f>
        <v/>
      </c>
      <c r="O1617" s="4">
        <f>IF(J1617&lt;=G1617,1,0)</f>
        <v/>
      </c>
      <c r="P1617" s="4">
        <f>MAX(0,I1617-H1617)</f>
        <v/>
      </c>
      <c r="Q1617" s="4">
        <f>MAX(0,J1617-G1617)</f>
        <v/>
      </c>
      <c r="R1617" s="4">
        <f>IF(AND(N1617=1,O1617=1),"On Track",IF(O1617=0,"Customer Delivery Late","Ship Late"))</f>
        <v/>
      </c>
    </row>
    <row r="1618">
      <c r="A1618" s="2" t="inlineStr">
        <is>
          <t>ORD-01617</t>
        </is>
      </c>
      <c r="B1618" s="2" t="inlineStr">
        <is>
          <t>Customer 14</t>
        </is>
      </c>
      <c r="C1618" s="2" t="inlineStr">
        <is>
          <t>Contactor</t>
        </is>
      </c>
      <c r="D1618" s="2" t="inlineStr">
        <is>
          <t>Plant C</t>
        </is>
      </c>
      <c r="E1618" s="2" t="inlineStr">
        <is>
          <t>South</t>
        </is>
      </c>
      <c r="F1618" s="12" t="n">
        <v>46075</v>
      </c>
      <c r="G1618" s="12" t="n">
        <v>46096</v>
      </c>
      <c r="H1618" s="12" t="n">
        <v>46091</v>
      </c>
      <c r="I1618" s="12" t="n">
        <v>46091</v>
      </c>
      <c r="J1618" s="12" t="n">
        <v>46096</v>
      </c>
      <c r="K1618" s="2" t="n">
        <v>1310</v>
      </c>
      <c r="L1618" s="2" t="inlineStr">
        <is>
          <t>Road</t>
        </is>
      </c>
      <c r="M1618" s="2" t="inlineStr">
        <is>
          <t>No Delay</t>
        </is>
      </c>
      <c r="N1618" s="4">
        <f>IF(I1618&lt;=H1618,1,0)</f>
        <v/>
      </c>
      <c r="O1618" s="4">
        <f>IF(J1618&lt;=G1618,1,0)</f>
        <v/>
      </c>
      <c r="P1618" s="4">
        <f>MAX(0,I1618-H1618)</f>
        <v/>
      </c>
      <c r="Q1618" s="4">
        <f>MAX(0,J1618-G1618)</f>
        <v/>
      </c>
      <c r="R1618" s="4">
        <f>IF(AND(N1618=1,O1618=1),"On Track",IF(O1618=0,"Customer Delivery Late","Ship Late"))</f>
        <v/>
      </c>
    </row>
    <row r="1619">
      <c r="A1619" s="2" t="inlineStr">
        <is>
          <t>ORD-01618</t>
        </is>
      </c>
      <c r="B1619" s="2" t="inlineStr">
        <is>
          <t>Customer 10</t>
        </is>
      </c>
      <c r="C1619" s="2" t="inlineStr">
        <is>
          <t>Contactor</t>
        </is>
      </c>
      <c r="D1619" s="2" t="inlineStr">
        <is>
          <t>Plant A</t>
        </is>
      </c>
      <c r="E1619" s="2" t="inlineStr">
        <is>
          <t>North</t>
        </is>
      </c>
      <c r="F1619" s="12" t="n">
        <v>46184</v>
      </c>
      <c r="G1619" s="12" t="n">
        <v>46206</v>
      </c>
      <c r="H1619" s="12" t="n">
        <v>46202</v>
      </c>
      <c r="I1619" s="12" t="n">
        <v>46201</v>
      </c>
      <c r="J1619" s="12" t="n">
        <v>46205</v>
      </c>
      <c r="K1619" s="2" t="n">
        <v>398</v>
      </c>
      <c r="L1619" s="2" t="inlineStr">
        <is>
          <t>Road</t>
        </is>
      </c>
      <c r="M1619" s="2" t="inlineStr">
        <is>
          <t>No Delay</t>
        </is>
      </c>
      <c r="N1619" s="4">
        <f>IF(I1619&lt;=H1619,1,0)</f>
        <v/>
      </c>
      <c r="O1619" s="4">
        <f>IF(J1619&lt;=G1619,1,0)</f>
        <v/>
      </c>
      <c r="P1619" s="4">
        <f>MAX(0,I1619-H1619)</f>
        <v/>
      </c>
      <c r="Q1619" s="4">
        <f>MAX(0,J1619-G1619)</f>
        <v/>
      </c>
      <c r="R1619" s="4">
        <f>IF(AND(N1619=1,O1619=1),"On Track",IF(O1619=0,"Customer Delivery Late","Ship Late"))</f>
        <v/>
      </c>
    </row>
    <row r="1620">
      <c r="A1620" s="2" t="inlineStr">
        <is>
          <t>ORD-01619</t>
        </is>
      </c>
      <c r="B1620" s="2" t="inlineStr">
        <is>
          <t>Customer 28</t>
        </is>
      </c>
      <c r="C1620" s="2" t="inlineStr">
        <is>
          <t>PLC</t>
        </is>
      </c>
      <c r="D1620" s="2" t="inlineStr">
        <is>
          <t>Plant B</t>
        </is>
      </c>
      <c r="E1620" s="2" t="inlineStr">
        <is>
          <t>Central</t>
        </is>
      </c>
      <c r="F1620" s="12" t="n">
        <v>46192</v>
      </c>
      <c r="G1620" s="12" t="n">
        <v>46213</v>
      </c>
      <c r="H1620" s="12" t="n">
        <v>46211</v>
      </c>
      <c r="I1620" s="12" t="n">
        <v>46209</v>
      </c>
      <c r="J1620" s="12" t="n">
        <v>46210</v>
      </c>
      <c r="K1620" s="2" t="n">
        <v>954</v>
      </c>
      <c r="L1620" s="2" t="inlineStr">
        <is>
          <t>Sea</t>
        </is>
      </c>
      <c r="M1620" s="2" t="inlineStr">
        <is>
          <t>No Delay</t>
        </is>
      </c>
      <c r="N1620" s="4">
        <f>IF(I1620&lt;=H1620,1,0)</f>
        <v/>
      </c>
      <c r="O1620" s="4">
        <f>IF(J1620&lt;=G1620,1,0)</f>
        <v/>
      </c>
      <c r="P1620" s="4">
        <f>MAX(0,I1620-H1620)</f>
        <v/>
      </c>
      <c r="Q1620" s="4">
        <f>MAX(0,J1620-G1620)</f>
        <v/>
      </c>
      <c r="R1620" s="4">
        <f>IF(AND(N1620=1,O1620=1),"On Track",IF(O1620=0,"Customer Delivery Late","Ship Late"))</f>
        <v/>
      </c>
    </row>
    <row r="1621">
      <c r="A1621" s="2" t="inlineStr">
        <is>
          <t>ORD-01620</t>
        </is>
      </c>
      <c r="B1621" s="2" t="inlineStr">
        <is>
          <t>Customer 16</t>
        </is>
      </c>
      <c r="C1621" s="2" t="inlineStr">
        <is>
          <t>Switchgear</t>
        </is>
      </c>
      <c r="D1621" s="2" t="inlineStr">
        <is>
          <t>Plant B</t>
        </is>
      </c>
      <c r="E1621" s="2" t="inlineStr">
        <is>
          <t>North</t>
        </is>
      </c>
      <c r="F1621" s="12" t="n">
        <v>46176</v>
      </c>
      <c r="G1621" s="12" t="n">
        <v>46183</v>
      </c>
      <c r="H1621" s="12" t="n">
        <v>46178</v>
      </c>
      <c r="I1621" s="12" t="n">
        <v>46178</v>
      </c>
      <c r="J1621" s="12" t="n">
        <v>46183</v>
      </c>
      <c r="K1621" s="2" t="n">
        <v>1342</v>
      </c>
      <c r="L1621" s="2" t="inlineStr">
        <is>
          <t>Road</t>
        </is>
      </c>
      <c r="M1621" s="2" t="inlineStr">
        <is>
          <t>No Delay</t>
        </is>
      </c>
      <c r="N1621" s="4">
        <f>IF(I1621&lt;=H1621,1,0)</f>
        <v/>
      </c>
      <c r="O1621" s="4">
        <f>IF(J1621&lt;=G1621,1,0)</f>
        <v/>
      </c>
      <c r="P1621" s="4">
        <f>MAX(0,I1621-H1621)</f>
        <v/>
      </c>
      <c r="Q1621" s="4">
        <f>MAX(0,J1621-G1621)</f>
        <v/>
      </c>
      <c r="R1621" s="4">
        <f>IF(AND(N1621=1,O1621=1),"On Track",IF(O1621=0,"Customer Delivery Late","Ship Late"))</f>
        <v/>
      </c>
    </row>
    <row r="1622">
      <c r="A1622" s="2" t="inlineStr">
        <is>
          <t>ORD-01621</t>
        </is>
      </c>
      <c r="B1622" s="2" t="inlineStr">
        <is>
          <t>Customer 28</t>
        </is>
      </c>
      <c r="C1622" s="2" t="inlineStr">
        <is>
          <t>Sensor</t>
        </is>
      </c>
      <c r="D1622" s="2" t="inlineStr">
        <is>
          <t>Plant A</t>
        </is>
      </c>
      <c r="E1622" s="2" t="inlineStr">
        <is>
          <t>North</t>
        </is>
      </c>
      <c r="F1622" s="12" t="n">
        <v>46131</v>
      </c>
      <c r="G1622" s="12" t="n">
        <v>46156</v>
      </c>
      <c r="H1622" s="12" t="n">
        <v>46153</v>
      </c>
      <c r="I1622" s="12" t="n">
        <v>46151</v>
      </c>
      <c r="J1622" s="12" t="n">
        <v>46155</v>
      </c>
      <c r="K1622" s="2" t="n">
        <v>1282</v>
      </c>
      <c r="L1622" s="2" t="inlineStr">
        <is>
          <t>Road</t>
        </is>
      </c>
      <c r="M1622" s="2" t="inlineStr">
        <is>
          <t>No Delay</t>
        </is>
      </c>
      <c r="N1622" s="4">
        <f>IF(I1622&lt;=H1622,1,0)</f>
        <v/>
      </c>
      <c r="O1622" s="4">
        <f>IF(J1622&lt;=G1622,1,0)</f>
        <v/>
      </c>
      <c r="P1622" s="4">
        <f>MAX(0,I1622-H1622)</f>
        <v/>
      </c>
      <c r="Q1622" s="4">
        <f>MAX(0,J1622-G1622)</f>
        <v/>
      </c>
      <c r="R1622" s="4">
        <f>IF(AND(N1622=1,O1622=1),"On Track",IF(O1622=0,"Customer Delivery Late","Ship Late"))</f>
        <v/>
      </c>
    </row>
    <row r="1623">
      <c r="A1623" s="2" t="inlineStr">
        <is>
          <t>ORD-01622</t>
        </is>
      </c>
      <c r="B1623" s="2" t="inlineStr">
        <is>
          <t>Customer 12</t>
        </is>
      </c>
      <c r="C1623" s="2" t="inlineStr">
        <is>
          <t>Power Supply</t>
        </is>
      </c>
      <c r="D1623" s="2" t="inlineStr">
        <is>
          <t>Plant C</t>
        </is>
      </c>
      <c r="E1623" s="2" t="inlineStr">
        <is>
          <t>Central</t>
        </is>
      </c>
      <c r="F1623" s="12" t="n">
        <v>46142</v>
      </c>
      <c r="G1623" s="12" t="n">
        <v>46166</v>
      </c>
      <c r="H1623" s="12" t="n">
        <v>46162</v>
      </c>
      <c r="I1623" s="12" t="n">
        <v>46160</v>
      </c>
      <c r="J1623" s="12" t="n">
        <v>46165</v>
      </c>
      <c r="K1623" s="2" t="n">
        <v>1118</v>
      </c>
      <c r="L1623" s="2" t="inlineStr">
        <is>
          <t>Sea</t>
        </is>
      </c>
      <c r="M1623" s="2" t="inlineStr">
        <is>
          <t>No Delay</t>
        </is>
      </c>
      <c r="N1623" s="4">
        <f>IF(I1623&lt;=H1623,1,0)</f>
        <v/>
      </c>
      <c r="O1623" s="4">
        <f>IF(J1623&lt;=G1623,1,0)</f>
        <v/>
      </c>
      <c r="P1623" s="4">
        <f>MAX(0,I1623-H1623)</f>
        <v/>
      </c>
      <c r="Q1623" s="4">
        <f>MAX(0,J1623-G1623)</f>
        <v/>
      </c>
      <c r="R1623" s="4">
        <f>IF(AND(N1623=1,O1623=1),"On Track",IF(O1623=0,"Customer Delivery Late","Ship Late"))</f>
        <v/>
      </c>
    </row>
    <row r="1624">
      <c r="A1624" s="2" t="inlineStr">
        <is>
          <t>ORD-01623</t>
        </is>
      </c>
      <c r="B1624" s="2" t="inlineStr">
        <is>
          <t>Customer 13</t>
        </is>
      </c>
      <c r="C1624" s="2" t="inlineStr">
        <is>
          <t>Drive</t>
        </is>
      </c>
      <c r="D1624" s="2" t="inlineStr">
        <is>
          <t>Plant C</t>
        </is>
      </c>
      <c r="E1624" s="2" t="inlineStr">
        <is>
          <t>Export</t>
        </is>
      </c>
      <c r="F1624" s="12" t="n">
        <v>46099</v>
      </c>
      <c r="G1624" s="12" t="n">
        <v>46115</v>
      </c>
      <c r="H1624" s="12" t="n">
        <v>46111</v>
      </c>
      <c r="I1624" s="12" t="n">
        <v>46111</v>
      </c>
      <c r="J1624" s="12" t="n">
        <v>46115</v>
      </c>
      <c r="K1624" s="2" t="n">
        <v>1103</v>
      </c>
      <c r="L1624" s="2" t="inlineStr">
        <is>
          <t>Air</t>
        </is>
      </c>
      <c r="M1624" s="2" t="inlineStr">
        <is>
          <t>No Delay</t>
        </is>
      </c>
      <c r="N1624" s="4">
        <f>IF(I1624&lt;=H1624,1,0)</f>
        <v/>
      </c>
      <c r="O1624" s="4">
        <f>IF(J1624&lt;=G1624,1,0)</f>
        <v/>
      </c>
      <c r="P1624" s="4">
        <f>MAX(0,I1624-H1624)</f>
        <v/>
      </c>
      <c r="Q1624" s="4">
        <f>MAX(0,J1624-G1624)</f>
        <v/>
      </c>
      <c r="R1624" s="4">
        <f>IF(AND(N1624=1,O1624=1),"On Track",IF(O1624=0,"Customer Delivery Late","Ship Late"))</f>
        <v/>
      </c>
    </row>
    <row r="1625">
      <c r="A1625" s="2" t="inlineStr">
        <is>
          <t>ORD-01624</t>
        </is>
      </c>
      <c r="B1625" s="2" t="inlineStr">
        <is>
          <t>Customer 10</t>
        </is>
      </c>
      <c r="C1625" s="2" t="inlineStr">
        <is>
          <t>Relay</t>
        </is>
      </c>
      <c r="D1625" s="2" t="inlineStr">
        <is>
          <t>Plant B</t>
        </is>
      </c>
      <c r="E1625" s="2" t="inlineStr">
        <is>
          <t>South</t>
        </is>
      </c>
      <c r="F1625" s="12" t="n">
        <v>46066</v>
      </c>
      <c r="G1625" s="12" t="n">
        <v>46090</v>
      </c>
      <c r="H1625" s="12" t="n">
        <v>46087</v>
      </c>
      <c r="I1625" s="12" t="n">
        <v>46085</v>
      </c>
      <c r="J1625" s="12" t="n">
        <v>46088</v>
      </c>
      <c r="K1625" s="2" t="n">
        <v>467</v>
      </c>
      <c r="L1625" s="2" t="inlineStr">
        <is>
          <t>Sea</t>
        </is>
      </c>
      <c r="M1625" s="2" t="inlineStr">
        <is>
          <t>No Delay</t>
        </is>
      </c>
      <c r="N1625" s="4">
        <f>IF(I1625&lt;=H1625,1,0)</f>
        <v/>
      </c>
      <c r="O1625" s="4">
        <f>IF(J1625&lt;=G1625,1,0)</f>
        <v/>
      </c>
      <c r="P1625" s="4">
        <f>MAX(0,I1625-H1625)</f>
        <v/>
      </c>
      <c r="Q1625" s="4">
        <f>MAX(0,J1625-G1625)</f>
        <v/>
      </c>
      <c r="R1625" s="4">
        <f>IF(AND(N1625=1,O1625=1),"On Track",IF(O1625=0,"Customer Delivery Late","Ship Late"))</f>
        <v/>
      </c>
    </row>
    <row r="1626">
      <c r="A1626" s="2" t="inlineStr">
        <is>
          <t>ORD-01625</t>
        </is>
      </c>
      <c r="B1626" s="2" t="inlineStr">
        <is>
          <t>Customer 20</t>
        </is>
      </c>
      <c r="C1626" s="2" t="inlineStr">
        <is>
          <t>Breaker</t>
        </is>
      </c>
      <c r="D1626" s="2" t="inlineStr">
        <is>
          <t>Plant B</t>
        </is>
      </c>
      <c r="E1626" s="2" t="inlineStr">
        <is>
          <t>South</t>
        </is>
      </c>
      <c r="F1626" s="12" t="n">
        <v>46092</v>
      </c>
      <c r="G1626" s="12" t="n">
        <v>46110</v>
      </c>
      <c r="H1626" s="12" t="n">
        <v>46109</v>
      </c>
      <c r="I1626" s="12" t="n">
        <v>46109</v>
      </c>
      <c r="J1626" s="12" t="n">
        <v>46110</v>
      </c>
      <c r="K1626" s="2" t="n">
        <v>1294</v>
      </c>
      <c r="L1626" s="2" t="inlineStr">
        <is>
          <t>Air</t>
        </is>
      </c>
      <c r="M1626" s="2" t="inlineStr">
        <is>
          <t>No Delay</t>
        </is>
      </c>
      <c r="N1626" s="4">
        <f>IF(I1626&lt;=H1626,1,0)</f>
        <v/>
      </c>
      <c r="O1626" s="4">
        <f>IF(J1626&lt;=G1626,1,0)</f>
        <v/>
      </c>
      <c r="P1626" s="4">
        <f>MAX(0,I1626-H1626)</f>
        <v/>
      </c>
      <c r="Q1626" s="4">
        <f>MAX(0,J1626-G1626)</f>
        <v/>
      </c>
      <c r="R1626" s="4">
        <f>IF(AND(N1626=1,O1626=1),"On Track",IF(O1626=0,"Customer Delivery Late","Ship Late"))</f>
        <v/>
      </c>
    </row>
    <row r="1627">
      <c r="A1627" s="2" t="inlineStr">
        <is>
          <t>ORD-01626</t>
        </is>
      </c>
      <c r="B1627" s="2" t="inlineStr">
        <is>
          <t>Customer 13</t>
        </is>
      </c>
      <c r="C1627" s="2" t="inlineStr">
        <is>
          <t>Switchgear</t>
        </is>
      </c>
      <c r="D1627" s="2" t="inlineStr">
        <is>
          <t>Plant A</t>
        </is>
      </c>
      <c r="E1627" s="2" t="inlineStr">
        <is>
          <t>North</t>
        </is>
      </c>
      <c r="F1627" s="12" t="n">
        <v>46059</v>
      </c>
      <c r="G1627" s="12" t="n">
        <v>46083</v>
      </c>
      <c r="H1627" s="12" t="n">
        <v>46079</v>
      </c>
      <c r="I1627" s="12" t="n">
        <v>46078</v>
      </c>
      <c r="J1627" s="12" t="n">
        <v>46082</v>
      </c>
      <c r="K1627" s="2" t="n">
        <v>1143</v>
      </c>
      <c r="L1627" s="2" t="inlineStr">
        <is>
          <t>Sea</t>
        </is>
      </c>
      <c r="M1627" s="2" t="inlineStr">
        <is>
          <t>No Delay</t>
        </is>
      </c>
      <c r="N1627" s="4">
        <f>IF(I1627&lt;=H1627,1,0)</f>
        <v/>
      </c>
      <c r="O1627" s="4">
        <f>IF(J1627&lt;=G1627,1,0)</f>
        <v/>
      </c>
      <c r="P1627" s="4">
        <f>MAX(0,I1627-H1627)</f>
        <v/>
      </c>
      <c r="Q1627" s="4">
        <f>MAX(0,J1627-G1627)</f>
        <v/>
      </c>
      <c r="R1627" s="4">
        <f>IF(AND(N1627=1,O1627=1),"On Track",IF(O1627=0,"Customer Delivery Late","Ship Late"))</f>
        <v/>
      </c>
    </row>
    <row r="1628">
      <c r="A1628" s="2" t="inlineStr">
        <is>
          <t>ORD-01627</t>
        </is>
      </c>
      <c r="B1628" s="2" t="inlineStr">
        <is>
          <t>Customer 17</t>
        </is>
      </c>
      <c r="C1628" s="2" t="inlineStr">
        <is>
          <t>PLC</t>
        </is>
      </c>
      <c r="D1628" s="2" t="inlineStr">
        <is>
          <t>Plant C</t>
        </is>
      </c>
      <c r="E1628" s="2" t="inlineStr">
        <is>
          <t>South</t>
        </is>
      </c>
      <c r="F1628" s="12" t="n">
        <v>46140</v>
      </c>
      <c r="G1628" s="12" t="n">
        <v>46154</v>
      </c>
      <c r="H1628" s="12" t="n">
        <v>46150</v>
      </c>
      <c r="I1628" s="12" t="n">
        <v>46149</v>
      </c>
      <c r="J1628" s="12" t="n">
        <v>46153</v>
      </c>
      <c r="K1628" s="2" t="n">
        <v>240</v>
      </c>
      <c r="L1628" s="2" t="inlineStr">
        <is>
          <t>Air</t>
        </is>
      </c>
      <c r="M1628" s="2" t="inlineStr">
        <is>
          <t>No Delay</t>
        </is>
      </c>
      <c r="N1628" s="4">
        <f>IF(I1628&lt;=H1628,1,0)</f>
        <v/>
      </c>
      <c r="O1628" s="4">
        <f>IF(J1628&lt;=G1628,1,0)</f>
        <v/>
      </c>
      <c r="P1628" s="4">
        <f>MAX(0,I1628-H1628)</f>
        <v/>
      </c>
      <c r="Q1628" s="4">
        <f>MAX(0,J1628-G1628)</f>
        <v/>
      </c>
      <c r="R1628" s="4">
        <f>IF(AND(N1628=1,O1628=1),"On Track",IF(O1628=0,"Customer Delivery Late","Ship Late"))</f>
        <v/>
      </c>
    </row>
    <row r="1629">
      <c r="A1629" s="2" t="inlineStr">
        <is>
          <t>ORD-01628</t>
        </is>
      </c>
      <c r="B1629" s="2" t="inlineStr">
        <is>
          <t>Customer 19</t>
        </is>
      </c>
      <c r="C1629" s="2" t="inlineStr">
        <is>
          <t>Contactor</t>
        </is>
      </c>
      <c r="D1629" s="2" t="inlineStr">
        <is>
          <t>Plant B</t>
        </is>
      </c>
      <c r="E1629" s="2" t="inlineStr">
        <is>
          <t>South</t>
        </is>
      </c>
      <c r="F1629" s="12" t="n">
        <v>46141</v>
      </c>
      <c r="G1629" s="12" t="n">
        <v>46153</v>
      </c>
      <c r="H1629" s="12" t="n">
        <v>46150</v>
      </c>
      <c r="I1629" s="12" t="n">
        <v>46150</v>
      </c>
      <c r="J1629" s="12" t="n">
        <v>46153</v>
      </c>
      <c r="K1629" s="2" t="n">
        <v>1206</v>
      </c>
      <c r="L1629" s="2" t="inlineStr">
        <is>
          <t>Sea</t>
        </is>
      </c>
      <c r="M1629" s="2" t="inlineStr">
        <is>
          <t>No Delay</t>
        </is>
      </c>
      <c r="N1629" s="4">
        <f>IF(I1629&lt;=H1629,1,0)</f>
        <v/>
      </c>
      <c r="O1629" s="4">
        <f>IF(J1629&lt;=G1629,1,0)</f>
        <v/>
      </c>
      <c r="P1629" s="4">
        <f>MAX(0,I1629-H1629)</f>
        <v/>
      </c>
      <c r="Q1629" s="4">
        <f>MAX(0,J1629-G1629)</f>
        <v/>
      </c>
      <c r="R1629" s="4">
        <f>IF(AND(N1629=1,O1629=1),"On Track",IF(O1629=0,"Customer Delivery Late","Ship Late"))</f>
        <v/>
      </c>
    </row>
    <row r="1630">
      <c r="A1630" s="2" t="inlineStr">
        <is>
          <t>ORD-01629</t>
        </is>
      </c>
      <c r="B1630" s="2" t="inlineStr">
        <is>
          <t>Customer 11</t>
        </is>
      </c>
      <c r="C1630" s="2" t="inlineStr">
        <is>
          <t>Relay</t>
        </is>
      </c>
      <c r="D1630" s="2" t="inlineStr">
        <is>
          <t>Plant A</t>
        </is>
      </c>
      <c r="E1630" s="2" t="inlineStr">
        <is>
          <t>North</t>
        </is>
      </c>
      <c r="F1630" s="12" t="n">
        <v>46030</v>
      </c>
      <c r="G1630" s="12" t="n">
        <v>46043</v>
      </c>
      <c r="H1630" s="12" t="n">
        <v>46040</v>
      </c>
      <c r="I1630" s="12" t="n">
        <v>46040</v>
      </c>
      <c r="J1630" s="12" t="n">
        <v>46044</v>
      </c>
      <c r="K1630" s="2" t="n">
        <v>345</v>
      </c>
      <c r="L1630" s="2" t="inlineStr">
        <is>
          <t>Air</t>
        </is>
      </c>
      <c r="M1630" s="2" t="inlineStr">
        <is>
          <t>Material Shortage</t>
        </is>
      </c>
      <c r="N1630" s="4">
        <f>IF(I1630&lt;=H1630,1,0)</f>
        <v/>
      </c>
      <c r="O1630" s="4">
        <f>IF(J1630&lt;=G1630,1,0)</f>
        <v/>
      </c>
      <c r="P1630" s="4">
        <f>MAX(0,I1630-H1630)</f>
        <v/>
      </c>
      <c r="Q1630" s="4">
        <f>MAX(0,J1630-G1630)</f>
        <v/>
      </c>
      <c r="R1630" s="4">
        <f>IF(AND(N1630=1,O1630=1),"On Track",IF(O1630=0,"Customer Delivery Late","Ship Late"))</f>
        <v/>
      </c>
    </row>
    <row r="1631">
      <c r="A1631" s="2" t="inlineStr">
        <is>
          <t>ORD-01630</t>
        </is>
      </c>
      <c r="B1631" s="2" t="inlineStr">
        <is>
          <t>Customer 06</t>
        </is>
      </c>
      <c r="C1631" s="2" t="inlineStr">
        <is>
          <t>Sensor</t>
        </is>
      </c>
      <c r="D1631" s="2" t="inlineStr">
        <is>
          <t>Plant C</t>
        </is>
      </c>
      <c r="E1631" s="2" t="inlineStr">
        <is>
          <t>South</t>
        </is>
      </c>
      <c r="F1631" s="12" t="n">
        <v>46058</v>
      </c>
      <c r="G1631" s="12" t="n">
        <v>46077</v>
      </c>
      <c r="H1631" s="12" t="n">
        <v>46076</v>
      </c>
      <c r="I1631" s="12" t="n">
        <v>46075</v>
      </c>
      <c r="J1631" s="12" t="n">
        <v>46076</v>
      </c>
      <c r="K1631" s="2" t="n">
        <v>744</v>
      </c>
      <c r="L1631" s="2" t="inlineStr">
        <is>
          <t>Sea</t>
        </is>
      </c>
      <c r="M1631" s="2" t="inlineStr">
        <is>
          <t>No Delay</t>
        </is>
      </c>
      <c r="N1631" s="4">
        <f>IF(I1631&lt;=H1631,1,0)</f>
        <v/>
      </c>
      <c r="O1631" s="4">
        <f>IF(J1631&lt;=G1631,1,0)</f>
        <v/>
      </c>
      <c r="P1631" s="4">
        <f>MAX(0,I1631-H1631)</f>
        <v/>
      </c>
      <c r="Q1631" s="4">
        <f>MAX(0,J1631-G1631)</f>
        <v/>
      </c>
      <c r="R1631" s="4">
        <f>IF(AND(N1631=1,O1631=1),"On Track",IF(O1631=0,"Customer Delivery Late","Ship Late"))</f>
        <v/>
      </c>
    </row>
    <row r="1632">
      <c r="A1632" s="2" t="inlineStr">
        <is>
          <t>ORD-01631</t>
        </is>
      </c>
      <c r="B1632" s="2" t="inlineStr">
        <is>
          <t>Customer 10</t>
        </is>
      </c>
      <c r="C1632" s="2" t="inlineStr">
        <is>
          <t>PLC</t>
        </is>
      </c>
      <c r="D1632" s="2" t="inlineStr">
        <is>
          <t>Plant C</t>
        </is>
      </c>
      <c r="E1632" s="2" t="inlineStr">
        <is>
          <t>Export</t>
        </is>
      </c>
      <c r="F1632" s="12" t="n">
        <v>46049</v>
      </c>
      <c r="G1632" s="12" t="n">
        <v>46061</v>
      </c>
      <c r="H1632" s="12" t="n">
        <v>46060</v>
      </c>
      <c r="I1632" s="12" t="n">
        <v>46060</v>
      </c>
      <c r="J1632" s="12" t="n">
        <v>46061</v>
      </c>
      <c r="K1632" s="2" t="n">
        <v>546</v>
      </c>
      <c r="L1632" s="2" t="inlineStr">
        <is>
          <t>Sea</t>
        </is>
      </c>
      <c r="M1632" s="2" t="inlineStr">
        <is>
          <t>No Delay</t>
        </is>
      </c>
      <c r="N1632" s="4">
        <f>IF(I1632&lt;=H1632,1,0)</f>
        <v/>
      </c>
      <c r="O1632" s="4">
        <f>IF(J1632&lt;=G1632,1,0)</f>
        <v/>
      </c>
      <c r="P1632" s="4">
        <f>MAX(0,I1632-H1632)</f>
        <v/>
      </c>
      <c r="Q1632" s="4">
        <f>MAX(0,J1632-G1632)</f>
        <v/>
      </c>
      <c r="R1632" s="4">
        <f>IF(AND(N1632=1,O1632=1),"On Track",IF(O1632=0,"Customer Delivery Late","Ship Late"))</f>
        <v/>
      </c>
    </row>
    <row r="1633">
      <c r="A1633" s="2" t="inlineStr">
        <is>
          <t>ORD-01632</t>
        </is>
      </c>
      <c r="B1633" s="2" t="inlineStr">
        <is>
          <t>Customer 15</t>
        </is>
      </c>
      <c r="C1633" s="2" t="inlineStr">
        <is>
          <t>Drive</t>
        </is>
      </c>
      <c r="D1633" s="2" t="inlineStr">
        <is>
          <t>Plant A</t>
        </is>
      </c>
      <c r="E1633" s="2" t="inlineStr">
        <is>
          <t>North</t>
        </is>
      </c>
      <c r="F1633" s="12" t="n">
        <v>46050</v>
      </c>
      <c r="G1633" s="12" t="n">
        <v>46072</v>
      </c>
      <c r="H1633" s="12" t="n">
        <v>46069</v>
      </c>
      <c r="I1633" s="12" t="n">
        <v>46067</v>
      </c>
      <c r="J1633" s="12" t="n">
        <v>46070</v>
      </c>
      <c r="K1633" s="2" t="n">
        <v>11</v>
      </c>
      <c r="L1633" s="2" t="inlineStr">
        <is>
          <t>Road</t>
        </is>
      </c>
      <c r="M1633" s="2" t="inlineStr">
        <is>
          <t>No Delay</t>
        </is>
      </c>
      <c r="N1633" s="4">
        <f>IF(I1633&lt;=H1633,1,0)</f>
        <v/>
      </c>
      <c r="O1633" s="4">
        <f>IF(J1633&lt;=G1633,1,0)</f>
        <v/>
      </c>
      <c r="P1633" s="4">
        <f>MAX(0,I1633-H1633)</f>
        <v/>
      </c>
      <c r="Q1633" s="4">
        <f>MAX(0,J1633-G1633)</f>
        <v/>
      </c>
      <c r="R1633" s="4">
        <f>IF(AND(N1633=1,O1633=1),"On Track",IF(O1633=0,"Customer Delivery Late","Ship Late"))</f>
        <v/>
      </c>
    </row>
    <row r="1634">
      <c r="A1634" s="2" t="inlineStr">
        <is>
          <t>ORD-01633</t>
        </is>
      </c>
      <c r="B1634" s="2" t="inlineStr">
        <is>
          <t>Customer 25</t>
        </is>
      </c>
      <c r="C1634" s="2" t="inlineStr">
        <is>
          <t>Drive</t>
        </is>
      </c>
      <c r="D1634" s="2" t="inlineStr">
        <is>
          <t>Plant C</t>
        </is>
      </c>
      <c r="E1634" s="2" t="inlineStr">
        <is>
          <t>Central</t>
        </is>
      </c>
      <c r="F1634" s="12" t="n">
        <v>46034</v>
      </c>
      <c r="G1634" s="12" t="n">
        <v>46050</v>
      </c>
      <c r="H1634" s="12" t="n">
        <v>46046</v>
      </c>
      <c r="I1634" s="12" t="n">
        <v>46045</v>
      </c>
      <c r="J1634" s="12" t="n">
        <v>46050</v>
      </c>
      <c r="K1634" s="2" t="n">
        <v>45</v>
      </c>
      <c r="L1634" s="2" t="inlineStr">
        <is>
          <t>Air</t>
        </is>
      </c>
      <c r="M1634" s="2" t="inlineStr">
        <is>
          <t>No Delay</t>
        </is>
      </c>
      <c r="N1634" s="4">
        <f>IF(I1634&lt;=H1634,1,0)</f>
        <v/>
      </c>
      <c r="O1634" s="4">
        <f>IF(J1634&lt;=G1634,1,0)</f>
        <v/>
      </c>
      <c r="P1634" s="4">
        <f>MAX(0,I1634-H1634)</f>
        <v/>
      </c>
      <c r="Q1634" s="4">
        <f>MAX(0,J1634-G1634)</f>
        <v/>
      </c>
      <c r="R1634" s="4">
        <f>IF(AND(N1634=1,O1634=1),"On Track",IF(O1634=0,"Customer Delivery Late","Ship Late"))</f>
        <v/>
      </c>
    </row>
    <row r="1635">
      <c r="A1635" s="2" t="inlineStr">
        <is>
          <t>ORD-01634</t>
        </is>
      </c>
      <c r="B1635" s="2" t="inlineStr">
        <is>
          <t>Customer 22</t>
        </is>
      </c>
      <c r="C1635" s="2" t="inlineStr">
        <is>
          <t>Sensor</t>
        </is>
      </c>
      <c r="D1635" s="2" t="inlineStr">
        <is>
          <t>Plant B</t>
        </is>
      </c>
      <c r="E1635" s="2" t="inlineStr">
        <is>
          <t>Export</t>
        </is>
      </c>
      <c r="F1635" s="12" t="n">
        <v>46122</v>
      </c>
      <c r="G1635" s="12" t="n">
        <v>46136</v>
      </c>
      <c r="H1635" s="12" t="n">
        <v>46135</v>
      </c>
      <c r="I1635" s="12" t="n">
        <v>46135</v>
      </c>
      <c r="J1635" s="12" t="n">
        <v>46136</v>
      </c>
      <c r="K1635" s="2" t="n">
        <v>1176</v>
      </c>
      <c r="L1635" s="2" t="inlineStr">
        <is>
          <t>Road</t>
        </is>
      </c>
      <c r="M1635" s="2" t="inlineStr">
        <is>
          <t>No Delay</t>
        </is>
      </c>
      <c r="N1635" s="4">
        <f>IF(I1635&lt;=H1635,1,0)</f>
        <v/>
      </c>
      <c r="O1635" s="4">
        <f>IF(J1635&lt;=G1635,1,0)</f>
        <v/>
      </c>
      <c r="P1635" s="4">
        <f>MAX(0,I1635-H1635)</f>
        <v/>
      </c>
      <c r="Q1635" s="4">
        <f>MAX(0,J1635-G1635)</f>
        <v/>
      </c>
      <c r="R1635" s="4">
        <f>IF(AND(N1635=1,O1635=1),"On Track",IF(O1635=0,"Customer Delivery Late","Ship Late"))</f>
        <v/>
      </c>
    </row>
    <row r="1636">
      <c r="A1636" s="2" t="inlineStr">
        <is>
          <t>ORD-01635</t>
        </is>
      </c>
      <c r="B1636" s="2" t="inlineStr">
        <is>
          <t>Customer 21</t>
        </is>
      </c>
      <c r="C1636" s="2" t="inlineStr">
        <is>
          <t>Breaker</t>
        </is>
      </c>
      <c r="D1636" s="2" t="inlineStr">
        <is>
          <t>Plant A</t>
        </is>
      </c>
      <c r="E1636" s="2" t="inlineStr">
        <is>
          <t>North</t>
        </is>
      </c>
      <c r="F1636" s="12" t="n">
        <v>46151</v>
      </c>
      <c r="G1636" s="12" t="n">
        <v>46171</v>
      </c>
      <c r="H1636" s="12" t="n">
        <v>46170</v>
      </c>
      <c r="I1636" s="12" t="n">
        <v>46170</v>
      </c>
      <c r="J1636" s="12" t="n">
        <v>46171</v>
      </c>
      <c r="K1636" s="2" t="n">
        <v>1302</v>
      </c>
      <c r="L1636" s="2" t="inlineStr">
        <is>
          <t>Road</t>
        </is>
      </c>
      <c r="M1636" s="2" t="inlineStr">
        <is>
          <t>No Delay</t>
        </is>
      </c>
      <c r="N1636" s="4">
        <f>IF(I1636&lt;=H1636,1,0)</f>
        <v/>
      </c>
      <c r="O1636" s="4">
        <f>IF(J1636&lt;=G1636,1,0)</f>
        <v/>
      </c>
      <c r="P1636" s="4">
        <f>MAX(0,I1636-H1636)</f>
        <v/>
      </c>
      <c r="Q1636" s="4">
        <f>MAX(0,J1636-G1636)</f>
        <v/>
      </c>
      <c r="R1636" s="4">
        <f>IF(AND(N1636=1,O1636=1),"On Track",IF(O1636=0,"Customer Delivery Late","Ship Late"))</f>
        <v/>
      </c>
    </row>
    <row r="1637">
      <c r="A1637" s="2" t="inlineStr">
        <is>
          <t>ORD-01636</t>
        </is>
      </c>
      <c r="B1637" s="2" t="inlineStr">
        <is>
          <t>Customer 09</t>
        </is>
      </c>
      <c r="C1637" s="2" t="inlineStr">
        <is>
          <t>Relay</t>
        </is>
      </c>
      <c r="D1637" s="2" t="inlineStr">
        <is>
          <t>Plant C</t>
        </is>
      </c>
      <c r="E1637" s="2" t="inlineStr">
        <is>
          <t>North</t>
        </is>
      </c>
      <c r="F1637" s="12" t="n">
        <v>46132</v>
      </c>
      <c r="G1637" s="12" t="n">
        <v>46148</v>
      </c>
      <c r="H1637" s="12" t="n">
        <v>46147</v>
      </c>
      <c r="I1637" s="12" t="n">
        <v>46146</v>
      </c>
      <c r="J1637" s="12" t="n">
        <v>46147</v>
      </c>
      <c r="K1637" s="2" t="n">
        <v>815</v>
      </c>
      <c r="L1637" s="2" t="inlineStr">
        <is>
          <t>Air</t>
        </is>
      </c>
      <c r="M1637" s="2" t="inlineStr">
        <is>
          <t>No Delay</t>
        </is>
      </c>
      <c r="N1637" s="4">
        <f>IF(I1637&lt;=H1637,1,0)</f>
        <v/>
      </c>
      <c r="O1637" s="4">
        <f>IF(J1637&lt;=G1637,1,0)</f>
        <v/>
      </c>
      <c r="P1637" s="4">
        <f>MAX(0,I1637-H1637)</f>
        <v/>
      </c>
      <c r="Q1637" s="4">
        <f>MAX(0,J1637-G1637)</f>
        <v/>
      </c>
      <c r="R1637" s="4">
        <f>IF(AND(N1637=1,O1637=1),"On Track",IF(O1637=0,"Customer Delivery Late","Ship Late"))</f>
        <v/>
      </c>
    </row>
    <row r="1638">
      <c r="A1638" s="2" t="inlineStr">
        <is>
          <t>ORD-01637</t>
        </is>
      </c>
      <c r="B1638" s="2" t="inlineStr">
        <is>
          <t>Customer 02</t>
        </is>
      </c>
      <c r="C1638" s="2" t="inlineStr">
        <is>
          <t>Power Supply</t>
        </is>
      </c>
      <c r="D1638" s="2" t="inlineStr">
        <is>
          <t>Plant A</t>
        </is>
      </c>
      <c r="E1638" s="2" t="inlineStr">
        <is>
          <t>Central</t>
        </is>
      </c>
      <c r="F1638" s="12" t="n">
        <v>46093</v>
      </c>
      <c r="G1638" s="12" t="n">
        <v>46108</v>
      </c>
      <c r="H1638" s="12" t="n">
        <v>46104</v>
      </c>
      <c r="I1638" s="12" t="n">
        <v>46103</v>
      </c>
      <c r="J1638" s="12" t="n">
        <v>46107</v>
      </c>
      <c r="K1638" s="2" t="n">
        <v>249</v>
      </c>
      <c r="L1638" s="2" t="inlineStr">
        <is>
          <t>Air</t>
        </is>
      </c>
      <c r="M1638" s="2" t="inlineStr">
        <is>
          <t>No Delay</t>
        </is>
      </c>
      <c r="N1638" s="4">
        <f>IF(I1638&lt;=H1638,1,0)</f>
        <v/>
      </c>
      <c r="O1638" s="4">
        <f>IF(J1638&lt;=G1638,1,0)</f>
        <v/>
      </c>
      <c r="P1638" s="4">
        <f>MAX(0,I1638-H1638)</f>
        <v/>
      </c>
      <c r="Q1638" s="4">
        <f>MAX(0,J1638-G1638)</f>
        <v/>
      </c>
      <c r="R1638" s="4">
        <f>IF(AND(N1638=1,O1638=1),"On Track",IF(O1638=0,"Customer Delivery Late","Ship Late"))</f>
        <v/>
      </c>
    </row>
    <row r="1639">
      <c r="A1639" s="2" t="inlineStr">
        <is>
          <t>ORD-01638</t>
        </is>
      </c>
      <c r="B1639" s="2" t="inlineStr">
        <is>
          <t>Customer 25</t>
        </is>
      </c>
      <c r="C1639" s="2" t="inlineStr">
        <is>
          <t>Relay</t>
        </is>
      </c>
      <c r="D1639" s="2" t="inlineStr">
        <is>
          <t>Plant A</t>
        </is>
      </c>
      <c r="E1639" s="2" t="inlineStr">
        <is>
          <t>Central</t>
        </is>
      </c>
      <c r="F1639" s="12" t="n">
        <v>46111</v>
      </c>
      <c r="G1639" s="12" t="n">
        <v>46135</v>
      </c>
      <c r="H1639" s="12" t="n">
        <v>46130</v>
      </c>
      <c r="I1639" s="12" t="n">
        <v>46129</v>
      </c>
      <c r="J1639" s="12" t="n">
        <v>46134</v>
      </c>
      <c r="K1639" s="2" t="n">
        <v>265</v>
      </c>
      <c r="L1639" s="2" t="inlineStr">
        <is>
          <t>Sea</t>
        </is>
      </c>
      <c r="M1639" s="2" t="inlineStr">
        <is>
          <t>No Delay</t>
        </is>
      </c>
      <c r="N1639" s="4">
        <f>IF(I1639&lt;=H1639,1,0)</f>
        <v/>
      </c>
      <c r="O1639" s="4">
        <f>IF(J1639&lt;=G1639,1,0)</f>
        <v/>
      </c>
      <c r="P1639" s="4">
        <f>MAX(0,I1639-H1639)</f>
        <v/>
      </c>
      <c r="Q1639" s="4">
        <f>MAX(0,J1639-G1639)</f>
        <v/>
      </c>
      <c r="R1639" s="4">
        <f>IF(AND(N1639=1,O1639=1),"On Track",IF(O1639=0,"Customer Delivery Late","Ship Late"))</f>
        <v/>
      </c>
    </row>
    <row r="1640">
      <c r="A1640" s="2" t="inlineStr">
        <is>
          <t>ORD-01639</t>
        </is>
      </c>
      <c r="B1640" s="2" t="inlineStr">
        <is>
          <t>Customer 09</t>
        </is>
      </c>
      <c r="C1640" s="2" t="inlineStr">
        <is>
          <t>Switchgear</t>
        </is>
      </c>
      <c r="D1640" s="2" t="inlineStr">
        <is>
          <t>Plant B</t>
        </is>
      </c>
      <c r="E1640" s="2" t="inlineStr">
        <is>
          <t>Export</t>
        </is>
      </c>
      <c r="F1640" s="12" t="n">
        <v>46025</v>
      </c>
      <c r="G1640" s="12" t="n">
        <v>46040</v>
      </c>
      <c r="H1640" s="12" t="n">
        <v>46038</v>
      </c>
      <c r="I1640" s="12" t="n">
        <v>46038</v>
      </c>
      <c r="J1640" s="12" t="n">
        <v>46040</v>
      </c>
      <c r="K1640" s="2" t="n">
        <v>806</v>
      </c>
      <c r="L1640" s="2" t="inlineStr">
        <is>
          <t>Air</t>
        </is>
      </c>
      <c r="M1640" s="2" t="inlineStr">
        <is>
          <t>No Delay</t>
        </is>
      </c>
      <c r="N1640" s="4">
        <f>IF(I1640&lt;=H1640,1,0)</f>
        <v/>
      </c>
      <c r="O1640" s="4">
        <f>IF(J1640&lt;=G1640,1,0)</f>
        <v/>
      </c>
      <c r="P1640" s="4">
        <f>MAX(0,I1640-H1640)</f>
        <v/>
      </c>
      <c r="Q1640" s="4">
        <f>MAX(0,J1640-G1640)</f>
        <v/>
      </c>
      <c r="R1640" s="4">
        <f>IF(AND(N1640=1,O1640=1),"On Track",IF(O1640=0,"Customer Delivery Late","Ship Late"))</f>
        <v/>
      </c>
    </row>
    <row r="1641">
      <c r="A1641" s="2" t="inlineStr">
        <is>
          <t>ORD-01640</t>
        </is>
      </c>
      <c r="B1641" s="2" t="inlineStr">
        <is>
          <t>Customer 28</t>
        </is>
      </c>
      <c r="C1641" s="2" t="inlineStr">
        <is>
          <t>PLC</t>
        </is>
      </c>
      <c r="D1641" s="2" t="inlineStr">
        <is>
          <t>Plant C</t>
        </is>
      </c>
      <c r="E1641" s="2" t="inlineStr">
        <is>
          <t>Central</t>
        </is>
      </c>
      <c r="F1641" s="12" t="n">
        <v>46161</v>
      </c>
      <c r="G1641" s="12" t="n">
        <v>46175</v>
      </c>
      <c r="H1641" s="12" t="n">
        <v>46172</v>
      </c>
      <c r="I1641" s="12" t="n">
        <v>46170</v>
      </c>
      <c r="J1641" s="12" t="n">
        <v>46173</v>
      </c>
      <c r="K1641" s="2" t="n">
        <v>650</v>
      </c>
      <c r="L1641" s="2" t="inlineStr">
        <is>
          <t>Road</t>
        </is>
      </c>
      <c r="M1641" s="2" t="inlineStr">
        <is>
          <t>No Delay</t>
        </is>
      </c>
      <c r="N1641" s="4">
        <f>IF(I1641&lt;=H1641,1,0)</f>
        <v/>
      </c>
      <c r="O1641" s="4">
        <f>IF(J1641&lt;=G1641,1,0)</f>
        <v/>
      </c>
      <c r="P1641" s="4">
        <f>MAX(0,I1641-H1641)</f>
        <v/>
      </c>
      <c r="Q1641" s="4">
        <f>MAX(0,J1641-G1641)</f>
        <v/>
      </c>
      <c r="R1641" s="4">
        <f>IF(AND(N1641=1,O1641=1),"On Track",IF(O1641=0,"Customer Delivery Late","Ship Late"))</f>
        <v/>
      </c>
    </row>
    <row r="1642">
      <c r="A1642" s="2" t="inlineStr">
        <is>
          <t>ORD-01641</t>
        </is>
      </c>
      <c r="B1642" s="2" t="inlineStr">
        <is>
          <t>Customer 23</t>
        </is>
      </c>
      <c r="C1642" s="2" t="inlineStr">
        <is>
          <t>Breaker</t>
        </is>
      </c>
      <c r="D1642" s="2" t="inlineStr">
        <is>
          <t>Plant A</t>
        </is>
      </c>
      <c r="E1642" s="2" t="inlineStr">
        <is>
          <t>Central</t>
        </is>
      </c>
      <c r="F1642" s="12" t="n">
        <v>46148</v>
      </c>
      <c r="G1642" s="12" t="n">
        <v>46155</v>
      </c>
      <c r="H1642" s="12" t="n">
        <v>46153</v>
      </c>
      <c r="I1642" s="12" t="n">
        <v>46153</v>
      </c>
      <c r="J1642" s="12" t="n">
        <v>46155</v>
      </c>
      <c r="K1642" s="2" t="n">
        <v>817</v>
      </c>
      <c r="L1642" s="2" t="inlineStr">
        <is>
          <t>Road</t>
        </is>
      </c>
      <c r="M1642" s="2" t="inlineStr">
        <is>
          <t>No Delay</t>
        </is>
      </c>
      <c r="N1642" s="4">
        <f>IF(I1642&lt;=H1642,1,0)</f>
        <v/>
      </c>
      <c r="O1642" s="4">
        <f>IF(J1642&lt;=G1642,1,0)</f>
        <v/>
      </c>
      <c r="P1642" s="4">
        <f>MAX(0,I1642-H1642)</f>
        <v/>
      </c>
      <c r="Q1642" s="4">
        <f>MAX(0,J1642-G1642)</f>
        <v/>
      </c>
      <c r="R1642" s="4">
        <f>IF(AND(N1642=1,O1642=1),"On Track",IF(O1642=0,"Customer Delivery Late","Ship Late"))</f>
        <v/>
      </c>
    </row>
    <row r="1643">
      <c r="A1643" s="2" t="inlineStr">
        <is>
          <t>ORD-01642</t>
        </is>
      </c>
      <c r="B1643" s="2" t="inlineStr">
        <is>
          <t>Customer 21</t>
        </is>
      </c>
      <c r="C1643" s="2" t="inlineStr">
        <is>
          <t>Relay</t>
        </is>
      </c>
      <c r="D1643" s="2" t="inlineStr">
        <is>
          <t>Plant C</t>
        </is>
      </c>
      <c r="E1643" s="2" t="inlineStr">
        <is>
          <t>Export</t>
        </is>
      </c>
      <c r="F1643" s="12" t="n">
        <v>46191</v>
      </c>
      <c r="G1643" s="12" t="n">
        <v>46201</v>
      </c>
      <c r="H1643" s="12" t="n">
        <v>46200</v>
      </c>
      <c r="I1643" s="12" t="n">
        <v>46198</v>
      </c>
      <c r="J1643" s="12" t="n">
        <v>46199</v>
      </c>
      <c r="K1643" s="2" t="n">
        <v>1023</v>
      </c>
      <c r="L1643" s="2" t="inlineStr">
        <is>
          <t>Road</t>
        </is>
      </c>
      <c r="M1643" s="2" t="inlineStr">
        <is>
          <t>No Delay</t>
        </is>
      </c>
      <c r="N1643" s="4">
        <f>IF(I1643&lt;=H1643,1,0)</f>
        <v/>
      </c>
      <c r="O1643" s="4">
        <f>IF(J1643&lt;=G1643,1,0)</f>
        <v/>
      </c>
      <c r="P1643" s="4">
        <f>MAX(0,I1643-H1643)</f>
        <v/>
      </c>
      <c r="Q1643" s="4">
        <f>MAX(0,J1643-G1643)</f>
        <v/>
      </c>
      <c r="R1643" s="4">
        <f>IF(AND(N1643=1,O1643=1),"On Track",IF(O1643=0,"Customer Delivery Late","Ship Late"))</f>
        <v/>
      </c>
    </row>
    <row r="1644">
      <c r="A1644" s="2" t="inlineStr">
        <is>
          <t>ORD-01643</t>
        </is>
      </c>
      <c r="B1644" s="2" t="inlineStr">
        <is>
          <t>Customer 23</t>
        </is>
      </c>
      <c r="C1644" s="2" t="inlineStr">
        <is>
          <t>Drive</t>
        </is>
      </c>
      <c r="D1644" s="2" t="inlineStr">
        <is>
          <t>Plant C</t>
        </is>
      </c>
      <c r="E1644" s="2" t="inlineStr">
        <is>
          <t>South</t>
        </is>
      </c>
      <c r="F1644" s="12" t="n">
        <v>46131</v>
      </c>
      <c r="G1644" s="12" t="n">
        <v>46144</v>
      </c>
      <c r="H1644" s="12" t="n">
        <v>46139</v>
      </c>
      <c r="I1644" s="12" t="n">
        <v>46139</v>
      </c>
      <c r="J1644" s="12" t="n">
        <v>46145</v>
      </c>
      <c r="K1644" s="2" t="n">
        <v>360</v>
      </c>
      <c r="L1644" s="2" t="inlineStr">
        <is>
          <t>Road</t>
        </is>
      </c>
      <c r="M1644" s="2" t="inlineStr">
        <is>
          <t>Carrier Delay</t>
        </is>
      </c>
      <c r="N1644" s="4">
        <f>IF(I1644&lt;=H1644,1,0)</f>
        <v/>
      </c>
      <c r="O1644" s="4">
        <f>IF(J1644&lt;=G1644,1,0)</f>
        <v/>
      </c>
      <c r="P1644" s="4">
        <f>MAX(0,I1644-H1644)</f>
        <v/>
      </c>
      <c r="Q1644" s="4">
        <f>MAX(0,J1644-G1644)</f>
        <v/>
      </c>
      <c r="R1644" s="4">
        <f>IF(AND(N1644=1,O1644=1),"On Track",IF(O1644=0,"Customer Delivery Late","Ship Late"))</f>
        <v/>
      </c>
    </row>
    <row r="1645">
      <c r="A1645" s="2" t="inlineStr">
        <is>
          <t>ORD-01644</t>
        </is>
      </c>
      <c r="B1645" s="2" t="inlineStr">
        <is>
          <t>Customer 04</t>
        </is>
      </c>
      <c r="C1645" s="2" t="inlineStr">
        <is>
          <t>Drive</t>
        </is>
      </c>
      <c r="D1645" s="2" t="inlineStr">
        <is>
          <t>Plant B</t>
        </is>
      </c>
      <c r="E1645" s="2" t="inlineStr">
        <is>
          <t>South</t>
        </is>
      </c>
      <c r="F1645" s="12" t="n">
        <v>46172</v>
      </c>
      <c r="G1645" s="12" t="n">
        <v>46186</v>
      </c>
      <c r="H1645" s="12" t="n">
        <v>46184</v>
      </c>
      <c r="I1645" s="12" t="n">
        <v>46183</v>
      </c>
      <c r="J1645" s="12" t="n">
        <v>46185</v>
      </c>
      <c r="K1645" s="2" t="n">
        <v>1269</v>
      </c>
      <c r="L1645" s="2" t="inlineStr">
        <is>
          <t>Road</t>
        </is>
      </c>
      <c r="M1645" s="2" t="inlineStr">
        <is>
          <t>No Delay</t>
        </is>
      </c>
      <c r="N1645" s="4">
        <f>IF(I1645&lt;=H1645,1,0)</f>
        <v/>
      </c>
      <c r="O1645" s="4">
        <f>IF(J1645&lt;=G1645,1,0)</f>
        <v/>
      </c>
      <c r="P1645" s="4">
        <f>MAX(0,I1645-H1645)</f>
        <v/>
      </c>
      <c r="Q1645" s="4">
        <f>MAX(0,J1645-G1645)</f>
        <v/>
      </c>
      <c r="R1645" s="4">
        <f>IF(AND(N1645=1,O1645=1),"On Track",IF(O1645=0,"Customer Delivery Late","Ship Late"))</f>
        <v/>
      </c>
    </row>
    <row r="1646">
      <c r="A1646" s="2" t="inlineStr">
        <is>
          <t>ORD-01645</t>
        </is>
      </c>
      <c r="B1646" s="2" t="inlineStr">
        <is>
          <t>Customer 03</t>
        </is>
      </c>
      <c r="C1646" s="2" t="inlineStr">
        <is>
          <t>Sensor</t>
        </is>
      </c>
      <c r="D1646" s="2" t="inlineStr">
        <is>
          <t>Plant B</t>
        </is>
      </c>
      <c r="E1646" s="2" t="inlineStr">
        <is>
          <t>Export</t>
        </is>
      </c>
      <c r="F1646" s="12" t="n">
        <v>46137</v>
      </c>
      <c r="G1646" s="12" t="n">
        <v>46144</v>
      </c>
      <c r="H1646" s="12" t="n">
        <v>46143</v>
      </c>
      <c r="I1646" s="12" t="n">
        <v>46141</v>
      </c>
      <c r="J1646" s="12" t="n">
        <v>46142</v>
      </c>
      <c r="K1646" s="2" t="n">
        <v>639</v>
      </c>
      <c r="L1646" s="2" t="inlineStr">
        <is>
          <t>Air</t>
        </is>
      </c>
      <c r="M1646" s="2" t="inlineStr">
        <is>
          <t>No Delay</t>
        </is>
      </c>
      <c r="N1646" s="4">
        <f>IF(I1646&lt;=H1646,1,0)</f>
        <v/>
      </c>
      <c r="O1646" s="4">
        <f>IF(J1646&lt;=G1646,1,0)</f>
        <v/>
      </c>
      <c r="P1646" s="4">
        <f>MAX(0,I1646-H1646)</f>
        <v/>
      </c>
      <c r="Q1646" s="4">
        <f>MAX(0,J1646-G1646)</f>
        <v/>
      </c>
      <c r="R1646" s="4">
        <f>IF(AND(N1646=1,O1646=1),"On Track",IF(O1646=0,"Customer Delivery Late","Ship Late"))</f>
        <v/>
      </c>
    </row>
    <row r="1647">
      <c r="A1647" s="2" t="inlineStr">
        <is>
          <t>ORD-01646</t>
        </is>
      </c>
      <c r="B1647" s="2" t="inlineStr">
        <is>
          <t>Customer 17</t>
        </is>
      </c>
      <c r="C1647" s="2" t="inlineStr">
        <is>
          <t>Sensor</t>
        </is>
      </c>
      <c r="D1647" s="2" t="inlineStr">
        <is>
          <t>Plant A</t>
        </is>
      </c>
      <c r="E1647" s="2" t="inlineStr">
        <is>
          <t>Export</t>
        </is>
      </c>
      <c r="F1647" s="12" t="n">
        <v>46143</v>
      </c>
      <c r="G1647" s="12" t="n">
        <v>46155</v>
      </c>
      <c r="H1647" s="12" t="n">
        <v>46152</v>
      </c>
      <c r="I1647" s="12" t="n">
        <v>46151</v>
      </c>
      <c r="J1647" s="12" t="n">
        <v>46154</v>
      </c>
      <c r="K1647" s="2" t="n">
        <v>253</v>
      </c>
      <c r="L1647" s="2" t="inlineStr">
        <is>
          <t>Air</t>
        </is>
      </c>
      <c r="M1647" s="2" t="inlineStr">
        <is>
          <t>No Delay</t>
        </is>
      </c>
      <c r="N1647" s="4">
        <f>IF(I1647&lt;=H1647,1,0)</f>
        <v/>
      </c>
      <c r="O1647" s="4">
        <f>IF(J1647&lt;=G1647,1,0)</f>
        <v/>
      </c>
      <c r="P1647" s="4">
        <f>MAX(0,I1647-H1647)</f>
        <v/>
      </c>
      <c r="Q1647" s="4">
        <f>MAX(0,J1647-G1647)</f>
        <v/>
      </c>
      <c r="R1647" s="4">
        <f>IF(AND(N1647=1,O1647=1),"On Track",IF(O1647=0,"Customer Delivery Late","Ship Late"))</f>
        <v/>
      </c>
    </row>
    <row r="1648">
      <c r="A1648" s="2" t="inlineStr">
        <is>
          <t>ORD-01647</t>
        </is>
      </c>
      <c r="B1648" s="2" t="inlineStr">
        <is>
          <t>Customer 11</t>
        </is>
      </c>
      <c r="C1648" s="2" t="inlineStr">
        <is>
          <t>PLC</t>
        </is>
      </c>
      <c r="D1648" s="2" t="inlineStr">
        <is>
          <t>Plant B</t>
        </is>
      </c>
      <c r="E1648" s="2" t="inlineStr">
        <is>
          <t>North</t>
        </is>
      </c>
      <c r="F1648" s="12" t="n">
        <v>46171</v>
      </c>
      <c r="G1648" s="12" t="n">
        <v>46185</v>
      </c>
      <c r="H1648" s="12" t="n">
        <v>46180</v>
      </c>
      <c r="I1648" s="12" t="n">
        <v>46179</v>
      </c>
      <c r="J1648" s="12" t="n">
        <v>46185</v>
      </c>
      <c r="K1648" s="2" t="n">
        <v>465</v>
      </c>
      <c r="L1648" s="2" t="inlineStr">
        <is>
          <t>Road</t>
        </is>
      </c>
      <c r="M1648" s="2" t="inlineStr">
        <is>
          <t>No Delay</t>
        </is>
      </c>
      <c r="N1648" s="4">
        <f>IF(I1648&lt;=H1648,1,0)</f>
        <v/>
      </c>
      <c r="O1648" s="4">
        <f>IF(J1648&lt;=G1648,1,0)</f>
        <v/>
      </c>
      <c r="P1648" s="4">
        <f>MAX(0,I1648-H1648)</f>
        <v/>
      </c>
      <c r="Q1648" s="4">
        <f>MAX(0,J1648-G1648)</f>
        <v/>
      </c>
      <c r="R1648" s="4">
        <f>IF(AND(N1648=1,O1648=1),"On Track",IF(O1648=0,"Customer Delivery Late","Ship Late"))</f>
        <v/>
      </c>
    </row>
    <row r="1649">
      <c r="A1649" s="2" t="inlineStr">
        <is>
          <t>ORD-01648</t>
        </is>
      </c>
      <c r="B1649" s="2" t="inlineStr">
        <is>
          <t>Customer 17</t>
        </is>
      </c>
      <c r="C1649" s="2" t="inlineStr">
        <is>
          <t>Relay</t>
        </is>
      </c>
      <c r="D1649" s="2" t="inlineStr">
        <is>
          <t>Plant B</t>
        </is>
      </c>
      <c r="E1649" s="2" t="inlineStr">
        <is>
          <t>North</t>
        </is>
      </c>
      <c r="F1649" s="12" t="n">
        <v>46054</v>
      </c>
      <c r="G1649" s="12" t="n">
        <v>46075</v>
      </c>
      <c r="H1649" s="12" t="n">
        <v>46073</v>
      </c>
      <c r="I1649" s="12" t="n">
        <v>46071</v>
      </c>
      <c r="J1649" s="12" t="n">
        <v>46073</v>
      </c>
      <c r="K1649" s="2" t="n">
        <v>1060</v>
      </c>
      <c r="L1649" s="2" t="inlineStr">
        <is>
          <t>Air</t>
        </is>
      </c>
      <c r="M1649" s="2" t="inlineStr">
        <is>
          <t>No Delay</t>
        </is>
      </c>
      <c r="N1649" s="4">
        <f>IF(I1649&lt;=H1649,1,0)</f>
        <v/>
      </c>
      <c r="O1649" s="4">
        <f>IF(J1649&lt;=G1649,1,0)</f>
        <v/>
      </c>
      <c r="P1649" s="4">
        <f>MAX(0,I1649-H1649)</f>
        <v/>
      </c>
      <c r="Q1649" s="4">
        <f>MAX(0,J1649-G1649)</f>
        <v/>
      </c>
      <c r="R1649" s="4">
        <f>IF(AND(N1649=1,O1649=1),"On Track",IF(O1649=0,"Customer Delivery Late","Ship Late"))</f>
        <v/>
      </c>
    </row>
    <row r="1650">
      <c r="A1650" s="2" t="inlineStr">
        <is>
          <t>ORD-01649</t>
        </is>
      </c>
      <c r="B1650" s="2" t="inlineStr">
        <is>
          <t>Customer 16</t>
        </is>
      </c>
      <c r="C1650" s="2" t="inlineStr">
        <is>
          <t>Switchgear</t>
        </is>
      </c>
      <c r="D1650" s="2" t="inlineStr">
        <is>
          <t>Plant A</t>
        </is>
      </c>
      <c r="E1650" s="2" t="inlineStr">
        <is>
          <t>North</t>
        </is>
      </c>
      <c r="F1650" s="12" t="n">
        <v>46152</v>
      </c>
      <c r="G1650" s="12" t="n">
        <v>46174</v>
      </c>
      <c r="H1650" s="12" t="n">
        <v>46172</v>
      </c>
      <c r="I1650" s="12" t="n">
        <v>46172</v>
      </c>
      <c r="J1650" s="12" t="n">
        <v>46174</v>
      </c>
      <c r="K1650" s="2" t="n">
        <v>594</v>
      </c>
      <c r="L1650" s="2" t="inlineStr">
        <is>
          <t>Sea</t>
        </is>
      </c>
      <c r="M1650" s="2" t="inlineStr">
        <is>
          <t>No Delay</t>
        </is>
      </c>
      <c r="N1650" s="4">
        <f>IF(I1650&lt;=H1650,1,0)</f>
        <v/>
      </c>
      <c r="O1650" s="4">
        <f>IF(J1650&lt;=G1650,1,0)</f>
        <v/>
      </c>
      <c r="P1650" s="4">
        <f>MAX(0,I1650-H1650)</f>
        <v/>
      </c>
      <c r="Q1650" s="4">
        <f>MAX(0,J1650-G1650)</f>
        <v/>
      </c>
      <c r="R1650" s="4">
        <f>IF(AND(N1650=1,O1650=1),"On Track",IF(O1650=0,"Customer Delivery Late","Ship Late"))</f>
        <v/>
      </c>
    </row>
    <row r="1651">
      <c r="A1651" s="2" t="inlineStr">
        <is>
          <t>ORD-01650</t>
        </is>
      </c>
      <c r="B1651" s="2" t="inlineStr">
        <is>
          <t>Customer 10</t>
        </is>
      </c>
      <c r="C1651" s="2" t="inlineStr">
        <is>
          <t>Power Supply</t>
        </is>
      </c>
      <c r="D1651" s="2" t="inlineStr">
        <is>
          <t>Plant B</t>
        </is>
      </c>
      <c r="E1651" s="2" t="inlineStr">
        <is>
          <t>Central</t>
        </is>
      </c>
      <c r="F1651" s="12" t="n">
        <v>46134</v>
      </c>
      <c r="G1651" s="12" t="n">
        <v>46144</v>
      </c>
      <c r="H1651" s="12" t="n">
        <v>46141</v>
      </c>
      <c r="I1651" s="12" t="n">
        <v>46140</v>
      </c>
      <c r="J1651" s="12" t="n">
        <v>46142</v>
      </c>
      <c r="K1651" s="2" t="n">
        <v>680</v>
      </c>
      <c r="L1651" s="2" t="inlineStr">
        <is>
          <t>Sea</t>
        </is>
      </c>
      <c r="M1651" s="2" t="inlineStr">
        <is>
          <t>No Delay</t>
        </is>
      </c>
      <c r="N1651" s="4">
        <f>IF(I1651&lt;=H1651,1,0)</f>
        <v/>
      </c>
      <c r="O1651" s="4">
        <f>IF(J1651&lt;=G1651,1,0)</f>
        <v/>
      </c>
      <c r="P1651" s="4">
        <f>MAX(0,I1651-H1651)</f>
        <v/>
      </c>
      <c r="Q1651" s="4">
        <f>MAX(0,J1651-G1651)</f>
        <v/>
      </c>
      <c r="R1651" s="4">
        <f>IF(AND(N1651=1,O1651=1),"On Track",IF(O1651=0,"Customer Delivery Late","Ship Late"))</f>
        <v/>
      </c>
    </row>
    <row r="1652">
      <c r="A1652" s="2" t="inlineStr">
        <is>
          <t>ORD-01651</t>
        </is>
      </c>
      <c r="B1652" s="2" t="inlineStr">
        <is>
          <t>Customer 16</t>
        </is>
      </c>
      <c r="C1652" s="2" t="inlineStr">
        <is>
          <t>PLC</t>
        </is>
      </c>
      <c r="D1652" s="2" t="inlineStr">
        <is>
          <t>Plant B</t>
        </is>
      </c>
      <c r="E1652" s="2" t="inlineStr">
        <is>
          <t>South</t>
        </is>
      </c>
      <c r="F1652" s="12" t="n">
        <v>46080</v>
      </c>
      <c r="G1652" s="12" t="n">
        <v>46100</v>
      </c>
      <c r="H1652" s="12" t="n">
        <v>46095</v>
      </c>
      <c r="I1652" s="12" t="n">
        <v>46095</v>
      </c>
      <c r="J1652" s="12" t="n">
        <v>46100</v>
      </c>
      <c r="K1652" s="2" t="n">
        <v>791</v>
      </c>
      <c r="L1652" s="2" t="inlineStr">
        <is>
          <t>Air</t>
        </is>
      </c>
      <c r="M1652" s="2" t="inlineStr">
        <is>
          <t>No Delay</t>
        </is>
      </c>
      <c r="N1652" s="4">
        <f>IF(I1652&lt;=H1652,1,0)</f>
        <v/>
      </c>
      <c r="O1652" s="4">
        <f>IF(J1652&lt;=G1652,1,0)</f>
        <v/>
      </c>
      <c r="P1652" s="4">
        <f>MAX(0,I1652-H1652)</f>
        <v/>
      </c>
      <c r="Q1652" s="4">
        <f>MAX(0,J1652-G1652)</f>
        <v/>
      </c>
      <c r="R1652" s="4">
        <f>IF(AND(N1652=1,O1652=1),"On Track",IF(O1652=0,"Customer Delivery Late","Ship Late"))</f>
        <v/>
      </c>
    </row>
    <row r="1653">
      <c r="A1653" s="2" t="inlineStr">
        <is>
          <t>ORD-01652</t>
        </is>
      </c>
      <c r="B1653" s="2" t="inlineStr">
        <is>
          <t>Customer 10</t>
        </is>
      </c>
      <c r="C1653" s="2" t="inlineStr">
        <is>
          <t>PLC</t>
        </is>
      </c>
      <c r="D1653" s="2" t="inlineStr">
        <is>
          <t>Plant A</t>
        </is>
      </c>
      <c r="E1653" s="2" t="inlineStr">
        <is>
          <t>Export</t>
        </is>
      </c>
      <c r="F1653" s="12" t="n">
        <v>46045</v>
      </c>
      <c r="G1653" s="12" t="n">
        <v>46065</v>
      </c>
      <c r="H1653" s="12" t="n">
        <v>46061</v>
      </c>
      <c r="I1653" s="12" t="n">
        <v>46059</v>
      </c>
      <c r="J1653" s="12" t="n">
        <v>46064</v>
      </c>
      <c r="K1653" s="2" t="n">
        <v>289</v>
      </c>
      <c r="L1653" s="2" t="inlineStr">
        <is>
          <t>Sea</t>
        </is>
      </c>
      <c r="M1653" s="2" t="inlineStr">
        <is>
          <t>No Delay</t>
        </is>
      </c>
      <c r="N1653" s="4">
        <f>IF(I1653&lt;=H1653,1,0)</f>
        <v/>
      </c>
      <c r="O1653" s="4">
        <f>IF(J1653&lt;=G1653,1,0)</f>
        <v/>
      </c>
      <c r="P1653" s="4">
        <f>MAX(0,I1653-H1653)</f>
        <v/>
      </c>
      <c r="Q1653" s="4">
        <f>MAX(0,J1653-G1653)</f>
        <v/>
      </c>
      <c r="R1653" s="4">
        <f>IF(AND(N1653=1,O1653=1),"On Track",IF(O1653=0,"Customer Delivery Late","Ship Late"))</f>
        <v/>
      </c>
    </row>
    <row r="1654">
      <c r="A1654" s="2" t="inlineStr">
        <is>
          <t>ORD-01653</t>
        </is>
      </c>
      <c r="B1654" s="2" t="inlineStr">
        <is>
          <t>Customer 11</t>
        </is>
      </c>
      <c r="C1654" s="2" t="inlineStr">
        <is>
          <t>Breaker</t>
        </is>
      </c>
      <c r="D1654" s="2" t="inlineStr">
        <is>
          <t>Plant C</t>
        </is>
      </c>
      <c r="E1654" s="2" t="inlineStr">
        <is>
          <t>North</t>
        </is>
      </c>
      <c r="F1654" s="12" t="n">
        <v>46177</v>
      </c>
      <c r="G1654" s="12" t="n">
        <v>46200</v>
      </c>
      <c r="H1654" s="12" t="n">
        <v>46197</v>
      </c>
      <c r="I1654" s="12" t="n">
        <v>46197</v>
      </c>
      <c r="J1654" s="12" t="n">
        <v>46200</v>
      </c>
      <c r="K1654" s="2" t="n">
        <v>1422</v>
      </c>
      <c r="L1654" s="2" t="inlineStr">
        <is>
          <t>Road</t>
        </is>
      </c>
      <c r="M1654" s="2" t="inlineStr">
        <is>
          <t>No Delay</t>
        </is>
      </c>
      <c r="N1654" s="4">
        <f>IF(I1654&lt;=H1654,1,0)</f>
        <v/>
      </c>
      <c r="O1654" s="4">
        <f>IF(J1654&lt;=G1654,1,0)</f>
        <v/>
      </c>
      <c r="P1654" s="4">
        <f>MAX(0,I1654-H1654)</f>
        <v/>
      </c>
      <c r="Q1654" s="4">
        <f>MAX(0,J1654-G1654)</f>
        <v/>
      </c>
      <c r="R1654" s="4">
        <f>IF(AND(N1654=1,O1654=1),"On Track",IF(O1654=0,"Customer Delivery Late","Ship Late"))</f>
        <v/>
      </c>
    </row>
    <row r="1655">
      <c r="A1655" s="2" t="inlineStr">
        <is>
          <t>ORD-01654</t>
        </is>
      </c>
      <c r="B1655" s="2" t="inlineStr">
        <is>
          <t>Customer 18</t>
        </is>
      </c>
      <c r="C1655" s="2" t="inlineStr">
        <is>
          <t>PLC</t>
        </is>
      </c>
      <c r="D1655" s="2" t="inlineStr">
        <is>
          <t>Plant C</t>
        </is>
      </c>
      <c r="E1655" s="2" t="inlineStr">
        <is>
          <t>South</t>
        </is>
      </c>
      <c r="F1655" s="12" t="n">
        <v>46051</v>
      </c>
      <c r="G1655" s="12" t="n">
        <v>46057</v>
      </c>
      <c r="H1655" s="12" t="n">
        <v>46052</v>
      </c>
      <c r="I1655" s="12" t="n">
        <v>46051</v>
      </c>
      <c r="J1655" s="12" t="n">
        <v>46056</v>
      </c>
      <c r="K1655" s="2" t="n">
        <v>345</v>
      </c>
      <c r="L1655" s="2" t="inlineStr">
        <is>
          <t>Road</t>
        </is>
      </c>
      <c r="M1655" s="2" t="inlineStr">
        <is>
          <t>No Delay</t>
        </is>
      </c>
      <c r="N1655" s="4">
        <f>IF(I1655&lt;=H1655,1,0)</f>
        <v/>
      </c>
      <c r="O1655" s="4">
        <f>IF(J1655&lt;=G1655,1,0)</f>
        <v/>
      </c>
      <c r="P1655" s="4">
        <f>MAX(0,I1655-H1655)</f>
        <v/>
      </c>
      <c r="Q1655" s="4">
        <f>MAX(0,J1655-G1655)</f>
        <v/>
      </c>
      <c r="R1655" s="4">
        <f>IF(AND(N1655=1,O1655=1),"On Track",IF(O1655=0,"Customer Delivery Late","Ship Late"))</f>
        <v/>
      </c>
    </row>
    <row r="1656">
      <c r="A1656" s="2" t="inlineStr">
        <is>
          <t>ORD-01655</t>
        </is>
      </c>
      <c r="B1656" s="2" t="inlineStr">
        <is>
          <t>Customer 10</t>
        </is>
      </c>
      <c r="C1656" s="2" t="inlineStr">
        <is>
          <t>Power Supply</t>
        </is>
      </c>
      <c r="D1656" s="2" t="inlineStr">
        <is>
          <t>Plant B</t>
        </is>
      </c>
      <c r="E1656" s="2" t="inlineStr">
        <is>
          <t>South</t>
        </is>
      </c>
      <c r="F1656" s="12" t="n">
        <v>46203</v>
      </c>
      <c r="G1656" s="12" t="n">
        <v>46210</v>
      </c>
      <c r="H1656" s="12" t="n">
        <v>46205</v>
      </c>
      <c r="I1656" s="12" t="n">
        <v>46205</v>
      </c>
      <c r="J1656" s="12" t="n">
        <v>46210</v>
      </c>
      <c r="K1656" s="2" t="n">
        <v>1278</v>
      </c>
      <c r="L1656" s="2" t="inlineStr">
        <is>
          <t>Sea</t>
        </is>
      </c>
      <c r="M1656" s="2" t="inlineStr">
        <is>
          <t>No Delay</t>
        </is>
      </c>
      <c r="N1656" s="4">
        <f>IF(I1656&lt;=H1656,1,0)</f>
        <v/>
      </c>
      <c r="O1656" s="4">
        <f>IF(J1656&lt;=G1656,1,0)</f>
        <v/>
      </c>
      <c r="P1656" s="4">
        <f>MAX(0,I1656-H1656)</f>
        <v/>
      </c>
      <c r="Q1656" s="4">
        <f>MAX(0,J1656-G1656)</f>
        <v/>
      </c>
      <c r="R1656" s="4">
        <f>IF(AND(N1656=1,O1656=1),"On Track",IF(O1656=0,"Customer Delivery Late","Ship Late"))</f>
        <v/>
      </c>
    </row>
    <row r="1657">
      <c r="A1657" s="2" t="inlineStr">
        <is>
          <t>ORD-01656</t>
        </is>
      </c>
      <c r="B1657" s="2" t="inlineStr">
        <is>
          <t>Customer 23</t>
        </is>
      </c>
      <c r="C1657" s="2" t="inlineStr">
        <is>
          <t>Drive</t>
        </is>
      </c>
      <c r="D1657" s="2" t="inlineStr">
        <is>
          <t>Plant C</t>
        </is>
      </c>
      <c r="E1657" s="2" t="inlineStr">
        <is>
          <t>Central</t>
        </is>
      </c>
      <c r="F1657" s="12" t="n">
        <v>46180</v>
      </c>
      <c r="G1657" s="12" t="n">
        <v>46199</v>
      </c>
      <c r="H1657" s="12" t="n">
        <v>46194</v>
      </c>
      <c r="I1657" s="12" t="n">
        <v>46192</v>
      </c>
      <c r="J1657" s="12" t="n">
        <v>46197</v>
      </c>
      <c r="K1657" s="2" t="n">
        <v>1071</v>
      </c>
      <c r="L1657" s="2" t="inlineStr">
        <is>
          <t>Sea</t>
        </is>
      </c>
      <c r="M1657" s="2" t="inlineStr">
        <is>
          <t>No Delay</t>
        </is>
      </c>
      <c r="N1657" s="4">
        <f>IF(I1657&lt;=H1657,1,0)</f>
        <v/>
      </c>
      <c r="O1657" s="4">
        <f>IF(J1657&lt;=G1657,1,0)</f>
        <v/>
      </c>
      <c r="P1657" s="4">
        <f>MAX(0,I1657-H1657)</f>
        <v/>
      </c>
      <c r="Q1657" s="4">
        <f>MAX(0,J1657-G1657)</f>
        <v/>
      </c>
      <c r="R1657" s="4">
        <f>IF(AND(N1657=1,O1657=1),"On Track",IF(O1657=0,"Customer Delivery Late","Ship Late"))</f>
        <v/>
      </c>
    </row>
    <row r="1658">
      <c r="A1658" s="2" t="inlineStr">
        <is>
          <t>ORD-01657</t>
        </is>
      </c>
      <c r="B1658" s="2" t="inlineStr">
        <is>
          <t>Customer 18</t>
        </is>
      </c>
      <c r="C1658" s="2" t="inlineStr">
        <is>
          <t>Contactor</t>
        </is>
      </c>
      <c r="D1658" s="2" t="inlineStr">
        <is>
          <t>Plant A</t>
        </is>
      </c>
      <c r="E1658" s="2" t="inlineStr">
        <is>
          <t>South</t>
        </is>
      </c>
      <c r="F1658" s="12" t="n">
        <v>46051</v>
      </c>
      <c r="G1658" s="12" t="n">
        <v>46074</v>
      </c>
      <c r="H1658" s="12" t="n">
        <v>46073</v>
      </c>
      <c r="I1658" s="12" t="n">
        <v>46071</v>
      </c>
      <c r="J1658" s="12" t="n">
        <v>46073</v>
      </c>
      <c r="K1658" s="2" t="n">
        <v>1093</v>
      </c>
      <c r="L1658" s="2" t="inlineStr">
        <is>
          <t>Sea</t>
        </is>
      </c>
      <c r="M1658" s="2" t="inlineStr">
        <is>
          <t>No Delay</t>
        </is>
      </c>
      <c r="N1658" s="4">
        <f>IF(I1658&lt;=H1658,1,0)</f>
        <v/>
      </c>
      <c r="O1658" s="4">
        <f>IF(J1658&lt;=G1658,1,0)</f>
        <v/>
      </c>
      <c r="P1658" s="4">
        <f>MAX(0,I1658-H1658)</f>
        <v/>
      </c>
      <c r="Q1658" s="4">
        <f>MAX(0,J1658-G1658)</f>
        <v/>
      </c>
      <c r="R1658" s="4">
        <f>IF(AND(N1658=1,O1658=1),"On Track",IF(O1658=0,"Customer Delivery Late","Ship Late"))</f>
        <v/>
      </c>
    </row>
    <row r="1659">
      <c r="A1659" s="2" t="inlineStr">
        <is>
          <t>ORD-01658</t>
        </is>
      </c>
      <c r="B1659" s="2" t="inlineStr">
        <is>
          <t>Customer 17</t>
        </is>
      </c>
      <c r="C1659" s="2" t="inlineStr">
        <is>
          <t>Sensor</t>
        </is>
      </c>
      <c r="D1659" s="2" t="inlineStr">
        <is>
          <t>Plant B</t>
        </is>
      </c>
      <c r="E1659" s="2" t="inlineStr">
        <is>
          <t>South</t>
        </is>
      </c>
      <c r="F1659" s="12" t="n">
        <v>46071</v>
      </c>
      <c r="G1659" s="12" t="n">
        <v>46096</v>
      </c>
      <c r="H1659" s="12" t="n">
        <v>46091</v>
      </c>
      <c r="I1659" s="12" t="n">
        <v>46090</v>
      </c>
      <c r="J1659" s="12" t="n">
        <v>46099</v>
      </c>
      <c r="K1659" s="2" t="n">
        <v>212</v>
      </c>
      <c r="L1659" s="2" t="inlineStr">
        <is>
          <t>Air</t>
        </is>
      </c>
      <c r="M1659" s="2" t="inlineStr">
        <is>
          <t>Capacity Constraint</t>
        </is>
      </c>
      <c r="N1659" s="4">
        <f>IF(I1659&lt;=H1659,1,0)</f>
        <v/>
      </c>
      <c r="O1659" s="4">
        <f>IF(J1659&lt;=G1659,1,0)</f>
        <v/>
      </c>
      <c r="P1659" s="4">
        <f>MAX(0,I1659-H1659)</f>
        <v/>
      </c>
      <c r="Q1659" s="4">
        <f>MAX(0,J1659-G1659)</f>
        <v/>
      </c>
      <c r="R1659" s="4">
        <f>IF(AND(N1659=1,O1659=1),"On Track",IF(O1659=0,"Customer Delivery Late","Ship Late"))</f>
        <v/>
      </c>
    </row>
    <row r="1660">
      <c r="A1660" s="2" t="inlineStr">
        <is>
          <t>ORD-01659</t>
        </is>
      </c>
      <c r="B1660" s="2" t="inlineStr">
        <is>
          <t>Customer 06</t>
        </is>
      </c>
      <c r="C1660" s="2" t="inlineStr">
        <is>
          <t>PLC</t>
        </is>
      </c>
      <c r="D1660" s="2" t="inlineStr">
        <is>
          <t>Plant C</t>
        </is>
      </c>
      <c r="E1660" s="2" t="inlineStr">
        <is>
          <t>North</t>
        </is>
      </c>
      <c r="F1660" s="12" t="n">
        <v>46075</v>
      </c>
      <c r="G1660" s="12" t="n">
        <v>46093</v>
      </c>
      <c r="H1660" s="12" t="n">
        <v>46089</v>
      </c>
      <c r="I1660" s="12" t="n">
        <v>46087</v>
      </c>
      <c r="J1660" s="12" t="n">
        <v>46092</v>
      </c>
      <c r="K1660" s="2" t="n">
        <v>439</v>
      </c>
      <c r="L1660" s="2" t="inlineStr">
        <is>
          <t>Sea</t>
        </is>
      </c>
      <c r="M1660" s="2" t="inlineStr">
        <is>
          <t>No Delay</t>
        </is>
      </c>
      <c r="N1660" s="4">
        <f>IF(I1660&lt;=H1660,1,0)</f>
        <v/>
      </c>
      <c r="O1660" s="4">
        <f>IF(J1660&lt;=G1660,1,0)</f>
        <v/>
      </c>
      <c r="P1660" s="4">
        <f>MAX(0,I1660-H1660)</f>
        <v/>
      </c>
      <c r="Q1660" s="4">
        <f>MAX(0,J1660-G1660)</f>
        <v/>
      </c>
      <c r="R1660" s="4">
        <f>IF(AND(N1660=1,O1660=1),"On Track",IF(O1660=0,"Customer Delivery Late","Ship Late"))</f>
        <v/>
      </c>
    </row>
    <row r="1661">
      <c r="A1661" s="2" t="inlineStr">
        <is>
          <t>ORD-01660</t>
        </is>
      </c>
      <c r="B1661" s="2" t="inlineStr">
        <is>
          <t>Customer 16</t>
        </is>
      </c>
      <c r="C1661" s="2" t="inlineStr">
        <is>
          <t>Contactor</t>
        </is>
      </c>
      <c r="D1661" s="2" t="inlineStr">
        <is>
          <t>Plant B</t>
        </is>
      </c>
      <c r="E1661" s="2" t="inlineStr">
        <is>
          <t>South</t>
        </is>
      </c>
      <c r="F1661" s="12" t="n">
        <v>46151</v>
      </c>
      <c r="G1661" s="12" t="n">
        <v>46166</v>
      </c>
      <c r="H1661" s="12" t="n">
        <v>46162</v>
      </c>
      <c r="I1661" s="12" t="n">
        <v>46160</v>
      </c>
      <c r="J1661" s="12" t="n">
        <v>46165</v>
      </c>
      <c r="K1661" s="2" t="n">
        <v>1190</v>
      </c>
      <c r="L1661" s="2" t="inlineStr">
        <is>
          <t>Road</t>
        </is>
      </c>
      <c r="M1661" s="2" t="inlineStr">
        <is>
          <t>No Delay</t>
        </is>
      </c>
      <c r="N1661" s="4">
        <f>IF(I1661&lt;=H1661,1,0)</f>
        <v/>
      </c>
      <c r="O1661" s="4">
        <f>IF(J1661&lt;=G1661,1,0)</f>
        <v/>
      </c>
      <c r="P1661" s="4">
        <f>MAX(0,I1661-H1661)</f>
        <v/>
      </c>
      <c r="Q1661" s="4">
        <f>MAX(0,J1661-G1661)</f>
        <v/>
      </c>
      <c r="R1661" s="4">
        <f>IF(AND(N1661=1,O1661=1),"On Track",IF(O1661=0,"Customer Delivery Late","Ship Late"))</f>
        <v/>
      </c>
    </row>
    <row r="1662">
      <c r="A1662" s="2" t="inlineStr">
        <is>
          <t>ORD-01661</t>
        </is>
      </c>
      <c r="B1662" s="2" t="inlineStr">
        <is>
          <t>Customer 02</t>
        </is>
      </c>
      <c r="C1662" s="2" t="inlineStr">
        <is>
          <t>Drive</t>
        </is>
      </c>
      <c r="D1662" s="2" t="inlineStr">
        <is>
          <t>Plant B</t>
        </is>
      </c>
      <c r="E1662" s="2" t="inlineStr">
        <is>
          <t>Central</t>
        </is>
      </c>
      <c r="F1662" s="12" t="n">
        <v>46028</v>
      </c>
      <c r="G1662" s="12" t="n">
        <v>46052</v>
      </c>
      <c r="H1662" s="12" t="n">
        <v>46047</v>
      </c>
      <c r="I1662" s="12" t="n">
        <v>46045</v>
      </c>
      <c r="J1662" s="12" t="n">
        <v>46050</v>
      </c>
      <c r="K1662" s="2" t="n">
        <v>1157</v>
      </c>
      <c r="L1662" s="2" t="inlineStr">
        <is>
          <t>Air</t>
        </is>
      </c>
      <c r="M1662" s="2" t="inlineStr">
        <is>
          <t>No Delay</t>
        </is>
      </c>
      <c r="N1662" s="4">
        <f>IF(I1662&lt;=H1662,1,0)</f>
        <v/>
      </c>
      <c r="O1662" s="4">
        <f>IF(J1662&lt;=G1662,1,0)</f>
        <v/>
      </c>
      <c r="P1662" s="4">
        <f>MAX(0,I1662-H1662)</f>
        <v/>
      </c>
      <c r="Q1662" s="4">
        <f>MAX(0,J1662-G1662)</f>
        <v/>
      </c>
      <c r="R1662" s="4">
        <f>IF(AND(N1662=1,O1662=1),"On Track",IF(O1662=0,"Customer Delivery Late","Ship Late"))</f>
        <v/>
      </c>
    </row>
    <row r="1663">
      <c r="A1663" s="2" t="inlineStr">
        <is>
          <t>ORD-01662</t>
        </is>
      </c>
      <c r="B1663" s="2" t="inlineStr">
        <is>
          <t>Customer 18</t>
        </is>
      </c>
      <c r="C1663" s="2" t="inlineStr">
        <is>
          <t>Breaker</t>
        </is>
      </c>
      <c r="D1663" s="2" t="inlineStr">
        <is>
          <t>Plant C</t>
        </is>
      </c>
      <c r="E1663" s="2" t="inlineStr">
        <is>
          <t>Export</t>
        </is>
      </c>
      <c r="F1663" s="12" t="n">
        <v>46131</v>
      </c>
      <c r="G1663" s="12" t="n">
        <v>46154</v>
      </c>
      <c r="H1663" s="12" t="n">
        <v>46152</v>
      </c>
      <c r="I1663" s="12" t="n">
        <v>46151</v>
      </c>
      <c r="J1663" s="12" t="n">
        <v>46153</v>
      </c>
      <c r="K1663" s="2" t="n">
        <v>34</v>
      </c>
      <c r="L1663" s="2" t="inlineStr">
        <is>
          <t>Sea</t>
        </is>
      </c>
      <c r="M1663" s="2" t="inlineStr">
        <is>
          <t>No Delay</t>
        </is>
      </c>
      <c r="N1663" s="4">
        <f>IF(I1663&lt;=H1663,1,0)</f>
        <v/>
      </c>
      <c r="O1663" s="4">
        <f>IF(J1663&lt;=G1663,1,0)</f>
        <v/>
      </c>
      <c r="P1663" s="4">
        <f>MAX(0,I1663-H1663)</f>
        <v/>
      </c>
      <c r="Q1663" s="4">
        <f>MAX(0,J1663-G1663)</f>
        <v/>
      </c>
      <c r="R1663" s="4">
        <f>IF(AND(N1663=1,O1663=1),"On Track",IF(O1663=0,"Customer Delivery Late","Ship Late"))</f>
        <v/>
      </c>
    </row>
    <row r="1664">
      <c r="A1664" s="2" t="inlineStr">
        <is>
          <t>ORD-01663</t>
        </is>
      </c>
      <c r="B1664" s="2" t="inlineStr">
        <is>
          <t>Customer 26</t>
        </is>
      </c>
      <c r="C1664" s="2" t="inlineStr">
        <is>
          <t>Contactor</t>
        </is>
      </c>
      <c r="D1664" s="2" t="inlineStr">
        <is>
          <t>Plant A</t>
        </is>
      </c>
      <c r="E1664" s="2" t="inlineStr">
        <is>
          <t>Central</t>
        </is>
      </c>
      <c r="F1664" s="12" t="n">
        <v>46104</v>
      </c>
      <c r="G1664" s="12" t="n">
        <v>46115</v>
      </c>
      <c r="H1664" s="12" t="n">
        <v>46113</v>
      </c>
      <c r="I1664" s="12" t="n">
        <v>46111</v>
      </c>
      <c r="J1664" s="12" t="n">
        <v>46112</v>
      </c>
      <c r="K1664" s="2" t="n">
        <v>1100</v>
      </c>
      <c r="L1664" s="2" t="inlineStr">
        <is>
          <t>Road</t>
        </is>
      </c>
      <c r="M1664" s="2" t="inlineStr">
        <is>
          <t>No Delay</t>
        </is>
      </c>
      <c r="N1664" s="4">
        <f>IF(I1664&lt;=H1664,1,0)</f>
        <v/>
      </c>
      <c r="O1664" s="4">
        <f>IF(J1664&lt;=G1664,1,0)</f>
        <v/>
      </c>
      <c r="P1664" s="4">
        <f>MAX(0,I1664-H1664)</f>
        <v/>
      </c>
      <c r="Q1664" s="4">
        <f>MAX(0,J1664-G1664)</f>
        <v/>
      </c>
      <c r="R1664" s="4">
        <f>IF(AND(N1664=1,O1664=1),"On Track",IF(O1664=0,"Customer Delivery Late","Ship Late"))</f>
        <v/>
      </c>
    </row>
    <row r="1665">
      <c r="A1665" s="2" t="inlineStr">
        <is>
          <t>ORD-01664</t>
        </is>
      </c>
      <c r="B1665" s="2" t="inlineStr">
        <is>
          <t>Customer 14</t>
        </is>
      </c>
      <c r="C1665" s="2" t="inlineStr">
        <is>
          <t>Breaker</t>
        </is>
      </c>
      <c r="D1665" s="2" t="inlineStr">
        <is>
          <t>Plant C</t>
        </is>
      </c>
      <c r="E1665" s="2" t="inlineStr">
        <is>
          <t>North</t>
        </is>
      </c>
      <c r="F1665" s="12" t="n">
        <v>46169</v>
      </c>
      <c r="G1665" s="12" t="n">
        <v>46189</v>
      </c>
      <c r="H1665" s="12" t="n">
        <v>46186</v>
      </c>
      <c r="I1665" s="12" t="n">
        <v>46185</v>
      </c>
      <c r="J1665" s="12" t="n">
        <v>46187</v>
      </c>
      <c r="K1665" s="2" t="n">
        <v>1423</v>
      </c>
      <c r="L1665" s="2" t="inlineStr">
        <is>
          <t>Sea</t>
        </is>
      </c>
      <c r="M1665" s="2" t="inlineStr">
        <is>
          <t>No Delay</t>
        </is>
      </c>
      <c r="N1665" s="4">
        <f>IF(I1665&lt;=H1665,1,0)</f>
        <v/>
      </c>
      <c r="O1665" s="4">
        <f>IF(J1665&lt;=G1665,1,0)</f>
        <v/>
      </c>
      <c r="P1665" s="4">
        <f>MAX(0,I1665-H1665)</f>
        <v/>
      </c>
      <c r="Q1665" s="4">
        <f>MAX(0,J1665-G1665)</f>
        <v/>
      </c>
      <c r="R1665" s="4">
        <f>IF(AND(N1665=1,O1665=1),"On Track",IF(O1665=0,"Customer Delivery Late","Ship Late"))</f>
        <v/>
      </c>
    </row>
    <row r="1666">
      <c r="A1666" s="2" t="inlineStr">
        <is>
          <t>ORD-01665</t>
        </is>
      </c>
      <c r="B1666" s="2" t="inlineStr">
        <is>
          <t>Customer 02</t>
        </is>
      </c>
      <c r="C1666" s="2" t="inlineStr">
        <is>
          <t>Relay</t>
        </is>
      </c>
      <c r="D1666" s="2" t="inlineStr">
        <is>
          <t>Plant B</t>
        </is>
      </c>
      <c r="E1666" s="2" t="inlineStr">
        <is>
          <t>Central</t>
        </is>
      </c>
      <c r="F1666" s="12" t="n">
        <v>46106</v>
      </c>
      <c r="G1666" s="12" t="n">
        <v>46128</v>
      </c>
      <c r="H1666" s="12" t="n">
        <v>46127</v>
      </c>
      <c r="I1666" s="12" t="n">
        <v>46127</v>
      </c>
      <c r="J1666" s="12" t="n">
        <v>46128</v>
      </c>
      <c r="K1666" s="2" t="n">
        <v>1473</v>
      </c>
      <c r="L1666" s="2" t="inlineStr">
        <is>
          <t>Air</t>
        </is>
      </c>
      <c r="M1666" s="2" t="inlineStr">
        <is>
          <t>No Delay</t>
        </is>
      </c>
      <c r="N1666" s="4">
        <f>IF(I1666&lt;=H1666,1,0)</f>
        <v/>
      </c>
      <c r="O1666" s="4">
        <f>IF(J1666&lt;=G1666,1,0)</f>
        <v/>
      </c>
      <c r="P1666" s="4">
        <f>MAX(0,I1666-H1666)</f>
        <v/>
      </c>
      <c r="Q1666" s="4">
        <f>MAX(0,J1666-G1666)</f>
        <v/>
      </c>
      <c r="R1666" s="4">
        <f>IF(AND(N1666=1,O1666=1),"On Track",IF(O1666=0,"Customer Delivery Late","Ship Late"))</f>
        <v/>
      </c>
    </row>
    <row r="1667">
      <c r="A1667" s="2" t="inlineStr">
        <is>
          <t>ORD-01666</t>
        </is>
      </c>
      <c r="B1667" s="2" t="inlineStr">
        <is>
          <t>Customer 13</t>
        </is>
      </c>
      <c r="C1667" s="2" t="inlineStr">
        <is>
          <t>Relay</t>
        </is>
      </c>
      <c r="D1667" s="2" t="inlineStr">
        <is>
          <t>Plant B</t>
        </is>
      </c>
      <c r="E1667" s="2" t="inlineStr">
        <is>
          <t>North</t>
        </is>
      </c>
      <c r="F1667" s="12" t="n">
        <v>46075</v>
      </c>
      <c r="G1667" s="12" t="n">
        <v>46092</v>
      </c>
      <c r="H1667" s="12" t="n">
        <v>46091</v>
      </c>
      <c r="I1667" s="12" t="n">
        <v>46091</v>
      </c>
      <c r="J1667" s="12" t="n">
        <v>46092</v>
      </c>
      <c r="K1667" s="2" t="n">
        <v>454</v>
      </c>
      <c r="L1667" s="2" t="inlineStr">
        <is>
          <t>Sea</t>
        </is>
      </c>
      <c r="M1667" s="2" t="inlineStr">
        <is>
          <t>No Delay</t>
        </is>
      </c>
      <c r="N1667" s="4">
        <f>IF(I1667&lt;=H1667,1,0)</f>
        <v/>
      </c>
      <c r="O1667" s="4">
        <f>IF(J1667&lt;=G1667,1,0)</f>
        <v/>
      </c>
      <c r="P1667" s="4">
        <f>MAX(0,I1667-H1667)</f>
        <v/>
      </c>
      <c r="Q1667" s="4">
        <f>MAX(0,J1667-G1667)</f>
        <v/>
      </c>
      <c r="R1667" s="4">
        <f>IF(AND(N1667=1,O1667=1),"On Track",IF(O1667=0,"Customer Delivery Late","Ship Late"))</f>
        <v/>
      </c>
    </row>
    <row r="1668">
      <c r="A1668" s="2" t="inlineStr">
        <is>
          <t>ORD-01667</t>
        </is>
      </c>
      <c r="B1668" s="2" t="inlineStr">
        <is>
          <t>Customer 20</t>
        </is>
      </c>
      <c r="C1668" s="2" t="inlineStr">
        <is>
          <t>Breaker</t>
        </is>
      </c>
      <c r="D1668" s="2" t="inlineStr">
        <is>
          <t>Plant C</t>
        </is>
      </c>
      <c r="E1668" s="2" t="inlineStr">
        <is>
          <t>North</t>
        </is>
      </c>
      <c r="F1668" s="12" t="n">
        <v>46112</v>
      </c>
      <c r="G1668" s="12" t="n">
        <v>46133</v>
      </c>
      <c r="H1668" s="12" t="n">
        <v>46128</v>
      </c>
      <c r="I1668" s="12" t="n">
        <v>46126</v>
      </c>
      <c r="J1668" s="12" t="n">
        <v>46131</v>
      </c>
      <c r="K1668" s="2" t="n">
        <v>1293</v>
      </c>
      <c r="L1668" s="2" t="inlineStr">
        <is>
          <t>Air</t>
        </is>
      </c>
      <c r="M1668" s="2" t="inlineStr">
        <is>
          <t>No Delay</t>
        </is>
      </c>
      <c r="N1668" s="4">
        <f>IF(I1668&lt;=H1668,1,0)</f>
        <v/>
      </c>
      <c r="O1668" s="4">
        <f>IF(J1668&lt;=G1668,1,0)</f>
        <v/>
      </c>
      <c r="P1668" s="4">
        <f>MAX(0,I1668-H1668)</f>
        <v/>
      </c>
      <c r="Q1668" s="4">
        <f>MAX(0,J1668-G1668)</f>
        <v/>
      </c>
      <c r="R1668" s="4">
        <f>IF(AND(N1668=1,O1668=1),"On Track",IF(O1668=0,"Customer Delivery Late","Ship Late"))</f>
        <v/>
      </c>
    </row>
    <row r="1669">
      <c r="A1669" s="2" t="inlineStr">
        <is>
          <t>ORD-01668</t>
        </is>
      </c>
      <c r="B1669" s="2" t="inlineStr">
        <is>
          <t>Customer 03</t>
        </is>
      </c>
      <c r="C1669" s="2" t="inlineStr">
        <is>
          <t>Drive</t>
        </is>
      </c>
      <c r="D1669" s="2" t="inlineStr">
        <is>
          <t>Plant B</t>
        </is>
      </c>
      <c r="E1669" s="2" t="inlineStr">
        <is>
          <t>Export</t>
        </is>
      </c>
      <c r="F1669" s="12" t="n">
        <v>46162</v>
      </c>
      <c r="G1669" s="12" t="n">
        <v>46177</v>
      </c>
      <c r="H1669" s="12" t="n">
        <v>46173</v>
      </c>
      <c r="I1669" s="12" t="n">
        <v>46173</v>
      </c>
      <c r="J1669" s="12" t="n">
        <v>46177</v>
      </c>
      <c r="K1669" s="2" t="n">
        <v>500</v>
      </c>
      <c r="L1669" s="2" t="inlineStr">
        <is>
          <t>Sea</t>
        </is>
      </c>
      <c r="M1669" s="2" t="inlineStr">
        <is>
          <t>No Delay</t>
        </is>
      </c>
      <c r="N1669" s="4">
        <f>IF(I1669&lt;=H1669,1,0)</f>
        <v/>
      </c>
      <c r="O1669" s="4">
        <f>IF(J1669&lt;=G1669,1,0)</f>
        <v/>
      </c>
      <c r="P1669" s="4">
        <f>MAX(0,I1669-H1669)</f>
        <v/>
      </c>
      <c r="Q1669" s="4">
        <f>MAX(0,J1669-G1669)</f>
        <v/>
      </c>
      <c r="R1669" s="4">
        <f>IF(AND(N1669=1,O1669=1),"On Track",IF(O1669=0,"Customer Delivery Late","Ship Late"))</f>
        <v/>
      </c>
    </row>
    <row r="1670">
      <c r="A1670" s="2" t="inlineStr">
        <is>
          <t>ORD-01669</t>
        </is>
      </c>
      <c r="B1670" s="2" t="inlineStr">
        <is>
          <t>Customer 13</t>
        </is>
      </c>
      <c r="C1670" s="2" t="inlineStr">
        <is>
          <t>Breaker</t>
        </is>
      </c>
      <c r="D1670" s="2" t="inlineStr">
        <is>
          <t>Plant C</t>
        </is>
      </c>
      <c r="E1670" s="2" t="inlineStr">
        <is>
          <t>Central</t>
        </is>
      </c>
      <c r="F1670" s="12" t="n">
        <v>46147</v>
      </c>
      <c r="G1670" s="12" t="n">
        <v>46170</v>
      </c>
      <c r="H1670" s="12" t="n">
        <v>46168</v>
      </c>
      <c r="I1670" s="12" t="n">
        <v>46166</v>
      </c>
      <c r="J1670" s="12" t="n">
        <v>46168</v>
      </c>
      <c r="K1670" s="2" t="n">
        <v>1050</v>
      </c>
      <c r="L1670" s="2" t="inlineStr">
        <is>
          <t>Road</t>
        </is>
      </c>
      <c r="M1670" s="2" t="inlineStr">
        <is>
          <t>No Delay</t>
        </is>
      </c>
      <c r="N1670" s="4">
        <f>IF(I1670&lt;=H1670,1,0)</f>
        <v/>
      </c>
      <c r="O1670" s="4">
        <f>IF(J1670&lt;=G1670,1,0)</f>
        <v/>
      </c>
      <c r="P1670" s="4">
        <f>MAX(0,I1670-H1670)</f>
        <v/>
      </c>
      <c r="Q1670" s="4">
        <f>MAX(0,J1670-G1670)</f>
        <v/>
      </c>
      <c r="R1670" s="4">
        <f>IF(AND(N1670=1,O1670=1),"On Track",IF(O1670=0,"Customer Delivery Late","Ship Late"))</f>
        <v/>
      </c>
    </row>
    <row r="1671">
      <c r="A1671" s="2" t="inlineStr">
        <is>
          <t>ORD-01670</t>
        </is>
      </c>
      <c r="B1671" s="2" t="inlineStr">
        <is>
          <t>Customer 11</t>
        </is>
      </c>
      <c r="C1671" s="2" t="inlineStr">
        <is>
          <t>PLC</t>
        </is>
      </c>
      <c r="D1671" s="2" t="inlineStr">
        <is>
          <t>Plant B</t>
        </is>
      </c>
      <c r="E1671" s="2" t="inlineStr">
        <is>
          <t>Central</t>
        </is>
      </c>
      <c r="F1671" s="12" t="n">
        <v>46143</v>
      </c>
      <c r="G1671" s="12" t="n">
        <v>46163</v>
      </c>
      <c r="H1671" s="12" t="n">
        <v>46161</v>
      </c>
      <c r="I1671" s="12" t="n">
        <v>46159</v>
      </c>
      <c r="J1671" s="12" t="n">
        <v>46161</v>
      </c>
      <c r="K1671" s="2" t="n">
        <v>1077</v>
      </c>
      <c r="L1671" s="2" t="inlineStr">
        <is>
          <t>Road</t>
        </is>
      </c>
      <c r="M1671" s="2" t="inlineStr">
        <is>
          <t>No Delay</t>
        </is>
      </c>
      <c r="N1671" s="4">
        <f>IF(I1671&lt;=H1671,1,0)</f>
        <v/>
      </c>
      <c r="O1671" s="4">
        <f>IF(J1671&lt;=G1671,1,0)</f>
        <v/>
      </c>
      <c r="P1671" s="4">
        <f>MAX(0,I1671-H1671)</f>
        <v/>
      </c>
      <c r="Q1671" s="4">
        <f>MAX(0,J1671-G1671)</f>
        <v/>
      </c>
      <c r="R1671" s="4">
        <f>IF(AND(N1671=1,O1671=1),"On Track",IF(O1671=0,"Customer Delivery Late","Ship Late"))</f>
        <v/>
      </c>
    </row>
    <row r="1672">
      <c r="A1672" s="2" t="inlineStr">
        <is>
          <t>ORD-01671</t>
        </is>
      </c>
      <c r="B1672" s="2" t="inlineStr">
        <is>
          <t>Customer 04</t>
        </is>
      </c>
      <c r="C1672" s="2" t="inlineStr">
        <is>
          <t>Switchgear</t>
        </is>
      </c>
      <c r="D1672" s="2" t="inlineStr">
        <is>
          <t>Plant B</t>
        </is>
      </c>
      <c r="E1672" s="2" t="inlineStr">
        <is>
          <t>Central</t>
        </is>
      </c>
      <c r="F1672" s="12" t="n">
        <v>46119</v>
      </c>
      <c r="G1672" s="12" t="n">
        <v>46132</v>
      </c>
      <c r="H1672" s="12" t="n">
        <v>46129</v>
      </c>
      <c r="I1672" s="12" t="n">
        <v>46129</v>
      </c>
      <c r="J1672" s="12" t="n">
        <v>46131</v>
      </c>
      <c r="K1672" s="2" t="n">
        <v>695</v>
      </c>
      <c r="L1672" s="2" t="inlineStr">
        <is>
          <t>Sea</t>
        </is>
      </c>
      <c r="M1672" s="2" t="inlineStr">
        <is>
          <t>No Delay</t>
        </is>
      </c>
      <c r="N1672" s="4">
        <f>IF(I1672&lt;=H1672,1,0)</f>
        <v/>
      </c>
      <c r="O1672" s="4">
        <f>IF(J1672&lt;=G1672,1,0)</f>
        <v/>
      </c>
      <c r="P1672" s="4">
        <f>MAX(0,I1672-H1672)</f>
        <v/>
      </c>
      <c r="Q1672" s="4">
        <f>MAX(0,J1672-G1672)</f>
        <v/>
      </c>
      <c r="R1672" s="4">
        <f>IF(AND(N1672=1,O1672=1),"On Track",IF(O1672=0,"Customer Delivery Late","Ship Late"))</f>
        <v/>
      </c>
    </row>
    <row r="1673">
      <c r="A1673" s="2" t="inlineStr">
        <is>
          <t>ORD-01672</t>
        </is>
      </c>
      <c r="B1673" s="2" t="inlineStr">
        <is>
          <t>Customer 22</t>
        </is>
      </c>
      <c r="C1673" s="2" t="inlineStr">
        <is>
          <t>Breaker</t>
        </is>
      </c>
      <c r="D1673" s="2" t="inlineStr">
        <is>
          <t>Plant A</t>
        </is>
      </c>
      <c r="E1673" s="2" t="inlineStr">
        <is>
          <t>Export</t>
        </is>
      </c>
      <c r="F1673" s="12" t="n">
        <v>46185</v>
      </c>
      <c r="G1673" s="12" t="n">
        <v>46199</v>
      </c>
      <c r="H1673" s="12" t="n">
        <v>46195</v>
      </c>
      <c r="I1673" s="12" t="n">
        <v>46193</v>
      </c>
      <c r="J1673" s="12" t="n">
        <v>46196</v>
      </c>
      <c r="K1673" s="2" t="n">
        <v>448</v>
      </c>
      <c r="L1673" s="2" t="inlineStr">
        <is>
          <t>Road</t>
        </is>
      </c>
      <c r="M1673" s="2" t="inlineStr">
        <is>
          <t>No Delay</t>
        </is>
      </c>
      <c r="N1673" s="4">
        <f>IF(I1673&lt;=H1673,1,0)</f>
        <v/>
      </c>
      <c r="O1673" s="4">
        <f>IF(J1673&lt;=G1673,1,0)</f>
        <v/>
      </c>
      <c r="P1673" s="4">
        <f>MAX(0,I1673-H1673)</f>
        <v/>
      </c>
      <c r="Q1673" s="4">
        <f>MAX(0,J1673-G1673)</f>
        <v/>
      </c>
      <c r="R1673" s="4">
        <f>IF(AND(N1673=1,O1673=1),"On Track",IF(O1673=0,"Customer Delivery Late","Ship Late"))</f>
        <v/>
      </c>
    </row>
    <row r="1674">
      <c r="A1674" s="2" t="inlineStr">
        <is>
          <t>ORD-01673</t>
        </is>
      </c>
      <c r="B1674" s="2" t="inlineStr">
        <is>
          <t>Customer 09</t>
        </is>
      </c>
      <c r="C1674" s="2" t="inlineStr">
        <is>
          <t>Sensor</t>
        </is>
      </c>
      <c r="D1674" s="2" t="inlineStr">
        <is>
          <t>Plant C</t>
        </is>
      </c>
      <c r="E1674" s="2" t="inlineStr">
        <is>
          <t>South</t>
        </is>
      </c>
      <c r="F1674" s="12" t="n">
        <v>46090</v>
      </c>
      <c r="G1674" s="12" t="n">
        <v>46099</v>
      </c>
      <c r="H1674" s="12" t="n">
        <v>46095</v>
      </c>
      <c r="I1674" s="12" t="n">
        <v>46094</v>
      </c>
      <c r="J1674" s="12" t="n">
        <v>46099</v>
      </c>
      <c r="K1674" s="2" t="n">
        <v>938</v>
      </c>
      <c r="L1674" s="2" t="inlineStr">
        <is>
          <t>Road</t>
        </is>
      </c>
      <c r="M1674" s="2" t="inlineStr">
        <is>
          <t>No Delay</t>
        </is>
      </c>
      <c r="N1674" s="4">
        <f>IF(I1674&lt;=H1674,1,0)</f>
        <v/>
      </c>
      <c r="O1674" s="4">
        <f>IF(J1674&lt;=G1674,1,0)</f>
        <v/>
      </c>
      <c r="P1674" s="4">
        <f>MAX(0,I1674-H1674)</f>
        <v/>
      </c>
      <c r="Q1674" s="4">
        <f>MAX(0,J1674-G1674)</f>
        <v/>
      </c>
      <c r="R1674" s="4">
        <f>IF(AND(N1674=1,O1674=1),"On Track",IF(O1674=0,"Customer Delivery Late","Ship Late"))</f>
        <v/>
      </c>
    </row>
    <row r="1675">
      <c r="A1675" s="2" t="inlineStr">
        <is>
          <t>ORD-01674</t>
        </is>
      </c>
      <c r="B1675" s="2" t="inlineStr">
        <is>
          <t>Customer 26</t>
        </is>
      </c>
      <c r="C1675" s="2" t="inlineStr">
        <is>
          <t>Breaker</t>
        </is>
      </c>
      <c r="D1675" s="2" t="inlineStr">
        <is>
          <t>Plant B</t>
        </is>
      </c>
      <c r="E1675" s="2" t="inlineStr">
        <is>
          <t>Export</t>
        </is>
      </c>
      <c r="F1675" s="12" t="n">
        <v>46158</v>
      </c>
      <c r="G1675" s="12" t="n">
        <v>46181</v>
      </c>
      <c r="H1675" s="12" t="n">
        <v>46179</v>
      </c>
      <c r="I1675" s="12" t="n">
        <v>46177</v>
      </c>
      <c r="J1675" s="12" t="n">
        <v>46180</v>
      </c>
      <c r="K1675" s="2" t="n">
        <v>833</v>
      </c>
      <c r="L1675" s="2" t="inlineStr">
        <is>
          <t>Air</t>
        </is>
      </c>
      <c r="M1675" s="2" t="inlineStr">
        <is>
          <t>No Delay</t>
        </is>
      </c>
      <c r="N1675" s="4">
        <f>IF(I1675&lt;=H1675,1,0)</f>
        <v/>
      </c>
      <c r="O1675" s="4">
        <f>IF(J1675&lt;=G1675,1,0)</f>
        <v/>
      </c>
      <c r="P1675" s="4">
        <f>MAX(0,I1675-H1675)</f>
        <v/>
      </c>
      <c r="Q1675" s="4">
        <f>MAX(0,J1675-G1675)</f>
        <v/>
      </c>
      <c r="R1675" s="4">
        <f>IF(AND(N1675=1,O1675=1),"On Track",IF(O1675=0,"Customer Delivery Late","Ship Late"))</f>
        <v/>
      </c>
    </row>
    <row r="1676">
      <c r="A1676" s="2" t="inlineStr">
        <is>
          <t>ORD-01675</t>
        </is>
      </c>
      <c r="B1676" s="2" t="inlineStr">
        <is>
          <t>Customer 25</t>
        </is>
      </c>
      <c r="C1676" s="2" t="inlineStr">
        <is>
          <t>Sensor</t>
        </is>
      </c>
      <c r="D1676" s="2" t="inlineStr">
        <is>
          <t>Plant B</t>
        </is>
      </c>
      <c r="E1676" s="2" t="inlineStr">
        <is>
          <t>South</t>
        </is>
      </c>
      <c r="F1676" s="12" t="n">
        <v>46200</v>
      </c>
      <c r="G1676" s="12" t="n">
        <v>46224</v>
      </c>
      <c r="H1676" s="12" t="n">
        <v>46223</v>
      </c>
      <c r="I1676" s="12" t="n">
        <v>46221</v>
      </c>
      <c r="J1676" s="12" t="n">
        <v>46223</v>
      </c>
      <c r="K1676" s="2" t="n">
        <v>239</v>
      </c>
      <c r="L1676" s="2" t="inlineStr">
        <is>
          <t>Sea</t>
        </is>
      </c>
      <c r="M1676" s="2" t="inlineStr">
        <is>
          <t>No Delay</t>
        </is>
      </c>
      <c r="N1676" s="4">
        <f>IF(I1676&lt;=H1676,1,0)</f>
        <v/>
      </c>
      <c r="O1676" s="4">
        <f>IF(J1676&lt;=G1676,1,0)</f>
        <v/>
      </c>
      <c r="P1676" s="4">
        <f>MAX(0,I1676-H1676)</f>
        <v/>
      </c>
      <c r="Q1676" s="4">
        <f>MAX(0,J1676-G1676)</f>
        <v/>
      </c>
      <c r="R1676" s="4">
        <f>IF(AND(N1676=1,O1676=1),"On Track",IF(O1676=0,"Customer Delivery Late","Ship Late"))</f>
        <v/>
      </c>
    </row>
    <row r="1677">
      <c r="A1677" s="2" t="inlineStr">
        <is>
          <t>ORD-01676</t>
        </is>
      </c>
      <c r="B1677" s="2" t="inlineStr">
        <is>
          <t>Customer 09</t>
        </is>
      </c>
      <c r="C1677" s="2" t="inlineStr">
        <is>
          <t>PLC</t>
        </is>
      </c>
      <c r="D1677" s="2" t="inlineStr">
        <is>
          <t>Plant A</t>
        </is>
      </c>
      <c r="E1677" s="2" t="inlineStr">
        <is>
          <t>Export</t>
        </is>
      </c>
      <c r="F1677" s="12" t="n">
        <v>46083</v>
      </c>
      <c r="G1677" s="12" t="n">
        <v>46098</v>
      </c>
      <c r="H1677" s="12" t="n">
        <v>46093</v>
      </c>
      <c r="I1677" s="12" t="n">
        <v>46092</v>
      </c>
      <c r="J1677" s="12" t="n">
        <v>46097</v>
      </c>
      <c r="K1677" s="2" t="n">
        <v>1142</v>
      </c>
      <c r="L1677" s="2" t="inlineStr">
        <is>
          <t>Sea</t>
        </is>
      </c>
      <c r="M1677" s="2" t="inlineStr">
        <is>
          <t>No Delay</t>
        </is>
      </c>
      <c r="N1677" s="4">
        <f>IF(I1677&lt;=H1677,1,0)</f>
        <v/>
      </c>
      <c r="O1677" s="4">
        <f>IF(J1677&lt;=G1677,1,0)</f>
        <v/>
      </c>
      <c r="P1677" s="4">
        <f>MAX(0,I1677-H1677)</f>
        <v/>
      </c>
      <c r="Q1677" s="4">
        <f>MAX(0,J1677-G1677)</f>
        <v/>
      </c>
      <c r="R1677" s="4">
        <f>IF(AND(N1677=1,O1677=1),"On Track",IF(O1677=0,"Customer Delivery Late","Ship Late"))</f>
        <v/>
      </c>
    </row>
    <row r="1678">
      <c r="A1678" s="2" t="inlineStr">
        <is>
          <t>ORD-01677</t>
        </is>
      </c>
      <c r="B1678" s="2" t="inlineStr">
        <is>
          <t>Customer 07</t>
        </is>
      </c>
      <c r="C1678" s="2" t="inlineStr">
        <is>
          <t>Contactor</t>
        </is>
      </c>
      <c r="D1678" s="2" t="inlineStr">
        <is>
          <t>Plant C</t>
        </is>
      </c>
      <c r="E1678" s="2" t="inlineStr">
        <is>
          <t>Export</t>
        </is>
      </c>
      <c r="F1678" s="12" t="n">
        <v>46053</v>
      </c>
      <c r="G1678" s="12" t="n">
        <v>46061</v>
      </c>
      <c r="H1678" s="12" t="n">
        <v>46057</v>
      </c>
      <c r="I1678" s="12" t="n">
        <v>46056</v>
      </c>
      <c r="J1678" s="12" t="n">
        <v>46060</v>
      </c>
      <c r="K1678" s="2" t="n">
        <v>430</v>
      </c>
      <c r="L1678" s="2" t="inlineStr">
        <is>
          <t>Sea</t>
        </is>
      </c>
      <c r="M1678" s="2" t="inlineStr">
        <is>
          <t>No Delay</t>
        </is>
      </c>
      <c r="N1678" s="4">
        <f>IF(I1678&lt;=H1678,1,0)</f>
        <v/>
      </c>
      <c r="O1678" s="4">
        <f>IF(J1678&lt;=G1678,1,0)</f>
        <v/>
      </c>
      <c r="P1678" s="4">
        <f>MAX(0,I1678-H1678)</f>
        <v/>
      </c>
      <c r="Q1678" s="4">
        <f>MAX(0,J1678-G1678)</f>
        <v/>
      </c>
      <c r="R1678" s="4">
        <f>IF(AND(N1678=1,O1678=1),"On Track",IF(O1678=0,"Customer Delivery Late","Ship Late"))</f>
        <v/>
      </c>
    </row>
    <row r="1679">
      <c r="A1679" s="2" t="inlineStr">
        <is>
          <t>ORD-01678</t>
        </is>
      </c>
      <c r="B1679" s="2" t="inlineStr">
        <is>
          <t>Customer 25</t>
        </is>
      </c>
      <c r="C1679" s="2" t="inlineStr">
        <is>
          <t>Switchgear</t>
        </is>
      </c>
      <c r="D1679" s="2" t="inlineStr">
        <is>
          <t>Plant B</t>
        </is>
      </c>
      <c r="E1679" s="2" t="inlineStr">
        <is>
          <t>North</t>
        </is>
      </c>
      <c r="F1679" s="12" t="n">
        <v>46143</v>
      </c>
      <c r="G1679" s="12" t="n">
        <v>46162</v>
      </c>
      <c r="H1679" s="12" t="n">
        <v>46159</v>
      </c>
      <c r="I1679" s="12" t="n">
        <v>46157</v>
      </c>
      <c r="J1679" s="12" t="n">
        <v>46160</v>
      </c>
      <c r="K1679" s="2" t="n">
        <v>524</v>
      </c>
      <c r="L1679" s="2" t="inlineStr">
        <is>
          <t>Road</t>
        </is>
      </c>
      <c r="M1679" s="2" t="inlineStr">
        <is>
          <t>No Delay</t>
        </is>
      </c>
      <c r="N1679" s="4">
        <f>IF(I1679&lt;=H1679,1,0)</f>
        <v/>
      </c>
      <c r="O1679" s="4">
        <f>IF(J1679&lt;=G1679,1,0)</f>
        <v/>
      </c>
      <c r="P1679" s="4">
        <f>MAX(0,I1679-H1679)</f>
        <v/>
      </c>
      <c r="Q1679" s="4">
        <f>MAX(0,J1679-G1679)</f>
        <v/>
      </c>
      <c r="R1679" s="4">
        <f>IF(AND(N1679=1,O1679=1),"On Track",IF(O1679=0,"Customer Delivery Late","Ship Late"))</f>
        <v/>
      </c>
    </row>
    <row r="1680">
      <c r="A1680" s="2" t="inlineStr">
        <is>
          <t>ORD-01679</t>
        </is>
      </c>
      <c r="B1680" s="2" t="inlineStr">
        <is>
          <t>Customer 21</t>
        </is>
      </c>
      <c r="C1680" s="2" t="inlineStr">
        <is>
          <t>Power Supply</t>
        </is>
      </c>
      <c r="D1680" s="2" t="inlineStr">
        <is>
          <t>Plant A</t>
        </is>
      </c>
      <c r="E1680" s="2" t="inlineStr">
        <is>
          <t>Central</t>
        </is>
      </c>
      <c r="F1680" s="12" t="n">
        <v>46082</v>
      </c>
      <c r="G1680" s="12" t="n">
        <v>46087</v>
      </c>
      <c r="H1680" s="12" t="n">
        <v>46082</v>
      </c>
      <c r="I1680" s="12" t="n">
        <v>46080</v>
      </c>
      <c r="J1680" s="12" t="n">
        <v>46085</v>
      </c>
      <c r="K1680" s="2" t="n">
        <v>1126</v>
      </c>
      <c r="L1680" s="2" t="inlineStr">
        <is>
          <t>Road</t>
        </is>
      </c>
      <c r="M1680" s="2" t="inlineStr">
        <is>
          <t>No Delay</t>
        </is>
      </c>
      <c r="N1680" s="4">
        <f>IF(I1680&lt;=H1680,1,0)</f>
        <v/>
      </c>
      <c r="O1680" s="4">
        <f>IF(J1680&lt;=G1680,1,0)</f>
        <v/>
      </c>
      <c r="P1680" s="4">
        <f>MAX(0,I1680-H1680)</f>
        <v/>
      </c>
      <c r="Q1680" s="4">
        <f>MAX(0,J1680-G1680)</f>
        <v/>
      </c>
      <c r="R1680" s="4">
        <f>IF(AND(N1680=1,O1680=1),"On Track",IF(O1680=0,"Customer Delivery Late","Ship Late"))</f>
        <v/>
      </c>
    </row>
    <row r="1681">
      <c r="A1681" s="2" t="inlineStr">
        <is>
          <t>ORD-01680</t>
        </is>
      </c>
      <c r="B1681" s="2" t="inlineStr">
        <is>
          <t>Customer 28</t>
        </is>
      </c>
      <c r="C1681" s="2" t="inlineStr">
        <is>
          <t>Relay</t>
        </is>
      </c>
      <c r="D1681" s="2" t="inlineStr">
        <is>
          <t>Plant A</t>
        </is>
      </c>
      <c r="E1681" s="2" t="inlineStr">
        <is>
          <t>North</t>
        </is>
      </c>
      <c r="F1681" s="12" t="n">
        <v>46124</v>
      </c>
      <c r="G1681" s="12" t="n">
        <v>46133</v>
      </c>
      <c r="H1681" s="12" t="n">
        <v>46130</v>
      </c>
      <c r="I1681" s="12" t="n">
        <v>46128</v>
      </c>
      <c r="J1681" s="12" t="n">
        <v>46131</v>
      </c>
      <c r="K1681" s="2" t="n">
        <v>1261</v>
      </c>
      <c r="L1681" s="2" t="inlineStr">
        <is>
          <t>Road</t>
        </is>
      </c>
      <c r="M1681" s="2" t="inlineStr">
        <is>
          <t>No Delay</t>
        </is>
      </c>
      <c r="N1681" s="4">
        <f>IF(I1681&lt;=H1681,1,0)</f>
        <v/>
      </c>
      <c r="O1681" s="4">
        <f>IF(J1681&lt;=G1681,1,0)</f>
        <v/>
      </c>
      <c r="P1681" s="4">
        <f>MAX(0,I1681-H1681)</f>
        <v/>
      </c>
      <c r="Q1681" s="4">
        <f>MAX(0,J1681-G1681)</f>
        <v/>
      </c>
      <c r="R1681" s="4">
        <f>IF(AND(N1681=1,O1681=1),"On Track",IF(O1681=0,"Customer Delivery Late","Ship Late"))</f>
        <v/>
      </c>
    </row>
    <row r="1682">
      <c r="A1682" s="2" t="inlineStr">
        <is>
          <t>ORD-01681</t>
        </is>
      </c>
      <c r="B1682" s="2" t="inlineStr">
        <is>
          <t>Customer 02</t>
        </is>
      </c>
      <c r="C1682" s="2" t="inlineStr">
        <is>
          <t>Switchgear</t>
        </is>
      </c>
      <c r="D1682" s="2" t="inlineStr">
        <is>
          <t>Plant C</t>
        </is>
      </c>
      <c r="E1682" s="2" t="inlineStr">
        <is>
          <t>South</t>
        </is>
      </c>
      <c r="F1682" s="12" t="n">
        <v>46190</v>
      </c>
      <c r="G1682" s="12" t="n">
        <v>46206</v>
      </c>
      <c r="H1682" s="12" t="n">
        <v>46202</v>
      </c>
      <c r="I1682" s="12" t="n">
        <v>46200</v>
      </c>
      <c r="J1682" s="12" t="n">
        <v>46204</v>
      </c>
      <c r="K1682" s="2" t="n">
        <v>214</v>
      </c>
      <c r="L1682" s="2" t="inlineStr">
        <is>
          <t>Sea</t>
        </is>
      </c>
      <c r="M1682" s="2" t="inlineStr">
        <is>
          <t>No Delay</t>
        </is>
      </c>
      <c r="N1682" s="4">
        <f>IF(I1682&lt;=H1682,1,0)</f>
        <v/>
      </c>
      <c r="O1682" s="4">
        <f>IF(J1682&lt;=G1682,1,0)</f>
        <v/>
      </c>
      <c r="P1682" s="4">
        <f>MAX(0,I1682-H1682)</f>
        <v/>
      </c>
      <c r="Q1682" s="4">
        <f>MAX(0,J1682-G1682)</f>
        <v/>
      </c>
      <c r="R1682" s="4">
        <f>IF(AND(N1682=1,O1682=1),"On Track",IF(O1682=0,"Customer Delivery Late","Ship Late"))</f>
        <v/>
      </c>
    </row>
    <row r="1683">
      <c r="A1683" s="2" t="inlineStr">
        <is>
          <t>ORD-01682</t>
        </is>
      </c>
      <c r="B1683" s="2" t="inlineStr">
        <is>
          <t>Customer 23</t>
        </is>
      </c>
      <c r="C1683" s="2" t="inlineStr">
        <is>
          <t>Sensor</t>
        </is>
      </c>
      <c r="D1683" s="2" t="inlineStr">
        <is>
          <t>Plant A</t>
        </is>
      </c>
      <c r="E1683" s="2" t="inlineStr">
        <is>
          <t>Central</t>
        </is>
      </c>
      <c r="F1683" s="12" t="n">
        <v>46078</v>
      </c>
      <c r="G1683" s="12" t="n">
        <v>46088</v>
      </c>
      <c r="H1683" s="12" t="n">
        <v>46085</v>
      </c>
      <c r="I1683" s="12" t="n">
        <v>46083</v>
      </c>
      <c r="J1683" s="12" t="n">
        <v>46085</v>
      </c>
      <c r="K1683" s="2" t="n">
        <v>305</v>
      </c>
      <c r="L1683" s="2" t="inlineStr">
        <is>
          <t>Air</t>
        </is>
      </c>
      <c r="M1683" s="2" t="inlineStr">
        <is>
          <t>No Delay</t>
        </is>
      </c>
      <c r="N1683" s="4">
        <f>IF(I1683&lt;=H1683,1,0)</f>
        <v/>
      </c>
      <c r="O1683" s="4">
        <f>IF(J1683&lt;=G1683,1,0)</f>
        <v/>
      </c>
      <c r="P1683" s="4">
        <f>MAX(0,I1683-H1683)</f>
        <v/>
      </c>
      <c r="Q1683" s="4">
        <f>MAX(0,J1683-G1683)</f>
        <v/>
      </c>
      <c r="R1683" s="4">
        <f>IF(AND(N1683=1,O1683=1),"On Track",IF(O1683=0,"Customer Delivery Late","Ship Late"))</f>
        <v/>
      </c>
    </row>
    <row r="1684">
      <c r="A1684" s="2" t="inlineStr">
        <is>
          <t>ORD-01683</t>
        </is>
      </c>
      <c r="B1684" s="2" t="inlineStr">
        <is>
          <t>Customer 09</t>
        </is>
      </c>
      <c r="C1684" s="2" t="inlineStr">
        <is>
          <t>Power Supply</t>
        </is>
      </c>
      <c r="D1684" s="2" t="inlineStr">
        <is>
          <t>Plant A</t>
        </is>
      </c>
      <c r="E1684" s="2" t="inlineStr">
        <is>
          <t>Central</t>
        </is>
      </c>
      <c r="F1684" s="12" t="n">
        <v>46162</v>
      </c>
      <c r="G1684" s="12" t="n">
        <v>46181</v>
      </c>
      <c r="H1684" s="12" t="n">
        <v>46180</v>
      </c>
      <c r="I1684" s="12" t="n">
        <v>46180</v>
      </c>
      <c r="J1684" s="12" t="n">
        <v>46181</v>
      </c>
      <c r="K1684" s="2" t="n">
        <v>373</v>
      </c>
      <c r="L1684" s="2" t="inlineStr">
        <is>
          <t>Air</t>
        </is>
      </c>
      <c r="M1684" s="2" t="inlineStr">
        <is>
          <t>No Delay</t>
        </is>
      </c>
      <c r="N1684" s="4">
        <f>IF(I1684&lt;=H1684,1,0)</f>
        <v/>
      </c>
      <c r="O1684" s="4">
        <f>IF(J1684&lt;=G1684,1,0)</f>
        <v/>
      </c>
      <c r="P1684" s="4">
        <f>MAX(0,I1684-H1684)</f>
        <v/>
      </c>
      <c r="Q1684" s="4">
        <f>MAX(0,J1684-G1684)</f>
        <v/>
      </c>
      <c r="R1684" s="4">
        <f>IF(AND(N1684=1,O1684=1),"On Track",IF(O1684=0,"Customer Delivery Late","Ship Late"))</f>
        <v/>
      </c>
    </row>
    <row r="1685">
      <c r="A1685" s="2" t="inlineStr">
        <is>
          <t>ORD-01684</t>
        </is>
      </c>
      <c r="B1685" s="2" t="inlineStr">
        <is>
          <t>Customer 29</t>
        </is>
      </c>
      <c r="C1685" s="2" t="inlineStr">
        <is>
          <t>PLC</t>
        </is>
      </c>
      <c r="D1685" s="2" t="inlineStr">
        <is>
          <t>Plant A</t>
        </is>
      </c>
      <c r="E1685" s="2" t="inlineStr">
        <is>
          <t>Export</t>
        </is>
      </c>
      <c r="F1685" s="12" t="n">
        <v>46043</v>
      </c>
      <c r="G1685" s="12" t="n">
        <v>46063</v>
      </c>
      <c r="H1685" s="12" t="n">
        <v>46060</v>
      </c>
      <c r="I1685" s="12" t="n">
        <v>46058</v>
      </c>
      <c r="J1685" s="12" t="n">
        <v>46060</v>
      </c>
      <c r="K1685" s="2" t="n">
        <v>214</v>
      </c>
      <c r="L1685" s="2" t="inlineStr">
        <is>
          <t>Road</t>
        </is>
      </c>
      <c r="M1685" s="2" t="inlineStr">
        <is>
          <t>No Delay</t>
        </is>
      </c>
      <c r="N1685" s="4">
        <f>IF(I1685&lt;=H1685,1,0)</f>
        <v/>
      </c>
      <c r="O1685" s="4">
        <f>IF(J1685&lt;=G1685,1,0)</f>
        <v/>
      </c>
      <c r="P1685" s="4">
        <f>MAX(0,I1685-H1685)</f>
        <v/>
      </c>
      <c r="Q1685" s="4">
        <f>MAX(0,J1685-G1685)</f>
        <v/>
      </c>
      <c r="R1685" s="4">
        <f>IF(AND(N1685=1,O1685=1),"On Track",IF(O1685=0,"Customer Delivery Late","Ship Late"))</f>
        <v/>
      </c>
    </row>
    <row r="1686">
      <c r="A1686" s="2" t="inlineStr">
        <is>
          <t>ORD-01685</t>
        </is>
      </c>
      <c r="B1686" s="2" t="inlineStr">
        <is>
          <t>Customer 23</t>
        </is>
      </c>
      <c r="C1686" s="2" t="inlineStr">
        <is>
          <t>Power Supply</t>
        </is>
      </c>
      <c r="D1686" s="2" t="inlineStr">
        <is>
          <t>Plant A</t>
        </is>
      </c>
      <c r="E1686" s="2" t="inlineStr">
        <is>
          <t>North</t>
        </is>
      </c>
      <c r="F1686" s="12" t="n">
        <v>46159</v>
      </c>
      <c r="G1686" s="12" t="n">
        <v>46183</v>
      </c>
      <c r="H1686" s="12" t="n">
        <v>46182</v>
      </c>
      <c r="I1686" s="12" t="n">
        <v>46181</v>
      </c>
      <c r="J1686" s="12" t="n">
        <v>46183</v>
      </c>
      <c r="K1686" s="2" t="n">
        <v>982</v>
      </c>
      <c r="L1686" s="2" t="inlineStr">
        <is>
          <t>Road</t>
        </is>
      </c>
      <c r="M1686" s="2" t="inlineStr">
        <is>
          <t>No Delay</t>
        </is>
      </c>
      <c r="N1686" s="4">
        <f>IF(I1686&lt;=H1686,1,0)</f>
        <v/>
      </c>
      <c r="O1686" s="4">
        <f>IF(J1686&lt;=G1686,1,0)</f>
        <v/>
      </c>
      <c r="P1686" s="4">
        <f>MAX(0,I1686-H1686)</f>
        <v/>
      </c>
      <c r="Q1686" s="4">
        <f>MAX(0,J1686-G1686)</f>
        <v/>
      </c>
      <c r="R1686" s="4">
        <f>IF(AND(N1686=1,O1686=1),"On Track",IF(O1686=0,"Customer Delivery Late","Ship Late"))</f>
        <v/>
      </c>
    </row>
    <row r="1687">
      <c r="A1687" s="2" t="inlineStr">
        <is>
          <t>ORD-01686</t>
        </is>
      </c>
      <c r="B1687" s="2" t="inlineStr">
        <is>
          <t>Customer 05</t>
        </is>
      </c>
      <c r="C1687" s="2" t="inlineStr">
        <is>
          <t>Breaker</t>
        </is>
      </c>
      <c r="D1687" s="2" t="inlineStr">
        <is>
          <t>Plant A</t>
        </is>
      </c>
      <c r="E1687" s="2" t="inlineStr">
        <is>
          <t>South</t>
        </is>
      </c>
      <c r="F1687" s="12" t="n">
        <v>46061</v>
      </c>
      <c r="G1687" s="12" t="n">
        <v>46083</v>
      </c>
      <c r="H1687" s="12" t="n">
        <v>46079</v>
      </c>
      <c r="I1687" s="12" t="n">
        <v>46079</v>
      </c>
      <c r="J1687" s="12" t="n">
        <v>46082</v>
      </c>
      <c r="K1687" s="2" t="n">
        <v>494</v>
      </c>
      <c r="L1687" s="2" t="inlineStr">
        <is>
          <t>Air</t>
        </is>
      </c>
      <c r="M1687" s="2" t="inlineStr">
        <is>
          <t>No Delay</t>
        </is>
      </c>
      <c r="N1687" s="4">
        <f>IF(I1687&lt;=H1687,1,0)</f>
        <v/>
      </c>
      <c r="O1687" s="4">
        <f>IF(J1687&lt;=G1687,1,0)</f>
        <v/>
      </c>
      <c r="P1687" s="4">
        <f>MAX(0,I1687-H1687)</f>
        <v/>
      </c>
      <c r="Q1687" s="4">
        <f>MAX(0,J1687-G1687)</f>
        <v/>
      </c>
      <c r="R1687" s="4">
        <f>IF(AND(N1687=1,O1687=1),"On Track",IF(O1687=0,"Customer Delivery Late","Ship Late"))</f>
        <v/>
      </c>
    </row>
    <row r="1688">
      <c r="A1688" s="2" t="inlineStr">
        <is>
          <t>ORD-01687</t>
        </is>
      </c>
      <c r="B1688" s="2" t="inlineStr">
        <is>
          <t>Customer 01</t>
        </is>
      </c>
      <c r="C1688" s="2" t="inlineStr">
        <is>
          <t>Drive</t>
        </is>
      </c>
      <c r="D1688" s="2" t="inlineStr">
        <is>
          <t>Plant B</t>
        </is>
      </c>
      <c r="E1688" s="2" t="inlineStr">
        <is>
          <t>Export</t>
        </is>
      </c>
      <c r="F1688" s="12" t="n">
        <v>46129</v>
      </c>
      <c r="G1688" s="12" t="n">
        <v>46138</v>
      </c>
      <c r="H1688" s="12" t="n">
        <v>46137</v>
      </c>
      <c r="I1688" s="12" t="n">
        <v>46135</v>
      </c>
      <c r="J1688" s="12" t="n">
        <v>46137</v>
      </c>
      <c r="K1688" s="2" t="n">
        <v>1248</v>
      </c>
      <c r="L1688" s="2" t="inlineStr">
        <is>
          <t>Air</t>
        </is>
      </c>
      <c r="M1688" s="2" t="inlineStr">
        <is>
          <t>No Delay</t>
        </is>
      </c>
      <c r="N1688" s="4">
        <f>IF(I1688&lt;=H1688,1,0)</f>
        <v/>
      </c>
      <c r="O1688" s="4">
        <f>IF(J1688&lt;=G1688,1,0)</f>
        <v/>
      </c>
      <c r="P1688" s="4">
        <f>MAX(0,I1688-H1688)</f>
        <v/>
      </c>
      <c r="Q1688" s="4">
        <f>MAX(0,J1688-G1688)</f>
        <v/>
      </c>
      <c r="R1688" s="4">
        <f>IF(AND(N1688=1,O1688=1),"On Track",IF(O1688=0,"Customer Delivery Late","Ship Late"))</f>
        <v/>
      </c>
    </row>
    <row r="1689">
      <c r="A1689" s="2" t="inlineStr">
        <is>
          <t>ORD-01688</t>
        </is>
      </c>
      <c r="B1689" s="2" t="inlineStr">
        <is>
          <t>Customer 01</t>
        </is>
      </c>
      <c r="C1689" s="2" t="inlineStr">
        <is>
          <t>Switchgear</t>
        </is>
      </c>
      <c r="D1689" s="2" t="inlineStr">
        <is>
          <t>Plant A</t>
        </is>
      </c>
      <c r="E1689" s="2" t="inlineStr">
        <is>
          <t>Export</t>
        </is>
      </c>
      <c r="F1689" s="12" t="n">
        <v>46030</v>
      </c>
      <c r="G1689" s="12" t="n">
        <v>46036</v>
      </c>
      <c r="H1689" s="12" t="n">
        <v>46035</v>
      </c>
      <c r="I1689" s="12" t="n">
        <v>46033</v>
      </c>
      <c r="J1689" s="12" t="n">
        <v>46035</v>
      </c>
      <c r="K1689" s="2" t="n">
        <v>193</v>
      </c>
      <c r="L1689" s="2" t="inlineStr">
        <is>
          <t>Road</t>
        </is>
      </c>
      <c r="M1689" s="2" t="inlineStr">
        <is>
          <t>No Delay</t>
        </is>
      </c>
      <c r="N1689" s="4">
        <f>IF(I1689&lt;=H1689,1,0)</f>
        <v/>
      </c>
      <c r="O1689" s="4">
        <f>IF(J1689&lt;=G1689,1,0)</f>
        <v/>
      </c>
      <c r="P1689" s="4">
        <f>MAX(0,I1689-H1689)</f>
        <v/>
      </c>
      <c r="Q1689" s="4">
        <f>MAX(0,J1689-G1689)</f>
        <v/>
      </c>
      <c r="R1689" s="4">
        <f>IF(AND(N1689=1,O1689=1),"On Track",IF(O1689=0,"Customer Delivery Late","Ship Late"))</f>
        <v/>
      </c>
    </row>
    <row r="1690">
      <c r="A1690" s="2" t="inlineStr">
        <is>
          <t>ORD-01689</t>
        </is>
      </c>
      <c r="B1690" s="2" t="inlineStr">
        <is>
          <t>Customer 13</t>
        </is>
      </c>
      <c r="C1690" s="2" t="inlineStr">
        <is>
          <t>Breaker</t>
        </is>
      </c>
      <c r="D1690" s="2" t="inlineStr">
        <is>
          <t>Plant C</t>
        </is>
      </c>
      <c r="E1690" s="2" t="inlineStr">
        <is>
          <t>Export</t>
        </is>
      </c>
      <c r="F1690" s="12" t="n">
        <v>46031</v>
      </c>
      <c r="G1690" s="12" t="n">
        <v>46056</v>
      </c>
      <c r="H1690" s="12" t="n">
        <v>46052</v>
      </c>
      <c r="I1690" s="12" t="n">
        <v>46050</v>
      </c>
      <c r="J1690" s="12" t="n">
        <v>46054</v>
      </c>
      <c r="K1690" s="2" t="n">
        <v>164</v>
      </c>
      <c r="L1690" s="2" t="inlineStr">
        <is>
          <t>Sea</t>
        </is>
      </c>
      <c r="M1690" s="2" t="inlineStr">
        <is>
          <t>No Delay</t>
        </is>
      </c>
      <c r="N1690" s="4">
        <f>IF(I1690&lt;=H1690,1,0)</f>
        <v/>
      </c>
      <c r="O1690" s="4">
        <f>IF(J1690&lt;=G1690,1,0)</f>
        <v/>
      </c>
      <c r="P1690" s="4">
        <f>MAX(0,I1690-H1690)</f>
        <v/>
      </c>
      <c r="Q1690" s="4">
        <f>MAX(0,J1690-G1690)</f>
        <v/>
      </c>
      <c r="R1690" s="4">
        <f>IF(AND(N1690=1,O1690=1),"On Track",IF(O1690=0,"Customer Delivery Late","Ship Late"))</f>
        <v/>
      </c>
    </row>
    <row r="1691">
      <c r="A1691" s="2" t="inlineStr">
        <is>
          <t>ORD-01690</t>
        </is>
      </c>
      <c r="B1691" s="2" t="inlineStr">
        <is>
          <t>Customer 23</t>
        </is>
      </c>
      <c r="C1691" s="2" t="inlineStr">
        <is>
          <t>Sensor</t>
        </is>
      </c>
      <c r="D1691" s="2" t="inlineStr">
        <is>
          <t>Plant C</t>
        </is>
      </c>
      <c r="E1691" s="2" t="inlineStr">
        <is>
          <t>Export</t>
        </is>
      </c>
      <c r="F1691" s="12" t="n">
        <v>46122</v>
      </c>
      <c r="G1691" s="12" t="n">
        <v>46142</v>
      </c>
      <c r="H1691" s="12" t="n">
        <v>46140</v>
      </c>
      <c r="I1691" s="12" t="n">
        <v>46138</v>
      </c>
      <c r="J1691" s="12" t="n">
        <v>46140</v>
      </c>
      <c r="K1691" s="2" t="n">
        <v>239</v>
      </c>
      <c r="L1691" s="2" t="inlineStr">
        <is>
          <t>Air</t>
        </is>
      </c>
      <c r="M1691" s="2" t="inlineStr">
        <is>
          <t>No Delay</t>
        </is>
      </c>
      <c r="N1691" s="4">
        <f>IF(I1691&lt;=H1691,1,0)</f>
        <v/>
      </c>
      <c r="O1691" s="4">
        <f>IF(J1691&lt;=G1691,1,0)</f>
        <v/>
      </c>
      <c r="P1691" s="4">
        <f>MAX(0,I1691-H1691)</f>
        <v/>
      </c>
      <c r="Q1691" s="4">
        <f>MAX(0,J1691-G1691)</f>
        <v/>
      </c>
      <c r="R1691" s="4">
        <f>IF(AND(N1691=1,O1691=1),"On Track",IF(O1691=0,"Customer Delivery Late","Ship Late"))</f>
        <v/>
      </c>
    </row>
    <row r="1692">
      <c r="A1692" s="2" t="inlineStr">
        <is>
          <t>ORD-01691</t>
        </is>
      </c>
      <c r="B1692" s="2" t="inlineStr">
        <is>
          <t>Customer 10</t>
        </is>
      </c>
      <c r="C1692" s="2" t="inlineStr">
        <is>
          <t>PLC</t>
        </is>
      </c>
      <c r="D1692" s="2" t="inlineStr">
        <is>
          <t>Plant B</t>
        </is>
      </c>
      <c r="E1692" s="2" t="inlineStr">
        <is>
          <t>North</t>
        </is>
      </c>
      <c r="F1692" s="12" t="n">
        <v>46051</v>
      </c>
      <c r="G1692" s="12" t="n">
        <v>46074</v>
      </c>
      <c r="H1692" s="12" t="n">
        <v>46072</v>
      </c>
      <c r="I1692" s="12" t="n">
        <v>46070</v>
      </c>
      <c r="J1692" s="12" t="n">
        <v>46071</v>
      </c>
      <c r="K1692" s="2" t="n">
        <v>306</v>
      </c>
      <c r="L1692" s="2" t="inlineStr">
        <is>
          <t>Road</t>
        </is>
      </c>
      <c r="M1692" s="2" t="inlineStr">
        <is>
          <t>No Delay</t>
        </is>
      </c>
      <c r="N1692" s="4">
        <f>IF(I1692&lt;=H1692,1,0)</f>
        <v/>
      </c>
      <c r="O1692" s="4">
        <f>IF(J1692&lt;=G1692,1,0)</f>
        <v/>
      </c>
      <c r="P1692" s="4">
        <f>MAX(0,I1692-H1692)</f>
        <v/>
      </c>
      <c r="Q1692" s="4">
        <f>MAX(0,J1692-G1692)</f>
        <v/>
      </c>
      <c r="R1692" s="4">
        <f>IF(AND(N1692=1,O1692=1),"On Track",IF(O1692=0,"Customer Delivery Late","Ship Late"))</f>
        <v/>
      </c>
    </row>
    <row r="1693">
      <c r="A1693" s="2" t="inlineStr">
        <is>
          <t>ORD-01692</t>
        </is>
      </c>
      <c r="B1693" s="2" t="inlineStr">
        <is>
          <t>Customer 07</t>
        </is>
      </c>
      <c r="C1693" s="2" t="inlineStr">
        <is>
          <t>Sensor</t>
        </is>
      </c>
      <c r="D1693" s="2" t="inlineStr">
        <is>
          <t>Plant A</t>
        </is>
      </c>
      <c r="E1693" s="2" t="inlineStr">
        <is>
          <t>Central</t>
        </is>
      </c>
      <c r="F1693" s="12" t="n">
        <v>46100</v>
      </c>
      <c r="G1693" s="12" t="n">
        <v>46114</v>
      </c>
      <c r="H1693" s="12" t="n">
        <v>46112</v>
      </c>
      <c r="I1693" s="12" t="n">
        <v>46110</v>
      </c>
      <c r="J1693" s="12" t="n">
        <v>46117</v>
      </c>
      <c r="K1693" s="2" t="n">
        <v>1370</v>
      </c>
      <c r="L1693" s="2" t="inlineStr">
        <is>
          <t>Sea</t>
        </is>
      </c>
      <c r="M1693" s="2" t="inlineStr">
        <is>
          <t>Production Delay</t>
        </is>
      </c>
      <c r="N1693" s="4">
        <f>IF(I1693&lt;=H1693,1,0)</f>
        <v/>
      </c>
      <c r="O1693" s="4">
        <f>IF(J1693&lt;=G1693,1,0)</f>
        <v/>
      </c>
      <c r="P1693" s="4">
        <f>MAX(0,I1693-H1693)</f>
        <v/>
      </c>
      <c r="Q1693" s="4">
        <f>MAX(0,J1693-G1693)</f>
        <v/>
      </c>
      <c r="R1693" s="4">
        <f>IF(AND(N1693=1,O1693=1),"On Track",IF(O1693=0,"Customer Delivery Late","Ship Late"))</f>
        <v/>
      </c>
    </row>
    <row r="1694">
      <c r="A1694" s="2" t="inlineStr">
        <is>
          <t>ORD-01693</t>
        </is>
      </c>
      <c r="B1694" s="2" t="inlineStr">
        <is>
          <t>Customer 01</t>
        </is>
      </c>
      <c r="C1694" s="2" t="inlineStr">
        <is>
          <t>PLC</t>
        </is>
      </c>
      <c r="D1694" s="2" t="inlineStr">
        <is>
          <t>Plant C</t>
        </is>
      </c>
      <c r="E1694" s="2" t="inlineStr">
        <is>
          <t>Central</t>
        </is>
      </c>
      <c r="F1694" s="12" t="n">
        <v>46027</v>
      </c>
      <c r="G1694" s="12" t="n">
        <v>46050</v>
      </c>
      <c r="H1694" s="12" t="n">
        <v>46047</v>
      </c>
      <c r="I1694" s="12" t="n">
        <v>46046</v>
      </c>
      <c r="J1694" s="12" t="n">
        <v>46049</v>
      </c>
      <c r="K1694" s="2" t="n">
        <v>871</v>
      </c>
      <c r="L1694" s="2" t="inlineStr">
        <is>
          <t>Sea</t>
        </is>
      </c>
      <c r="M1694" s="2" t="inlineStr">
        <is>
          <t>No Delay</t>
        </is>
      </c>
      <c r="N1694" s="4">
        <f>IF(I1694&lt;=H1694,1,0)</f>
        <v/>
      </c>
      <c r="O1694" s="4">
        <f>IF(J1694&lt;=G1694,1,0)</f>
        <v/>
      </c>
      <c r="P1694" s="4">
        <f>MAX(0,I1694-H1694)</f>
        <v/>
      </c>
      <c r="Q1694" s="4">
        <f>MAX(0,J1694-G1694)</f>
        <v/>
      </c>
      <c r="R1694" s="4">
        <f>IF(AND(N1694=1,O1694=1),"On Track",IF(O1694=0,"Customer Delivery Late","Ship Late"))</f>
        <v/>
      </c>
    </row>
    <row r="1695">
      <c r="A1695" s="2" t="inlineStr">
        <is>
          <t>ORD-01694</t>
        </is>
      </c>
      <c r="B1695" s="2" t="inlineStr">
        <is>
          <t>Customer 15</t>
        </is>
      </c>
      <c r="C1695" s="2" t="inlineStr">
        <is>
          <t>Sensor</t>
        </is>
      </c>
      <c r="D1695" s="2" t="inlineStr">
        <is>
          <t>Plant C</t>
        </is>
      </c>
      <c r="E1695" s="2" t="inlineStr">
        <is>
          <t>North</t>
        </is>
      </c>
      <c r="F1695" s="12" t="n">
        <v>46183</v>
      </c>
      <c r="G1695" s="12" t="n">
        <v>46199</v>
      </c>
      <c r="H1695" s="12" t="n">
        <v>46196</v>
      </c>
      <c r="I1695" s="12" t="n">
        <v>46194</v>
      </c>
      <c r="J1695" s="12" t="n">
        <v>46197</v>
      </c>
      <c r="K1695" s="2" t="n">
        <v>1396</v>
      </c>
      <c r="L1695" s="2" t="inlineStr">
        <is>
          <t>Road</t>
        </is>
      </c>
      <c r="M1695" s="2" t="inlineStr">
        <is>
          <t>No Delay</t>
        </is>
      </c>
      <c r="N1695" s="4">
        <f>IF(I1695&lt;=H1695,1,0)</f>
        <v/>
      </c>
      <c r="O1695" s="4">
        <f>IF(J1695&lt;=G1695,1,0)</f>
        <v/>
      </c>
      <c r="P1695" s="4">
        <f>MAX(0,I1695-H1695)</f>
        <v/>
      </c>
      <c r="Q1695" s="4">
        <f>MAX(0,J1695-G1695)</f>
        <v/>
      </c>
      <c r="R1695" s="4">
        <f>IF(AND(N1695=1,O1695=1),"On Track",IF(O1695=0,"Customer Delivery Late","Ship Late"))</f>
        <v/>
      </c>
    </row>
    <row r="1696">
      <c r="A1696" s="2" t="inlineStr">
        <is>
          <t>ORD-01695</t>
        </is>
      </c>
      <c r="B1696" s="2" t="inlineStr">
        <is>
          <t>Customer 04</t>
        </is>
      </c>
      <c r="C1696" s="2" t="inlineStr">
        <is>
          <t>Contactor</t>
        </is>
      </c>
      <c r="D1696" s="2" t="inlineStr">
        <is>
          <t>Plant C</t>
        </is>
      </c>
      <c r="E1696" s="2" t="inlineStr">
        <is>
          <t>North</t>
        </is>
      </c>
      <c r="F1696" s="12" t="n">
        <v>46092</v>
      </c>
      <c r="G1696" s="12" t="n">
        <v>46108</v>
      </c>
      <c r="H1696" s="12" t="n">
        <v>46105</v>
      </c>
      <c r="I1696" s="12" t="n">
        <v>46104</v>
      </c>
      <c r="J1696" s="12" t="n">
        <v>46107</v>
      </c>
      <c r="K1696" s="2" t="n">
        <v>664</v>
      </c>
      <c r="L1696" s="2" t="inlineStr">
        <is>
          <t>Sea</t>
        </is>
      </c>
      <c r="M1696" s="2" t="inlineStr">
        <is>
          <t>No Delay</t>
        </is>
      </c>
      <c r="N1696" s="4">
        <f>IF(I1696&lt;=H1696,1,0)</f>
        <v/>
      </c>
      <c r="O1696" s="4">
        <f>IF(J1696&lt;=G1696,1,0)</f>
        <v/>
      </c>
      <c r="P1696" s="4">
        <f>MAX(0,I1696-H1696)</f>
        <v/>
      </c>
      <c r="Q1696" s="4">
        <f>MAX(0,J1696-G1696)</f>
        <v/>
      </c>
      <c r="R1696" s="4">
        <f>IF(AND(N1696=1,O1696=1),"On Track",IF(O1696=0,"Customer Delivery Late","Ship Late"))</f>
        <v/>
      </c>
    </row>
    <row r="1697">
      <c r="A1697" s="2" t="inlineStr">
        <is>
          <t>ORD-01696</t>
        </is>
      </c>
      <c r="B1697" s="2" t="inlineStr">
        <is>
          <t>Customer 26</t>
        </is>
      </c>
      <c r="C1697" s="2" t="inlineStr">
        <is>
          <t>Power Supply</t>
        </is>
      </c>
      <c r="D1697" s="2" t="inlineStr">
        <is>
          <t>Plant B</t>
        </is>
      </c>
      <c r="E1697" s="2" t="inlineStr">
        <is>
          <t>Export</t>
        </is>
      </c>
      <c r="F1697" s="12" t="n">
        <v>46171</v>
      </c>
      <c r="G1697" s="12" t="n">
        <v>46178</v>
      </c>
      <c r="H1697" s="12" t="n">
        <v>46176</v>
      </c>
      <c r="I1697" s="12" t="n">
        <v>46176</v>
      </c>
      <c r="J1697" s="12" t="n">
        <v>46178</v>
      </c>
      <c r="K1697" s="2" t="n">
        <v>1148</v>
      </c>
      <c r="L1697" s="2" t="inlineStr">
        <is>
          <t>Air</t>
        </is>
      </c>
      <c r="M1697" s="2" t="inlineStr">
        <is>
          <t>No Delay</t>
        </is>
      </c>
      <c r="N1697" s="4">
        <f>IF(I1697&lt;=H1697,1,0)</f>
        <v/>
      </c>
      <c r="O1697" s="4">
        <f>IF(J1697&lt;=G1697,1,0)</f>
        <v/>
      </c>
      <c r="P1697" s="4">
        <f>MAX(0,I1697-H1697)</f>
        <v/>
      </c>
      <c r="Q1697" s="4">
        <f>MAX(0,J1697-G1697)</f>
        <v/>
      </c>
      <c r="R1697" s="4">
        <f>IF(AND(N1697=1,O1697=1),"On Track",IF(O1697=0,"Customer Delivery Late","Ship Late"))</f>
        <v/>
      </c>
    </row>
    <row r="1698">
      <c r="A1698" s="2" t="inlineStr">
        <is>
          <t>ORD-01697</t>
        </is>
      </c>
      <c r="B1698" s="2" t="inlineStr">
        <is>
          <t>Customer 09</t>
        </is>
      </c>
      <c r="C1698" s="2" t="inlineStr">
        <is>
          <t>Sensor</t>
        </is>
      </c>
      <c r="D1698" s="2" t="inlineStr">
        <is>
          <t>Plant B</t>
        </is>
      </c>
      <c r="E1698" s="2" t="inlineStr">
        <is>
          <t>South</t>
        </is>
      </c>
      <c r="F1698" s="12" t="n">
        <v>46154</v>
      </c>
      <c r="G1698" s="12" t="n">
        <v>46172</v>
      </c>
      <c r="H1698" s="12" t="n">
        <v>46170</v>
      </c>
      <c r="I1698" s="12" t="n">
        <v>46169</v>
      </c>
      <c r="J1698" s="12" t="n">
        <v>46170</v>
      </c>
      <c r="K1698" s="2" t="n">
        <v>58</v>
      </c>
      <c r="L1698" s="2" t="inlineStr">
        <is>
          <t>Sea</t>
        </is>
      </c>
      <c r="M1698" s="2" t="inlineStr">
        <is>
          <t>No Delay</t>
        </is>
      </c>
      <c r="N1698" s="4">
        <f>IF(I1698&lt;=H1698,1,0)</f>
        <v/>
      </c>
      <c r="O1698" s="4">
        <f>IF(J1698&lt;=G1698,1,0)</f>
        <v/>
      </c>
      <c r="P1698" s="4">
        <f>MAX(0,I1698-H1698)</f>
        <v/>
      </c>
      <c r="Q1698" s="4">
        <f>MAX(0,J1698-G1698)</f>
        <v/>
      </c>
      <c r="R1698" s="4">
        <f>IF(AND(N1698=1,O1698=1),"On Track",IF(O1698=0,"Customer Delivery Late","Ship Late"))</f>
        <v/>
      </c>
    </row>
    <row r="1699">
      <c r="A1699" s="2" t="inlineStr">
        <is>
          <t>ORD-01698</t>
        </is>
      </c>
      <c r="B1699" s="2" t="inlineStr">
        <is>
          <t>Customer 05</t>
        </is>
      </c>
      <c r="C1699" s="2" t="inlineStr">
        <is>
          <t>Contactor</t>
        </is>
      </c>
      <c r="D1699" s="2" t="inlineStr">
        <is>
          <t>Plant B</t>
        </is>
      </c>
      <c r="E1699" s="2" t="inlineStr">
        <is>
          <t>South</t>
        </is>
      </c>
      <c r="F1699" s="12" t="n">
        <v>46082</v>
      </c>
      <c r="G1699" s="12" t="n">
        <v>46101</v>
      </c>
      <c r="H1699" s="12" t="n">
        <v>46096</v>
      </c>
      <c r="I1699" s="12" t="n">
        <v>46098</v>
      </c>
      <c r="J1699" s="12" t="n">
        <v>46103</v>
      </c>
      <c r="K1699" s="2" t="n">
        <v>99</v>
      </c>
      <c r="L1699" s="2" t="inlineStr">
        <is>
          <t>Road</t>
        </is>
      </c>
      <c r="M1699" s="2" t="inlineStr">
        <is>
          <t>Capacity Constraint</t>
        </is>
      </c>
      <c r="N1699" s="4">
        <f>IF(I1699&lt;=H1699,1,0)</f>
        <v/>
      </c>
      <c r="O1699" s="4">
        <f>IF(J1699&lt;=G1699,1,0)</f>
        <v/>
      </c>
      <c r="P1699" s="4">
        <f>MAX(0,I1699-H1699)</f>
        <v/>
      </c>
      <c r="Q1699" s="4">
        <f>MAX(0,J1699-G1699)</f>
        <v/>
      </c>
      <c r="R1699" s="4">
        <f>IF(AND(N1699=1,O1699=1),"On Track",IF(O1699=0,"Customer Delivery Late","Ship Late"))</f>
        <v/>
      </c>
    </row>
    <row r="1700">
      <c r="A1700" s="2" t="inlineStr">
        <is>
          <t>ORD-01699</t>
        </is>
      </c>
      <c r="B1700" s="2" t="inlineStr">
        <is>
          <t>Customer 21</t>
        </is>
      </c>
      <c r="C1700" s="2" t="inlineStr">
        <is>
          <t>Relay</t>
        </is>
      </c>
      <c r="D1700" s="2" t="inlineStr">
        <is>
          <t>Plant A</t>
        </is>
      </c>
      <c r="E1700" s="2" t="inlineStr">
        <is>
          <t>South</t>
        </is>
      </c>
      <c r="F1700" s="12" t="n">
        <v>46126</v>
      </c>
      <c r="G1700" s="12" t="n">
        <v>46149</v>
      </c>
      <c r="H1700" s="12" t="n">
        <v>46144</v>
      </c>
      <c r="I1700" s="12" t="n">
        <v>46142</v>
      </c>
      <c r="J1700" s="12" t="n">
        <v>46148</v>
      </c>
      <c r="K1700" s="2" t="n">
        <v>481</v>
      </c>
      <c r="L1700" s="2" t="inlineStr">
        <is>
          <t>Air</t>
        </is>
      </c>
      <c r="M1700" s="2" t="inlineStr">
        <is>
          <t>No Delay</t>
        </is>
      </c>
      <c r="N1700" s="4">
        <f>IF(I1700&lt;=H1700,1,0)</f>
        <v/>
      </c>
      <c r="O1700" s="4">
        <f>IF(J1700&lt;=G1700,1,0)</f>
        <v/>
      </c>
      <c r="P1700" s="4">
        <f>MAX(0,I1700-H1700)</f>
        <v/>
      </c>
      <c r="Q1700" s="4">
        <f>MAX(0,J1700-G1700)</f>
        <v/>
      </c>
      <c r="R1700" s="4">
        <f>IF(AND(N1700=1,O1700=1),"On Track",IF(O1700=0,"Customer Delivery Late","Ship Late"))</f>
        <v/>
      </c>
    </row>
    <row r="1701">
      <c r="A1701" s="2" t="inlineStr">
        <is>
          <t>ORD-01700</t>
        </is>
      </c>
      <c r="B1701" s="2" t="inlineStr">
        <is>
          <t>Customer 08</t>
        </is>
      </c>
      <c r="C1701" s="2" t="inlineStr">
        <is>
          <t>Power Supply</t>
        </is>
      </c>
      <c r="D1701" s="2" t="inlineStr">
        <is>
          <t>Plant B</t>
        </is>
      </c>
      <c r="E1701" s="2" t="inlineStr">
        <is>
          <t>South</t>
        </is>
      </c>
      <c r="F1701" s="12" t="n">
        <v>46161</v>
      </c>
      <c r="G1701" s="12" t="n">
        <v>46174</v>
      </c>
      <c r="H1701" s="12" t="n">
        <v>46169</v>
      </c>
      <c r="I1701" s="12" t="n">
        <v>46168</v>
      </c>
      <c r="J1701" s="12" t="n">
        <v>46174</v>
      </c>
      <c r="K1701" s="2" t="n">
        <v>894</v>
      </c>
      <c r="L1701" s="2" t="inlineStr">
        <is>
          <t>Road</t>
        </is>
      </c>
      <c r="M1701" s="2" t="inlineStr">
        <is>
          <t>No Delay</t>
        </is>
      </c>
      <c r="N1701" s="4">
        <f>IF(I1701&lt;=H1701,1,0)</f>
        <v/>
      </c>
      <c r="O1701" s="4">
        <f>IF(J1701&lt;=G1701,1,0)</f>
        <v/>
      </c>
      <c r="P1701" s="4">
        <f>MAX(0,I1701-H1701)</f>
        <v/>
      </c>
      <c r="Q1701" s="4">
        <f>MAX(0,J1701-G1701)</f>
        <v/>
      </c>
      <c r="R1701" s="4">
        <f>IF(AND(N1701=1,O1701=1),"On Track",IF(O1701=0,"Customer Delivery Late","Ship Late"))</f>
        <v/>
      </c>
    </row>
    <row r="1702">
      <c r="A1702" s="2" t="inlineStr">
        <is>
          <t>ORD-01701</t>
        </is>
      </c>
      <c r="B1702" s="2" t="inlineStr">
        <is>
          <t>Customer 24</t>
        </is>
      </c>
      <c r="C1702" s="2" t="inlineStr">
        <is>
          <t>Relay</t>
        </is>
      </c>
      <c r="D1702" s="2" t="inlineStr">
        <is>
          <t>Plant A</t>
        </is>
      </c>
      <c r="E1702" s="2" t="inlineStr">
        <is>
          <t>South</t>
        </is>
      </c>
      <c r="F1702" s="12" t="n">
        <v>46060</v>
      </c>
      <c r="G1702" s="12" t="n">
        <v>46065</v>
      </c>
      <c r="H1702" s="12" t="n">
        <v>46063</v>
      </c>
      <c r="I1702" s="12" t="n">
        <v>46061</v>
      </c>
      <c r="J1702" s="12" t="n">
        <v>46063</v>
      </c>
      <c r="K1702" s="2" t="n">
        <v>683</v>
      </c>
      <c r="L1702" s="2" t="inlineStr">
        <is>
          <t>Road</t>
        </is>
      </c>
      <c r="M1702" s="2" t="inlineStr">
        <is>
          <t>No Delay</t>
        </is>
      </c>
      <c r="N1702" s="4">
        <f>IF(I1702&lt;=H1702,1,0)</f>
        <v/>
      </c>
      <c r="O1702" s="4">
        <f>IF(J1702&lt;=G1702,1,0)</f>
        <v/>
      </c>
      <c r="P1702" s="4">
        <f>MAX(0,I1702-H1702)</f>
        <v/>
      </c>
      <c r="Q1702" s="4">
        <f>MAX(0,J1702-G1702)</f>
        <v/>
      </c>
      <c r="R1702" s="4">
        <f>IF(AND(N1702=1,O1702=1),"On Track",IF(O1702=0,"Customer Delivery Late","Ship Late"))</f>
        <v/>
      </c>
    </row>
    <row r="1703">
      <c r="A1703" s="2" t="inlineStr">
        <is>
          <t>ORD-01702</t>
        </is>
      </c>
      <c r="B1703" s="2" t="inlineStr">
        <is>
          <t>Customer 24</t>
        </is>
      </c>
      <c r="C1703" s="2" t="inlineStr">
        <is>
          <t>Power Supply</t>
        </is>
      </c>
      <c r="D1703" s="2" t="inlineStr">
        <is>
          <t>Plant B</t>
        </is>
      </c>
      <c r="E1703" s="2" t="inlineStr">
        <is>
          <t>Central</t>
        </is>
      </c>
      <c r="F1703" s="12" t="n">
        <v>46076</v>
      </c>
      <c r="G1703" s="12" t="n">
        <v>46087</v>
      </c>
      <c r="H1703" s="12" t="n">
        <v>46086</v>
      </c>
      <c r="I1703" s="12" t="n">
        <v>46084</v>
      </c>
      <c r="J1703" s="12" t="n">
        <v>46085</v>
      </c>
      <c r="K1703" s="2" t="n">
        <v>1225</v>
      </c>
      <c r="L1703" s="2" t="inlineStr">
        <is>
          <t>Road</t>
        </is>
      </c>
      <c r="M1703" s="2" t="inlineStr">
        <is>
          <t>No Delay</t>
        </is>
      </c>
      <c r="N1703" s="4">
        <f>IF(I1703&lt;=H1703,1,0)</f>
        <v/>
      </c>
      <c r="O1703" s="4">
        <f>IF(J1703&lt;=G1703,1,0)</f>
        <v/>
      </c>
      <c r="P1703" s="4">
        <f>MAX(0,I1703-H1703)</f>
        <v/>
      </c>
      <c r="Q1703" s="4">
        <f>MAX(0,J1703-G1703)</f>
        <v/>
      </c>
      <c r="R1703" s="4">
        <f>IF(AND(N1703=1,O1703=1),"On Track",IF(O1703=0,"Customer Delivery Late","Ship Late"))</f>
        <v/>
      </c>
    </row>
    <row r="1704">
      <c r="A1704" s="2" t="inlineStr">
        <is>
          <t>ORD-01703</t>
        </is>
      </c>
      <c r="B1704" s="2" t="inlineStr">
        <is>
          <t>Customer 13</t>
        </is>
      </c>
      <c r="C1704" s="2" t="inlineStr">
        <is>
          <t>Breaker</t>
        </is>
      </c>
      <c r="D1704" s="2" t="inlineStr">
        <is>
          <t>Plant A</t>
        </is>
      </c>
      <c r="E1704" s="2" t="inlineStr">
        <is>
          <t>North</t>
        </is>
      </c>
      <c r="F1704" s="12" t="n">
        <v>46179</v>
      </c>
      <c r="G1704" s="12" t="n">
        <v>46184</v>
      </c>
      <c r="H1704" s="12" t="n">
        <v>46183</v>
      </c>
      <c r="I1704" s="12" t="n">
        <v>46183</v>
      </c>
      <c r="J1704" s="12" t="n">
        <v>46184</v>
      </c>
      <c r="K1704" s="2" t="n">
        <v>797</v>
      </c>
      <c r="L1704" s="2" t="inlineStr">
        <is>
          <t>Sea</t>
        </is>
      </c>
      <c r="M1704" s="2" t="inlineStr">
        <is>
          <t>No Delay</t>
        </is>
      </c>
      <c r="N1704" s="4">
        <f>IF(I1704&lt;=H1704,1,0)</f>
        <v/>
      </c>
      <c r="O1704" s="4">
        <f>IF(J1704&lt;=G1704,1,0)</f>
        <v/>
      </c>
      <c r="P1704" s="4">
        <f>MAX(0,I1704-H1704)</f>
        <v/>
      </c>
      <c r="Q1704" s="4">
        <f>MAX(0,J1704-G1704)</f>
        <v/>
      </c>
      <c r="R1704" s="4">
        <f>IF(AND(N1704=1,O1704=1),"On Track",IF(O1704=0,"Customer Delivery Late","Ship Late"))</f>
        <v/>
      </c>
    </row>
    <row r="1705">
      <c r="A1705" s="2" t="inlineStr">
        <is>
          <t>ORD-01704</t>
        </is>
      </c>
      <c r="B1705" s="2" t="inlineStr">
        <is>
          <t>Customer 19</t>
        </is>
      </c>
      <c r="C1705" s="2" t="inlineStr">
        <is>
          <t>Switchgear</t>
        </is>
      </c>
      <c r="D1705" s="2" t="inlineStr">
        <is>
          <t>Plant C</t>
        </is>
      </c>
      <c r="E1705" s="2" t="inlineStr">
        <is>
          <t>North</t>
        </is>
      </c>
      <c r="F1705" s="12" t="n">
        <v>46183</v>
      </c>
      <c r="G1705" s="12" t="n">
        <v>46192</v>
      </c>
      <c r="H1705" s="12" t="n">
        <v>46190</v>
      </c>
      <c r="I1705" s="12" t="n">
        <v>46189</v>
      </c>
      <c r="J1705" s="12" t="n">
        <v>46191</v>
      </c>
      <c r="K1705" s="2" t="n">
        <v>805</v>
      </c>
      <c r="L1705" s="2" t="inlineStr">
        <is>
          <t>Road</t>
        </is>
      </c>
      <c r="M1705" s="2" t="inlineStr">
        <is>
          <t>No Delay</t>
        </is>
      </c>
      <c r="N1705" s="4">
        <f>IF(I1705&lt;=H1705,1,0)</f>
        <v/>
      </c>
      <c r="O1705" s="4">
        <f>IF(J1705&lt;=G1705,1,0)</f>
        <v/>
      </c>
      <c r="P1705" s="4">
        <f>MAX(0,I1705-H1705)</f>
        <v/>
      </c>
      <c r="Q1705" s="4">
        <f>MAX(0,J1705-G1705)</f>
        <v/>
      </c>
      <c r="R1705" s="4">
        <f>IF(AND(N1705=1,O1705=1),"On Track",IF(O1705=0,"Customer Delivery Late","Ship Late"))</f>
        <v/>
      </c>
    </row>
    <row r="1706">
      <c r="A1706" s="2" t="inlineStr">
        <is>
          <t>ORD-01705</t>
        </is>
      </c>
      <c r="B1706" s="2" t="inlineStr">
        <is>
          <t>Customer 13</t>
        </is>
      </c>
      <c r="C1706" s="2" t="inlineStr">
        <is>
          <t>PLC</t>
        </is>
      </c>
      <c r="D1706" s="2" t="inlineStr">
        <is>
          <t>Plant A</t>
        </is>
      </c>
      <c r="E1706" s="2" t="inlineStr">
        <is>
          <t>North</t>
        </is>
      </c>
      <c r="F1706" s="12" t="n">
        <v>46161</v>
      </c>
      <c r="G1706" s="12" t="n">
        <v>46176</v>
      </c>
      <c r="H1706" s="12" t="n">
        <v>46173</v>
      </c>
      <c r="I1706" s="12" t="n">
        <v>46171</v>
      </c>
      <c r="J1706" s="12" t="n">
        <v>46174</v>
      </c>
      <c r="K1706" s="2" t="n">
        <v>57</v>
      </c>
      <c r="L1706" s="2" t="inlineStr">
        <is>
          <t>Sea</t>
        </is>
      </c>
      <c r="M1706" s="2" t="inlineStr">
        <is>
          <t>No Delay</t>
        </is>
      </c>
      <c r="N1706" s="4">
        <f>IF(I1706&lt;=H1706,1,0)</f>
        <v/>
      </c>
      <c r="O1706" s="4">
        <f>IF(J1706&lt;=G1706,1,0)</f>
        <v/>
      </c>
      <c r="P1706" s="4">
        <f>MAX(0,I1706-H1706)</f>
        <v/>
      </c>
      <c r="Q1706" s="4">
        <f>MAX(0,J1706-G1706)</f>
        <v/>
      </c>
      <c r="R1706" s="4">
        <f>IF(AND(N1706=1,O1706=1),"On Track",IF(O1706=0,"Customer Delivery Late","Ship Late"))</f>
        <v/>
      </c>
    </row>
    <row r="1707">
      <c r="A1707" s="2" t="inlineStr">
        <is>
          <t>ORD-01706</t>
        </is>
      </c>
      <c r="B1707" s="2" t="inlineStr">
        <is>
          <t>Customer 24</t>
        </is>
      </c>
      <c r="C1707" s="2" t="inlineStr">
        <is>
          <t>PLC</t>
        </is>
      </c>
      <c r="D1707" s="2" t="inlineStr">
        <is>
          <t>Plant B</t>
        </is>
      </c>
      <c r="E1707" s="2" t="inlineStr">
        <is>
          <t>North</t>
        </is>
      </c>
      <c r="F1707" s="12" t="n">
        <v>46173</v>
      </c>
      <c r="G1707" s="12" t="n">
        <v>46194</v>
      </c>
      <c r="H1707" s="12" t="n">
        <v>46191</v>
      </c>
      <c r="I1707" s="12" t="n">
        <v>46189</v>
      </c>
      <c r="J1707" s="12" t="n">
        <v>46191</v>
      </c>
      <c r="K1707" s="2" t="n">
        <v>206</v>
      </c>
      <c r="L1707" s="2" t="inlineStr">
        <is>
          <t>Sea</t>
        </is>
      </c>
      <c r="M1707" s="2" t="inlineStr">
        <is>
          <t>No Delay</t>
        </is>
      </c>
      <c r="N1707" s="4">
        <f>IF(I1707&lt;=H1707,1,0)</f>
        <v/>
      </c>
      <c r="O1707" s="4">
        <f>IF(J1707&lt;=G1707,1,0)</f>
        <v/>
      </c>
      <c r="P1707" s="4">
        <f>MAX(0,I1707-H1707)</f>
        <v/>
      </c>
      <c r="Q1707" s="4">
        <f>MAX(0,J1707-G1707)</f>
        <v/>
      </c>
      <c r="R1707" s="4">
        <f>IF(AND(N1707=1,O1707=1),"On Track",IF(O1707=0,"Customer Delivery Late","Ship Late"))</f>
        <v/>
      </c>
    </row>
    <row r="1708">
      <c r="A1708" s="2" t="inlineStr">
        <is>
          <t>ORD-01707</t>
        </is>
      </c>
      <c r="B1708" s="2" t="inlineStr">
        <is>
          <t>Customer 05</t>
        </is>
      </c>
      <c r="C1708" s="2" t="inlineStr">
        <is>
          <t>Sensor</t>
        </is>
      </c>
      <c r="D1708" s="2" t="inlineStr">
        <is>
          <t>Plant A</t>
        </is>
      </c>
      <c r="E1708" s="2" t="inlineStr">
        <is>
          <t>North</t>
        </is>
      </c>
      <c r="F1708" s="12" t="n">
        <v>46044</v>
      </c>
      <c r="G1708" s="12" t="n">
        <v>46059</v>
      </c>
      <c r="H1708" s="12" t="n">
        <v>46058</v>
      </c>
      <c r="I1708" s="12" t="n">
        <v>46058</v>
      </c>
      <c r="J1708" s="12" t="n">
        <v>46059</v>
      </c>
      <c r="K1708" s="2" t="n">
        <v>397</v>
      </c>
      <c r="L1708" s="2" t="inlineStr">
        <is>
          <t>Sea</t>
        </is>
      </c>
      <c r="M1708" s="2" t="inlineStr">
        <is>
          <t>No Delay</t>
        </is>
      </c>
      <c r="N1708" s="4">
        <f>IF(I1708&lt;=H1708,1,0)</f>
        <v/>
      </c>
      <c r="O1708" s="4">
        <f>IF(J1708&lt;=G1708,1,0)</f>
        <v/>
      </c>
      <c r="P1708" s="4">
        <f>MAX(0,I1708-H1708)</f>
        <v/>
      </c>
      <c r="Q1708" s="4">
        <f>MAX(0,J1708-G1708)</f>
        <v/>
      </c>
      <c r="R1708" s="4">
        <f>IF(AND(N1708=1,O1708=1),"On Track",IF(O1708=0,"Customer Delivery Late","Ship Late"))</f>
        <v/>
      </c>
    </row>
    <row r="1709">
      <c r="A1709" s="2" t="inlineStr">
        <is>
          <t>ORD-01708</t>
        </is>
      </c>
      <c r="B1709" s="2" t="inlineStr">
        <is>
          <t>Customer 01</t>
        </is>
      </c>
      <c r="C1709" s="2" t="inlineStr">
        <is>
          <t>Switchgear</t>
        </is>
      </c>
      <c r="D1709" s="2" t="inlineStr">
        <is>
          <t>Plant B</t>
        </is>
      </c>
      <c r="E1709" s="2" t="inlineStr">
        <is>
          <t>Export</t>
        </is>
      </c>
      <c r="F1709" s="12" t="n">
        <v>46089</v>
      </c>
      <c r="G1709" s="12" t="n">
        <v>46094</v>
      </c>
      <c r="H1709" s="12" t="n">
        <v>46093</v>
      </c>
      <c r="I1709" s="12" t="n">
        <v>46092</v>
      </c>
      <c r="J1709" s="12" t="n">
        <v>46093</v>
      </c>
      <c r="K1709" s="2" t="n">
        <v>1187</v>
      </c>
      <c r="L1709" s="2" t="inlineStr">
        <is>
          <t>Sea</t>
        </is>
      </c>
      <c r="M1709" s="2" t="inlineStr">
        <is>
          <t>No Delay</t>
        </is>
      </c>
      <c r="N1709" s="4">
        <f>IF(I1709&lt;=H1709,1,0)</f>
        <v/>
      </c>
      <c r="O1709" s="4">
        <f>IF(J1709&lt;=G1709,1,0)</f>
        <v/>
      </c>
      <c r="P1709" s="4">
        <f>MAX(0,I1709-H1709)</f>
        <v/>
      </c>
      <c r="Q1709" s="4">
        <f>MAX(0,J1709-G1709)</f>
        <v/>
      </c>
      <c r="R1709" s="4">
        <f>IF(AND(N1709=1,O1709=1),"On Track",IF(O1709=0,"Customer Delivery Late","Ship Late"))</f>
        <v/>
      </c>
    </row>
    <row r="1710">
      <c r="A1710" s="2" t="inlineStr">
        <is>
          <t>ORD-01709</t>
        </is>
      </c>
      <c r="B1710" s="2" t="inlineStr">
        <is>
          <t>Customer 05</t>
        </is>
      </c>
      <c r="C1710" s="2" t="inlineStr">
        <is>
          <t>Breaker</t>
        </is>
      </c>
      <c r="D1710" s="2" t="inlineStr">
        <is>
          <t>Plant A</t>
        </is>
      </c>
      <c r="E1710" s="2" t="inlineStr">
        <is>
          <t>North</t>
        </is>
      </c>
      <c r="F1710" s="12" t="n">
        <v>46175</v>
      </c>
      <c r="G1710" s="12" t="n">
        <v>46188</v>
      </c>
      <c r="H1710" s="12" t="n">
        <v>46185</v>
      </c>
      <c r="I1710" s="12" t="n">
        <v>46185</v>
      </c>
      <c r="J1710" s="12" t="n">
        <v>46188</v>
      </c>
      <c r="K1710" s="2" t="n">
        <v>1137</v>
      </c>
      <c r="L1710" s="2" t="inlineStr">
        <is>
          <t>Road</t>
        </is>
      </c>
      <c r="M1710" s="2" t="inlineStr">
        <is>
          <t>No Delay</t>
        </is>
      </c>
      <c r="N1710" s="4">
        <f>IF(I1710&lt;=H1710,1,0)</f>
        <v/>
      </c>
      <c r="O1710" s="4">
        <f>IF(J1710&lt;=G1710,1,0)</f>
        <v/>
      </c>
      <c r="P1710" s="4">
        <f>MAX(0,I1710-H1710)</f>
        <v/>
      </c>
      <c r="Q1710" s="4">
        <f>MAX(0,J1710-G1710)</f>
        <v/>
      </c>
      <c r="R1710" s="4">
        <f>IF(AND(N1710=1,O1710=1),"On Track",IF(O1710=0,"Customer Delivery Late","Ship Late"))</f>
        <v/>
      </c>
    </row>
    <row r="1711">
      <c r="A1711" s="2" t="inlineStr">
        <is>
          <t>ORD-01710</t>
        </is>
      </c>
      <c r="B1711" s="2" t="inlineStr">
        <is>
          <t>Customer 21</t>
        </is>
      </c>
      <c r="C1711" s="2" t="inlineStr">
        <is>
          <t>PLC</t>
        </is>
      </c>
      <c r="D1711" s="2" t="inlineStr">
        <is>
          <t>Plant C</t>
        </is>
      </c>
      <c r="E1711" s="2" t="inlineStr">
        <is>
          <t>Export</t>
        </is>
      </c>
      <c r="F1711" s="12" t="n">
        <v>46091</v>
      </c>
      <c r="G1711" s="12" t="n">
        <v>46116</v>
      </c>
      <c r="H1711" s="12" t="n">
        <v>46115</v>
      </c>
      <c r="I1711" s="12" t="n">
        <v>46115</v>
      </c>
      <c r="J1711" s="12" t="n">
        <v>46117</v>
      </c>
      <c r="K1711" s="2" t="n">
        <v>1231</v>
      </c>
      <c r="L1711" s="2" t="inlineStr">
        <is>
          <t>Air</t>
        </is>
      </c>
      <c r="M1711" s="2" t="inlineStr">
        <is>
          <t>Production Delay</t>
        </is>
      </c>
      <c r="N1711" s="4">
        <f>IF(I1711&lt;=H1711,1,0)</f>
        <v/>
      </c>
      <c r="O1711" s="4">
        <f>IF(J1711&lt;=G1711,1,0)</f>
        <v/>
      </c>
      <c r="P1711" s="4">
        <f>MAX(0,I1711-H1711)</f>
        <v/>
      </c>
      <c r="Q1711" s="4">
        <f>MAX(0,J1711-G1711)</f>
        <v/>
      </c>
      <c r="R1711" s="4">
        <f>IF(AND(N1711=1,O1711=1),"On Track",IF(O1711=0,"Customer Delivery Late","Ship Late"))</f>
        <v/>
      </c>
    </row>
    <row r="1712">
      <c r="A1712" s="2" t="inlineStr">
        <is>
          <t>ORD-01711</t>
        </is>
      </c>
      <c r="B1712" s="2" t="inlineStr">
        <is>
          <t>Customer 09</t>
        </is>
      </c>
      <c r="C1712" s="2" t="inlineStr">
        <is>
          <t>Drive</t>
        </is>
      </c>
      <c r="D1712" s="2" t="inlineStr">
        <is>
          <t>Plant A</t>
        </is>
      </c>
      <c r="E1712" s="2" t="inlineStr">
        <is>
          <t>Export</t>
        </is>
      </c>
      <c r="F1712" s="12" t="n">
        <v>46023</v>
      </c>
      <c r="G1712" s="12" t="n">
        <v>46032</v>
      </c>
      <c r="H1712" s="12" t="n">
        <v>46028</v>
      </c>
      <c r="I1712" s="12" t="n">
        <v>46028</v>
      </c>
      <c r="J1712" s="12" t="n">
        <v>46033</v>
      </c>
      <c r="K1712" s="2" t="n">
        <v>475</v>
      </c>
      <c r="L1712" s="2" t="inlineStr">
        <is>
          <t>Air</t>
        </is>
      </c>
      <c r="M1712" s="2" t="inlineStr">
        <is>
          <t>Documentation Issue</t>
        </is>
      </c>
      <c r="N1712" s="4">
        <f>IF(I1712&lt;=H1712,1,0)</f>
        <v/>
      </c>
      <c r="O1712" s="4">
        <f>IF(J1712&lt;=G1712,1,0)</f>
        <v/>
      </c>
      <c r="P1712" s="4">
        <f>MAX(0,I1712-H1712)</f>
        <v/>
      </c>
      <c r="Q1712" s="4">
        <f>MAX(0,J1712-G1712)</f>
        <v/>
      </c>
      <c r="R1712" s="4">
        <f>IF(AND(N1712=1,O1712=1),"On Track",IF(O1712=0,"Customer Delivery Late","Ship Late"))</f>
        <v/>
      </c>
    </row>
    <row r="1713">
      <c r="A1713" s="2" t="inlineStr">
        <is>
          <t>ORD-01712</t>
        </is>
      </c>
      <c r="B1713" s="2" t="inlineStr">
        <is>
          <t>Customer 06</t>
        </is>
      </c>
      <c r="C1713" s="2" t="inlineStr">
        <is>
          <t>Contactor</t>
        </is>
      </c>
      <c r="D1713" s="2" t="inlineStr">
        <is>
          <t>Plant C</t>
        </is>
      </c>
      <c r="E1713" s="2" t="inlineStr">
        <is>
          <t>Central</t>
        </is>
      </c>
      <c r="F1713" s="12" t="n">
        <v>46186</v>
      </c>
      <c r="G1713" s="12" t="n">
        <v>46197</v>
      </c>
      <c r="H1713" s="12" t="n">
        <v>46193</v>
      </c>
      <c r="I1713" s="12" t="n">
        <v>46191</v>
      </c>
      <c r="J1713" s="12" t="n">
        <v>46200</v>
      </c>
      <c r="K1713" s="2" t="n">
        <v>1139</v>
      </c>
      <c r="L1713" s="2" t="inlineStr">
        <is>
          <t>Sea</t>
        </is>
      </c>
      <c r="M1713" s="2" t="inlineStr">
        <is>
          <t>Material Shortage</t>
        </is>
      </c>
      <c r="N1713" s="4">
        <f>IF(I1713&lt;=H1713,1,0)</f>
        <v/>
      </c>
      <c r="O1713" s="4">
        <f>IF(J1713&lt;=G1713,1,0)</f>
        <v/>
      </c>
      <c r="P1713" s="4">
        <f>MAX(0,I1713-H1713)</f>
        <v/>
      </c>
      <c r="Q1713" s="4">
        <f>MAX(0,J1713-G1713)</f>
        <v/>
      </c>
      <c r="R1713" s="4">
        <f>IF(AND(N1713=1,O1713=1),"On Track",IF(O1713=0,"Customer Delivery Late","Ship Late"))</f>
        <v/>
      </c>
    </row>
    <row r="1714">
      <c r="A1714" s="2" t="inlineStr">
        <is>
          <t>ORD-01713</t>
        </is>
      </c>
      <c r="B1714" s="2" t="inlineStr">
        <is>
          <t>Customer 11</t>
        </is>
      </c>
      <c r="C1714" s="2" t="inlineStr">
        <is>
          <t>Drive</t>
        </is>
      </c>
      <c r="D1714" s="2" t="inlineStr">
        <is>
          <t>Plant C</t>
        </is>
      </c>
      <c r="E1714" s="2" t="inlineStr">
        <is>
          <t>North</t>
        </is>
      </c>
      <c r="F1714" s="12" t="n">
        <v>46107</v>
      </c>
      <c r="G1714" s="12" t="n">
        <v>46115</v>
      </c>
      <c r="H1714" s="12" t="n">
        <v>46110</v>
      </c>
      <c r="I1714" s="12" t="n">
        <v>46109</v>
      </c>
      <c r="J1714" s="12" t="n">
        <v>46114</v>
      </c>
      <c r="K1714" s="2" t="n">
        <v>597</v>
      </c>
      <c r="L1714" s="2" t="inlineStr">
        <is>
          <t>Sea</t>
        </is>
      </c>
      <c r="M1714" s="2" t="inlineStr">
        <is>
          <t>No Delay</t>
        </is>
      </c>
      <c r="N1714" s="4">
        <f>IF(I1714&lt;=H1714,1,0)</f>
        <v/>
      </c>
      <c r="O1714" s="4">
        <f>IF(J1714&lt;=G1714,1,0)</f>
        <v/>
      </c>
      <c r="P1714" s="4">
        <f>MAX(0,I1714-H1714)</f>
        <v/>
      </c>
      <c r="Q1714" s="4">
        <f>MAX(0,J1714-G1714)</f>
        <v/>
      </c>
      <c r="R1714" s="4">
        <f>IF(AND(N1714=1,O1714=1),"On Track",IF(O1714=0,"Customer Delivery Late","Ship Late"))</f>
        <v/>
      </c>
    </row>
    <row r="1715">
      <c r="A1715" s="2" t="inlineStr">
        <is>
          <t>ORD-01714</t>
        </is>
      </c>
      <c r="B1715" s="2" t="inlineStr">
        <is>
          <t>Customer 14</t>
        </is>
      </c>
      <c r="C1715" s="2" t="inlineStr">
        <is>
          <t>Power Supply</t>
        </is>
      </c>
      <c r="D1715" s="2" t="inlineStr">
        <is>
          <t>Plant A</t>
        </is>
      </c>
      <c r="E1715" s="2" t="inlineStr">
        <is>
          <t>North</t>
        </is>
      </c>
      <c r="F1715" s="12" t="n">
        <v>46124</v>
      </c>
      <c r="G1715" s="12" t="n">
        <v>46132</v>
      </c>
      <c r="H1715" s="12" t="n">
        <v>46131</v>
      </c>
      <c r="I1715" s="12" t="n">
        <v>46131</v>
      </c>
      <c r="J1715" s="12" t="n">
        <v>46132</v>
      </c>
      <c r="K1715" s="2" t="n">
        <v>184</v>
      </c>
      <c r="L1715" s="2" t="inlineStr">
        <is>
          <t>Road</t>
        </is>
      </c>
      <c r="M1715" s="2" t="inlineStr">
        <is>
          <t>No Delay</t>
        </is>
      </c>
      <c r="N1715" s="4">
        <f>IF(I1715&lt;=H1715,1,0)</f>
        <v/>
      </c>
      <c r="O1715" s="4">
        <f>IF(J1715&lt;=G1715,1,0)</f>
        <v/>
      </c>
      <c r="P1715" s="4">
        <f>MAX(0,I1715-H1715)</f>
        <v/>
      </c>
      <c r="Q1715" s="4">
        <f>MAX(0,J1715-G1715)</f>
        <v/>
      </c>
      <c r="R1715" s="4">
        <f>IF(AND(N1715=1,O1715=1),"On Track",IF(O1715=0,"Customer Delivery Late","Ship Late"))</f>
        <v/>
      </c>
    </row>
    <row r="1716">
      <c r="A1716" s="2" t="inlineStr">
        <is>
          <t>ORD-01715</t>
        </is>
      </c>
      <c r="B1716" s="2" t="inlineStr">
        <is>
          <t>Customer 24</t>
        </is>
      </c>
      <c r="C1716" s="2" t="inlineStr">
        <is>
          <t>Relay</t>
        </is>
      </c>
      <c r="D1716" s="2" t="inlineStr">
        <is>
          <t>Plant A</t>
        </is>
      </c>
      <c r="E1716" s="2" t="inlineStr">
        <is>
          <t>Central</t>
        </is>
      </c>
      <c r="F1716" s="12" t="n">
        <v>46166</v>
      </c>
      <c r="G1716" s="12" t="n">
        <v>46178</v>
      </c>
      <c r="H1716" s="12" t="n">
        <v>46173</v>
      </c>
      <c r="I1716" s="12" t="n">
        <v>46171</v>
      </c>
      <c r="J1716" s="12" t="n">
        <v>46175</v>
      </c>
      <c r="K1716" s="2" t="n">
        <v>1172</v>
      </c>
      <c r="L1716" s="2" t="inlineStr">
        <is>
          <t>Sea</t>
        </is>
      </c>
      <c r="M1716" s="2" t="inlineStr">
        <is>
          <t>No Delay</t>
        </is>
      </c>
      <c r="N1716" s="4">
        <f>IF(I1716&lt;=H1716,1,0)</f>
        <v/>
      </c>
      <c r="O1716" s="4">
        <f>IF(J1716&lt;=G1716,1,0)</f>
        <v/>
      </c>
      <c r="P1716" s="4">
        <f>MAX(0,I1716-H1716)</f>
        <v/>
      </c>
      <c r="Q1716" s="4">
        <f>MAX(0,J1716-G1716)</f>
        <v/>
      </c>
      <c r="R1716" s="4">
        <f>IF(AND(N1716=1,O1716=1),"On Track",IF(O1716=0,"Customer Delivery Late","Ship Late"))</f>
        <v/>
      </c>
    </row>
    <row r="1717">
      <c r="A1717" s="2" t="inlineStr">
        <is>
          <t>ORD-01716</t>
        </is>
      </c>
      <c r="B1717" s="2" t="inlineStr">
        <is>
          <t>Customer 23</t>
        </is>
      </c>
      <c r="C1717" s="2" t="inlineStr">
        <is>
          <t>Drive</t>
        </is>
      </c>
      <c r="D1717" s="2" t="inlineStr">
        <is>
          <t>Plant A</t>
        </is>
      </c>
      <c r="E1717" s="2" t="inlineStr">
        <is>
          <t>Export</t>
        </is>
      </c>
      <c r="F1717" s="12" t="n">
        <v>46183</v>
      </c>
      <c r="G1717" s="12" t="n">
        <v>46201</v>
      </c>
      <c r="H1717" s="12" t="n">
        <v>46200</v>
      </c>
      <c r="I1717" s="12" t="n">
        <v>46198</v>
      </c>
      <c r="J1717" s="12" t="n">
        <v>46199</v>
      </c>
      <c r="K1717" s="2" t="n">
        <v>889</v>
      </c>
      <c r="L1717" s="2" t="inlineStr">
        <is>
          <t>Air</t>
        </is>
      </c>
      <c r="M1717" s="2" t="inlineStr">
        <is>
          <t>No Delay</t>
        </is>
      </c>
      <c r="N1717" s="4">
        <f>IF(I1717&lt;=H1717,1,0)</f>
        <v/>
      </c>
      <c r="O1717" s="4">
        <f>IF(J1717&lt;=G1717,1,0)</f>
        <v/>
      </c>
      <c r="P1717" s="4">
        <f>MAX(0,I1717-H1717)</f>
        <v/>
      </c>
      <c r="Q1717" s="4">
        <f>MAX(0,J1717-G1717)</f>
        <v/>
      </c>
      <c r="R1717" s="4">
        <f>IF(AND(N1717=1,O1717=1),"On Track",IF(O1717=0,"Customer Delivery Late","Ship Late"))</f>
        <v/>
      </c>
    </row>
    <row r="1718">
      <c r="A1718" s="2" t="inlineStr">
        <is>
          <t>ORD-01717</t>
        </is>
      </c>
      <c r="B1718" s="2" t="inlineStr">
        <is>
          <t>Customer 29</t>
        </is>
      </c>
      <c r="C1718" s="2" t="inlineStr">
        <is>
          <t>Relay</t>
        </is>
      </c>
      <c r="D1718" s="2" t="inlineStr">
        <is>
          <t>Plant B</t>
        </is>
      </c>
      <c r="E1718" s="2" t="inlineStr">
        <is>
          <t>Export</t>
        </is>
      </c>
      <c r="F1718" s="12" t="n">
        <v>46106</v>
      </c>
      <c r="G1718" s="12" t="n">
        <v>46118</v>
      </c>
      <c r="H1718" s="12" t="n">
        <v>46115</v>
      </c>
      <c r="I1718" s="12" t="n">
        <v>46115</v>
      </c>
      <c r="J1718" s="12" t="n">
        <v>46118</v>
      </c>
      <c r="K1718" s="2" t="n">
        <v>458</v>
      </c>
      <c r="L1718" s="2" t="inlineStr">
        <is>
          <t>Sea</t>
        </is>
      </c>
      <c r="M1718" s="2" t="inlineStr">
        <is>
          <t>No Delay</t>
        </is>
      </c>
      <c r="N1718" s="4">
        <f>IF(I1718&lt;=H1718,1,0)</f>
        <v/>
      </c>
      <c r="O1718" s="4">
        <f>IF(J1718&lt;=G1718,1,0)</f>
        <v/>
      </c>
      <c r="P1718" s="4">
        <f>MAX(0,I1718-H1718)</f>
        <v/>
      </c>
      <c r="Q1718" s="4">
        <f>MAX(0,J1718-G1718)</f>
        <v/>
      </c>
      <c r="R1718" s="4">
        <f>IF(AND(N1718=1,O1718=1),"On Track",IF(O1718=0,"Customer Delivery Late","Ship Late"))</f>
        <v/>
      </c>
    </row>
    <row r="1719">
      <c r="A1719" s="2" t="inlineStr">
        <is>
          <t>ORD-01718</t>
        </is>
      </c>
      <c r="B1719" s="2" t="inlineStr">
        <is>
          <t>Customer 24</t>
        </is>
      </c>
      <c r="C1719" s="2" t="inlineStr">
        <is>
          <t>PLC</t>
        </is>
      </c>
      <c r="D1719" s="2" t="inlineStr">
        <is>
          <t>Plant C</t>
        </is>
      </c>
      <c r="E1719" s="2" t="inlineStr">
        <is>
          <t>South</t>
        </is>
      </c>
      <c r="F1719" s="12" t="n">
        <v>46099</v>
      </c>
      <c r="G1719" s="12" t="n">
        <v>46116</v>
      </c>
      <c r="H1719" s="12" t="n">
        <v>46115</v>
      </c>
      <c r="I1719" s="12" t="n">
        <v>46113</v>
      </c>
      <c r="J1719" s="12" t="n">
        <v>46120</v>
      </c>
      <c r="K1719" s="2" t="n">
        <v>1017</v>
      </c>
      <c r="L1719" s="2" t="inlineStr">
        <is>
          <t>Road</t>
        </is>
      </c>
      <c r="M1719" s="2" t="inlineStr">
        <is>
          <t>Customer Change</t>
        </is>
      </c>
      <c r="N1719" s="4">
        <f>IF(I1719&lt;=H1719,1,0)</f>
        <v/>
      </c>
      <c r="O1719" s="4">
        <f>IF(J1719&lt;=G1719,1,0)</f>
        <v/>
      </c>
      <c r="P1719" s="4">
        <f>MAX(0,I1719-H1719)</f>
        <v/>
      </c>
      <c r="Q1719" s="4">
        <f>MAX(0,J1719-G1719)</f>
        <v/>
      </c>
      <c r="R1719" s="4">
        <f>IF(AND(N1719=1,O1719=1),"On Track",IF(O1719=0,"Customer Delivery Late","Ship Late"))</f>
        <v/>
      </c>
    </row>
    <row r="1720">
      <c r="A1720" s="2" t="inlineStr">
        <is>
          <t>ORD-01719</t>
        </is>
      </c>
      <c r="B1720" s="2" t="inlineStr">
        <is>
          <t>Customer 18</t>
        </is>
      </c>
      <c r="C1720" s="2" t="inlineStr">
        <is>
          <t>Relay</t>
        </is>
      </c>
      <c r="D1720" s="2" t="inlineStr">
        <is>
          <t>Plant A</t>
        </is>
      </c>
      <c r="E1720" s="2" t="inlineStr">
        <is>
          <t>South</t>
        </is>
      </c>
      <c r="F1720" s="12" t="n">
        <v>46089</v>
      </c>
      <c r="G1720" s="12" t="n">
        <v>46101</v>
      </c>
      <c r="H1720" s="12" t="n">
        <v>46098</v>
      </c>
      <c r="I1720" s="12" t="n">
        <v>46097</v>
      </c>
      <c r="J1720" s="12" t="n">
        <v>46100</v>
      </c>
      <c r="K1720" s="2" t="n">
        <v>217</v>
      </c>
      <c r="L1720" s="2" t="inlineStr">
        <is>
          <t>Sea</t>
        </is>
      </c>
      <c r="M1720" s="2" t="inlineStr">
        <is>
          <t>No Delay</t>
        </is>
      </c>
      <c r="N1720" s="4">
        <f>IF(I1720&lt;=H1720,1,0)</f>
        <v/>
      </c>
      <c r="O1720" s="4">
        <f>IF(J1720&lt;=G1720,1,0)</f>
        <v/>
      </c>
      <c r="P1720" s="4">
        <f>MAX(0,I1720-H1720)</f>
        <v/>
      </c>
      <c r="Q1720" s="4">
        <f>MAX(0,J1720-G1720)</f>
        <v/>
      </c>
      <c r="R1720" s="4">
        <f>IF(AND(N1720=1,O1720=1),"On Track",IF(O1720=0,"Customer Delivery Late","Ship Late"))</f>
        <v/>
      </c>
    </row>
    <row r="1721">
      <c r="A1721" s="2" t="inlineStr">
        <is>
          <t>ORD-01720</t>
        </is>
      </c>
      <c r="B1721" s="2" t="inlineStr">
        <is>
          <t>Customer 17</t>
        </is>
      </c>
      <c r="C1721" s="2" t="inlineStr">
        <is>
          <t>Power Supply</t>
        </is>
      </c>
      <c r="D1721" s="2" t="inlineStr">
        <is>
          <t>Plant B</t>
        </is>
      </c>
      <c r="E1721" s="2" t="inlineStr">
        <is>
          <t>Export</t>
        </is>
      </c>
      <c r="F1721" s="12" t="n">
        <v>46196</v>
      </c>
      <c r="G1721" s="12" t="n">
        <v>46205</v>
      </c>
      <c r="H1721" s="12" t="n">
        <v>46201</v>
      </c>
      <c r="I1721" s="12" t="n">
        <v>46199</v>
      </c>
      <c r="J1721" s="12" t="n">
        <v>46203</v>
      </c>
      <c r="K1721" s="2" t="n">
        <v>729</v>
      </c>
      <c r="L1721" s="2" t="inlineStr">
        <is>
          <t>Sea</t>
        </is>
      </c>
      <c r="M1721" s="2" t="inlineStr">
        <is>
          <t>No Delay</t>
        </is>
      </c>
      <c r="N1721" s="4">
        <f>IF(I1721&lt;=H1721,1,0)</f>
        <v/>
      </c>
      <c r="O1721" s="4">
        <f>IF(J1721&lt;=G1721,1,0)</f>
        <v/>
      </c>
      <c r="P1721" s="4">
        <f>MAX(0,I1721-H1721)</f>
        <v/>
      </c>
      <c r="Q1721" s="4">
        <f>MAX(0,J1721-G1721)</f>
        <v/>
      </c>
      <c r="R1721" s="4">
        <f>IF(AND(N1721=1,O1721=1),"On Track",IF(O1721=0,"Customer Delivery Late","Ship Late"))</f>
        <v/>
      </c>
    </row>
    <row r="1722">
      <c r="A1722" s="2" t="inlineStr">
        <is>
          <t>ORD-01721</t>
        </is>
      </c>
      <c r="B1722" s="2" t="inlineStr">
        <is>
          <t>Customer 15</t>
        </is>
      </c>
      <c r="C1722" s="2" t="inlineStr">
        <is>
          <t>Sensor</t>
        </is>
      </c>
      <c r="D1722" s="2" t="inlineStr">
        <is>
          <t>Plant C</t>
        </is>
      </c>
      <c r="E1722" s="2" t="inlineStr">
        <is>
          <t>South</t>
        </is>
      </c>
      <c r="F1722" s="12" t="n">
        <v>46125</v>
      </c>
      <c r="G1722" s="12" t="n">
        <v>46134</v>
      </c>
      <c r="H1722" s="12" t="n">
        <v>46132</v>
      </c>
      <c r="I1722" s="12" t="n">
        <v>46130</v>
      </c>
      <c r="J1722" s="12" t="n">
        <v>46132</v>
      </c>
      <c r="K1722" s="2" t="n">
        <v>979</v>
      </c>
      <c r="L1722" s="2" t="inlineStr">
        <is>
          <t>Air</t>
        </is>
      </c>
      <c r="M1722" s="2" t="inlineStr">
        <is>
          <t>No Delay</t>
        </is>
      </c>
      <c r="N1722" s="4">
        <f>IF(I1722&lt;=H1722,1,0)</f>
        <v/>
      </c>
      <c r="O1722" s="4">
        <f>IF(J1722&lt;=G1722,1,0)</f>
        <v/>
      </c>
      <c r="P1722" s="4">
        <f>MAX(0,I1722-H1722)</f>
        <v/>
      </c>
      <c r="Q1722" s="4">
        <f>MAX(0,J1722-G1722)</f>
        <v/>
      </c>
      <c r="R1722" s="4">
        <f>IF(AND(N1722=1,O1722=1),"On Track",IF(O1722=0,"Customer Delivery Late","Ship Late"))</f>
        <v/>
      </c>
    </row>
    <row r="1723">
      <c r="A1723" s="2" t="inlineStr">
        <is>
          <t>ORD-01722</t>
        </is>
      </c>
      <c r="B1723" s="2" t="inlineStr">
        <is>
          <t>Customer 30</t>
        </is>
      </c>
      <c r="C1723" s="2" t="inlineStr">
        <is>
          <t>Contactor</t>
        </is>
      </c>
      <c r="D1723" s="2" t="inlineStr">
        <is>
          <t>Plant C</t>
        </is>
      </c>
      <c r="E1723" s="2" t="inlineStr">
        <is>
          <t>South</t>
        </is>
      </c>
      <c r="F1723" s="12" t="n">
        <v>46043</v>
      </c>
      <c r="G1723" s="12" t="n">
        <v>46053</v>
      </c>
      <c r="H1723" s="12" t="n">
        <v>46048</v>
      </c>
      <c r="I1723" s="12" t="n">
        <v>46046</v>
      </c>
      <c r="J1723" s="12" t="n">
        <v>46050</v>
      </c>
      <c r="K1723" s="2" t="n">
        <v>1035</v>
      </c>
      <c r="L1723" s="2" t="inlineStr">
        <is>
          <t>Sea</t>
        </is>
      </c>
      <c r="M1723" s="2" t="inlineStr">
        <is>
          <t>No Delay</t>
        </is>
      </c>
      <c r="N1723" s="4">
        <f>IF(I1723&lt;=H1723,1,0)</f>
        <v/>
      </c>
      <c r="O1723" s="4">
        <f>IF(J1723&lt;=G1723,1,0)</f>
        <v/>
      </c>
      <c r="P1723" s="4">
        <f>MAX(0,I1723-H1723)</f>
        <v/>
      </c>
      <c r="Q1723" s="4">
        <f>MAX(0,J1723-G1723)</f>
        <v/>
      </c>
      <c r="R1723" s="4">
        <f>IF(AND(N1723=1,O1723=1),"On Track",IF(O1723=0,"Customer Delivery Late","Ship Late"))</f>
        <v/>
      </c>
    </row>
    <row r="1724">
      <c r="A1724" s="2" t="inlineStr">
        <is>
          <t>ORD-01723</t>
        </is>
      </c>
      <c r="B1724" s="2" t="inlineStr">
        <is>
          <t>Customer 10</t>
        </is>
      </c>
      <c r="C1724" s="2" t="inlineStr">
        <is>
          <t>Power Supply</t>
        </is>
      </c>
      <c r="D1724" s="2" t="inlineStr">
        <is>
          <t>Plant C</t>
        </is>
      </c>
      <c r="E1724" s="2" t="inlineStr">
        <is>
          <t>Export</t>
        </is>
      </c>
      <c r="F1724" s="12" t="n">
        <v>46146</v>
      </c>
      <c r="G1724" s="12" t="n">
        <v>46160</v>
      </c>
      <c r="H1724" s="12" t="n">
        <v>46158</v>
      </c>
      <c r="I1724" s="12" t="n">
        <v>46157</v>
      </c>
      <c r="J1724" s="12" t="n">
        <v>46159</v>
      </c>
      <c r="K1724" s="2" t="n">
        <v>1131</v>
      </c>
      <c r="L1724" s="2" t="inlineStr">
        <is>
          <t>Road</t>
        </is>
      </c>
      <c r="M1724" s="2" t="inlineStr">
        <is>
          <t>No Delay</t>
        </is>
      </c>
      <c r="N1724" s="4">
        <f>IF(I1724&lt;=H1724,1,0)</f>
        <v/>
      </c>
      <c r="O1724" s="4">
        <f>IF(J1724&lt;=G1724,1,0)</f>
        <v/>
      </c>
      <c r="P1724" s="4">
        <f>MAX(0,I1724-H1724)</f>
        <v/>
      </c>
      <c r="Q1724" s="4">
        <f>MAX(0,J1724-G1724)</f>
        <v/>
      </c>
      <c r="R1724" s="4">
        <f>IF(AND(N1724=1,O1724=1),"On Track",IF(O1724=0,"Customer Delivery Late","Ship Late"))</f>
        <v/>
      </c>
    </row>
    <row r="1725">
      <c r="A1725" s="2" t="inlineStr">
        <is>
          <t>ORD-01724</t>
        </is>
      </c>
      <c r="B1725" s="2" t="inlineStr">
        <is>
          <t>Customer 25</t>
        </is>
      </c>
      <c r="C1725" s="2" t="inlineStr">
        <is>
          <t>Drive</t>
        </is>
      </c>
      <c r="D1725" s="2" t="inlineStr">
        <is>
          <t>Plant A</t>
        </is>
      </c>
      <c r="E1725" s="2" t="inlineStr">
        <is>
          <t>South</t>
        </is>
      </c>
      <c r="F1725" s="12" t="n">
        <v>46051</v>
      </c>
      <c r="G1725" s="12" t="n">
        <v>46060</v>
      </c>
      <c r="H1725" s="12" t="n">
        <v>46059</v>
      </c>
      <c r="I1725" s="12" t="n">
        <v>46059</v>
      </c>
      <c r="J1725" s="12" t="n">
        <v>46060</v>
      </c>
      <c r="K1725" s="2" t="n">
        <v>535</v>
      </c>
      <c r="L1725" s="2" t="inlineStr">
        <is>
          <t>Sea</t>
        </is>
      </c>
      <c r="M1725" s="2" t="inlineStr">
        <is>
          <t>No Delay</t>
        </is>
      </c>
      <c r="N1725" s="4">
        <f>IF(I1725&lt;=H1725,1,0)</f>
        <v/>
      </c>
      <c r="O1725" s="4">
        <f>IF(J1725&lt;=G1725,1,0)</f>
        <v/>
      </c>
      <c r="P1725" s="4">
        <f>MAX(0,I1725-H1725)</f>
        <v/>
      </c>
      <c r="Q1725" s="4">
        <f>MAX(0,J1725-G1725)</f>
        <v/>
      </c>
      <c r="R1725" s="4">
        <f>IF(AND(N1725=1,O1725=1),"On Track",IF(O1725=0,"Customer Delivery Late","Ship Late"))</f>
        <v/>
      </c>
    </row>
    <row r="1726">
      <c r="A1726" s="2" t="inlineStr">
        <is>
          <t>ORD-01725</t>
        </is>
      </c>
      <c r="B1726" s="2" t="inlineStr">
        <is>
          <t>Customer 04</t>
        </is>
      </c>
      <c r="C1726" s="2" t="inlineStr">
        <is>
          <t>Switchgear</t>
        </is>
      </c>
      <c r="D1726" s="2" t="inlineStr">
        <is>
          <t>Plant A</t>
        </is>
      </c>
      <c r="E1726" s="2" t="inlineStr">
        <is>
          <t>North</t>
        </is>
      </c>
      <c r="F1726" s="12" t="n">
        <v>46067</v>
      </c>
      <c r="G1726" s="12" t="n">
        <v>46072</v>
      </c>
      <c r="H1726" s="12" t="n">
        <v>46068</v>
      </c>
      <c r="I1726" s="12" t="n">
        <v>46067</v>
      </c>
      <c r="J1726" s="12" t="n">
        <v>46070</v>
      </c>
      <c r="K1726" s="2" t="n">
        <v>1097</v>
      </c>
      <c r="L1726" s="2" t="inlineStr">
        <is>
          <t>Road</t>
        </is>
      </c>
      <c r="M1726" s="2" t="inlineStr">
        <is>
          <t>No Delay</t>
        </is>
      </c>
      <c r="N1726" s="4">
        <f>IF(I1726&lt;=H1726,1,0)</f>
        <v/>
      </c>
      <c r="O1726" s="4">
        <f>IF(J1726&lt;=G1726,1,0)</f>
        <v/>
      </c>
      <c r="P1726" s="4">
        <f>MAX(0,I1726-H1726)</f>
        <v/>
      </c>
      <c r="Q1726" s="4">
        <f>MAX(0,J1726-G1726)</f>
        <v/>
      </c>
      <c r="R1726" s="4">
        <f>IF(AND(N1726=1,O1726=1),"On Track",IF(O1726=0,"Customer Delivery Late","Ship Late"))</f>
        <v/>
      </c>
    </row>
    <row r="1727">
      <c r="A1727" s="2" t="inlineStr">
        <is>
          <t>ORD-01726</t>
        </is>
      </c>
      <c r="B1727" s="2" t="inlineStr">
        <is>
          <t>Customer 22</t>
        </is>
      </c>
      <c r="C1727" s="2" t="inlineStr">
        <is>
          <t>Sensor</t>
        </is>
      </c>
      <c r="D1727" s="2" t="inlineStr">
        <is>
          <t>Plant C</t>
        </is>
      </c>
      <c r="E1727" s="2" t="inlineStr">
        <is>
          <t>Central</t>
        </is>
      </c>
      <c r="F1727" s="12" t="n">
        <v>46141</v>
      </c>
      <c r="G1727" s="12" t="n">
        <v>46153</v>
      </c>
      <c r="H1727" s="12" t="n">
        <v>46152</v>
      </c>
      <c r="I1727" s="12" t="n">
        <v>46151</v>
      </c>
      <c r="J1727" s="12" t="n">
        <v>46152</v>
      </c>
      <c r="K1727" s="2" t="n">
        <v>1492</v>
      </c>
      <c r="L1727" s="2" t="inlineStr">
        <is>
          <t>Road</t>
        </is>
      </c>
      <c r="M1727" s="2" t="inlineStr">
        <is>
          <t>No Delay</t>
        </is>
      </c>
      <c r="N1727" s="4">
        <f>IF(I1727&lt;=H1727,1,0)</f>
        <v/>
      </c>
      <c r="O1727" s="4">
        <f>IF(J1727&lt;=G1727,1,0)</f>
        <v/>
      </c>
      <c r="P1727" s="4">
        <f>MAX(0,I1727-H1727)</f>
        <v/>
      </c>
      <c r="Q1727" s="4">
        <f>MAX(0,J1727-G1727)</f>
        <v/>
      </c>
      <c r="R1727" s="4">
        <f>IF(AND(N1727=1,O1727=1),"On Track",IF(O1727=0,"Customer Delivery Late","Ship Late"))</f>
        <v/>
      </c>
    </row>
    <row r="1728">
      <c r="A1728" s="2" t="inlineStr">
        <is>
          <t>ORD-01727</t>
        </is>
      </c>
      <c r="B1728" s="2" t="inlineStr">
        <is>
          <t>Customer 28</t>
        </is>
      </c>
      <c r="C1728" s="2" t="inlineStr">
        <is>
          <t>Breaker</t>
        </is>
      </c>
      <c r="D1728" s="2" t="inlineStr">
        <is>
          <t>Plant B</t>
        </is>
      </c>
      <c r="E1728" s="2" t="inlineStr">
        <is>
          <t>North</t>
        </is>
      </c>
      <c r="F1728" s="12" t="n">
        <v>46158</v>
      </c>
      <c r="G1728" s="12" t="n">
        <v>46179</v>
      </c>
      <c r="H1728" s="12" t="n">
        <v>46176</v>
      </c>
      <c r="I1728" s="12" t="n">
        <v>46175</v>
      </c>
      <c r="J1728" s="12" t="n">
        <v>46178</v>
      </c>
      <c r="K1728" s="2" t="n">
        <v>216</v>
      </c>
      <c r="L1728" s="2" t="inlineStr">
        <is>
          <t>Road</t>
        </is>
      </c>
      <c r="M1728" s="2" t="inlineStr">
        <is>
          <t>No Delay</t>
        </is>
      </c>
      <c r="N1728" s="4">
        <f>IF(I1728&lt;=H1728,1,0)</f>
        <v/>
      </c>
      <c r="O1728" s="4">
        <f>IF(J1728&lt;=G1728,1,0)</f>
        <v/>
      </c>
      <c r="P1728" s="4">
        <f>MAX(0,I1728-H1728)</f>
        <v/>
      </c>
      <c r="Q1728" s="4">
        <f>MAX(0,J1728-G1728)</f>
        <v/>
      </c>
      <c r="R1728" s="4">
        <f>IF(AND(N1728=1,O1728=1),"On Track",IF(O1728=0,"Customer Delivery Late","Ship Late"))</f>
        <v/>
      </c>
    </row>
    <row r="1729">
      <c r="A1729" s="2" t="inlineStr">
        <is>
          <t>ORD-01728</t>
        </is>
      </c>
      <c r="B1729" s="2" t="inlineStr">
        <is>
          <t>Customer 09</t>
        </is>
      </c>
      <c r="C1729" s="2" t="inlineStr">
        <is>
          <t>Contactor</t>
        </is>
      </c>
      <c r="D1729" s="2" t="inlineStr">
        <is>
          <t>Plant C</t>
        </is>
      </c>
      <c r="E1729" s="2" t="inlineStr">
        <is>
          <t>Central</t>
        </is>
      </c>
      <c r="F1729" s="12" t="n">
        <v>46069</v>
      </c>
      <c r="G1729" s="12" t="n">
        <v>46076</v>
      </c>
      <c r="H1729" s="12" t="n">
        <v>46074</v>
      </c>
      <c r="I1729" s="12" t="n">
        <v>46073</v>
      </c>
      <c r="J1729" s="12" t="n">
        <v>46075</v>
      </c>
      <c r="K1729" s="2" t="n">
        <v>516</v>
      </c>
      <c r="L1729" s="2" t="inlineStr">
        <is>
          <t>Road</t>
        </is>
      </c>
      <c r="M1729" s="2" t="inlineStr">
        <is>
          <t>No Delay</t>
        </is>
      </c>
      <c r="N1729" s="4">
        <f>IF(I1729&lt;=H1729,1,0)</f>
        <v/>
      </c>
      <c r="O1729" s="4">
        <f>IF(J1729&lt;=G1729,1,0)</f>
        <v/>
      </c>
      <c r="P1729" s="4">
        <f>MAX(0,I1729-H1729)</f>
        <v/>
      </c>
      <c r="Q1729" s="4">
        <f>MAX(0,J1729-G1729)</f>
        <v/>
      </c>
      <c r="R1729" s="4">
        <f>IF(AND(N1729=1,O1729=1),"On Track",IF(O1729=0,"Customer Delivery Late","Ship Late"))</f>
        <v/>
      </c>
    </row>
    <row r="1730">
      <c r="A1730" s="2" t="inlineStr">
        <is>
          <t>ORD-01729</t>
        </is>
      </c>
      <c r="B1730" s="2" t="inlineStr">
        <is>
          <t>Customer 08</t>
        </is>
      </c>
      <c r="C1730" s="2" t="inlineStr">
        <is>
          <t>Switchgear</t>
        </is>
      </c>
      <c r="D1730" s="2" t="inlineStr">
        <is>
          <t>Plant A</t>
        </is>
      </c>
      <c r="E1730" s="2" t="inlineStr">
        <is>
          <t>North</t>
        </is>
      </c>
      <c r="F1730" s="12" t="n">
        <v>46053</v>
      </c>
      <c r="G1730" s="12" t="n">
        <v>46070</v>
      </c>
      <c r="H1730" s="12" t="n">
        <v>46069</v>
      </c>
      <c r="I1730" s="12" t="n">
        <v>46069</v>
      </c>
      <c r="J1730" s="12" t="n">
        <v>46070</v>
      </c>
      <c r="K1730" s="2" t="n">
        <v>1471</v>
      </c>
      <c r="L1730" s="2" t="inlineStr">
        <is>
          <t>Sea</t>
        </is>
      </c>
      <c r="M1730" s="2" t="inlineStr">
        <is>
          <t>No Delay</t>
        </is>
      </c>
      <c r="N1730" s="4">
        <f>IF(I1730&lt;=H1730,1,0)</f>
        <v/>
      </c>
      <c r="O1730" s="4">
        <f>IF(J1730&lt;=G1730,1,0)</f>
        <v/>
      </c>
      <c r="P1730" s="4">
        <f>MAX(0,I1730-H1730)</f>
        <v/>
      </c>
      <c r="Q1730" s="4">
        <f>MAX(0,J1730-G1730)</f>
        <v/>
      </c>
      <c r="R1730" s="4">
        <f>IF(AND(N1730=1,O1730=1),"On Track",IF(O1730=0,"Customer Delivery Late","Ship Late"))</f>
        <v/>
      </c>
    </row>
    <row r="1731">
      <c r="A1731" s="2" t="inlineStr">
        <is>
          <t>ORD-01730</t>
        </is>
      </c>
      <c r="B1731" s="2" t="inlineStr">
        <is>
          <t>Customer 23</t>
        </is>
      </c>
      <c r="C1731" s="2" t="inlineStr">
        <is>
          <t>PLC</t>
        </is>
      </c>
      <c r="D1731" s="2" t="inlineStr">
        <is>
          <t>Plant A</t>
        </is>
      </c>
      <c r="E1731" s="2" t="inlineStr">
        <is>
          <t>Export</t>
        </is>
      </c>
      <c r="F1731" s="12" t="n">
        <v>46187</v>
      </c>
      <c r="G1731" s="12" t="n">
        <v>46208</v>
      </c>
      <c r="H1731" s="12" t="n">
        <v>46204</v>
      </c>
      <c r="I1731" s="12" t="n">
        <v>46202</v>
      </c>
      <c r="J1731" s="12" t="n">
        <v>46206</v>
      </c>
      <c r="K1731" s="2" t="n">
        <v>1137</v>
      </c>
      <c r="L1731" s="2" t="inlineStr">
        <is>
          <t>Sea</t>
        </is>
      </c>
      <c r="M1731" s="2" t="inlineStr">
        <is>
          <t>No Delay</t>
        </is>
      </c>
      <c r="N1731" s="4">
        <f>IF(I1731&lt;=H1731,1,0)</f>
        <v/>
      </c>
      <c r="O1731" s="4">
        <f>IF(J1731&lt;=G1731,1,0)</f>
        <v/>
      </c>
      <c r="P1731" s="4">
        <f>MAX(0,I1731-H1731)</f>
        <v/>
      </c>
      <c r="Q1731" s="4">
        <f>MAX(0,J1731-G1731)</f>
        <v/>
      </c>
      <c r="R1731" s="4">
        <f>IF(AND(N1731=1,O1731=1),"On Track",IF(O1731=0,"Customer Delivery Late","Ship Late"))</f>
        <v/>
      </c>
    </row>
    <row r="1732">
      <c r="A1732" s="2" t="inlineStr">
        <is>
          <t>ORD-01731</t>
        </is>
      </c>
      <c r="B1732" s="2" t="inlineStr">
        <is>
          <t>Customer 30</t>
        </is>
      </c>
      <c r="C1732" s="2" t="inlineStr">
        <is>
          <t>Switchgear</t>
        </is>
      </c>
      <c r="D1732" s="2" t="inlineStr">
        <is>
          <t>Plant A</t>
        </is>
      </c>
      <c r="E1732" s="2" t="inlineStr">
        <is>
          <t>Central</t>
        </is>
      </c>
      <c r="F1732" s="12" t="n">
        <v>46182</v>
      </c>
      <c r="G1732" s="12" t="n">
        <v>46206</v>
      </c>
      <c r="H1732" s="12" t="n">
        <v>46205</v>
      </c>
      <c r="I1732" s="12" t="n">
        <v>46204</v>
      </c>
      <c r="J1732" s="12" t="n">
        <v>46205</v>
      </c>
      <c r="K1732" s="2" t="n">
        <v>229</v>
      </c>
      <c r="L1732" s="2" t="inlineStr">
        <is>
          <t>Sea</t>
        </is>
      </c>
      <c r="M1732" s="2" t="inlineStr">
        <is>
          <t>No Delay</t>
        </is>
      </c>
      <c r="N1732" s="4">
        <f>IF(I1732&lt;=H1732,1,0)</f>
        <v/>
      </c>
      <c r="O1732" s="4">
        <f>IF(J1732&lt;=G1732,1,0)</f>
        <v/>
      </c>
      <c r="P1732" s="4">
        <f>MAX(0,I1732-H1732)</f>
        <v/>
      </c>
      <c r="Q1732" s="4">
        <f>MAX(0,J1732-G1732)</f>
        <v/>
      </c>
      <c r="R1732" s="4">
        <f>IF(AND(N1732=1,O1732=1),"On Track",IF(O1732=0,"Customer Delivery Late","Ship Late"))</f>
        <v/>
      </c>
    </row>
    <row r="1733">
      <c r="A1733" s="2" t="inlineStr">
        <is>
          <t>ORD-01732</t>
        </is>
      </c>
      <c r="B1733" s="2" t="inlineStr">
        <is>
          <t>Customer 04</t>
        </is>
      </c>
      <c r="C1733" s="2" t="inlineStr">
        <is>
          <t>Power Supply</t>
        </is>
      </c>
      <c r="D1733" s="2" t="inlineStr">
        <is>
          <t>Plant A</t>
        </is>
      </c>
      <c r="E1733" s="2" t="inlineStr">
        <is>
          <t>South</t>
        </is>
      </c>
      <c r="F1733" s="12" t="n">
        <v>46150</v>
      </c>
      <c r="G1733" s="12" t="n">
        <v>46158</v>
      </c>
      <c r="H1733" s="12" t="n">
        <v>46153</v>
      </c>
      <c r="I1733" s="12" t="n">
        <v>46153</v>
      </c>
      <c r="J1733" s="12" t="n">
        <v>46157</v>
      </c>
      <c r="K1733" s="2" t="n">
        <v>1410</v>
      </c>
      <c r="L1733" s="2" t="inlineStr">
        <is>
          <t>Sea</t>
        </is>
      </c>
      <c r="M1733" s="2" t="inlineStr">
        <is>
          <t>No Delay</t>
        </is>
      </c>
      <c r="N1733" s="4">
        <f>IF(I1733&lt;=H1733,1,0)</f>
        <v/>
      </c>
      <c r="O1733" s="4">
        <f>IF(J1733&lt;=G1733,1,0)</f>
        <v/>
      </c>
      <c r="P1733" s="4">
        <f>MAX(0,I1733-H1733)</f>
        <v/>
      </c>
      <c r="Q1733" s="4">
        <f>MAX(0,J1733-G1733)</f>
        <v/>
      </c>
      <c r="R1733" s="4">
        <f>IF(AND(N1733=1,O1733=1),"On Track",IF(O1733=0,"Customer Delivery Late","Ship Late"))</f>
        <v/>
      </c>
    </row>
    <row r="1734">
      <c r="A1734" s="2" t="inlineStr">
        <is>
          <t>ORD-01733</t>
        </is>
      </c>
      <c r="B1734" s="2" t="inlineStr">
        <is>
          <t>Customer 11</t>
        </is>
      </c>
      <c r="C1734" s="2" t="inlineStr">
        <is>
          <t>Drive</t>
        </is>
      </c>
      <c r="D1734" s="2" t="inlineStr">
        <is>
          <t>Plant A</t>
        </is>
      </c>
      <c r="E1734" s="2" t="inlineStr">
        <is>
          <t>North</t>
        </is>
      </c>
      <c r="F1734" s="12" t="n">
        <v>46180</v>
      </c>
      <c r="G1734" s="12" t="n">
        <v>46186</v>
      </c>
      <c r="H1734" s="12" t="n">
        <v>46181</v>
      </c>
      <c r="I1734" s="12" t="n">
        <v>46181</v>
      </c>
      <c r="J1734" s="12" t="n">
        <v>46186</v>
      </c>
      <c r="K1734" s="2" t="n">
        <v>167</v>
      </c>
      <c r="L1734" s="2" t="inlineStr">
        <is>
          <t>Road</t>
        </is>
      </c>
      <c r="M1734" s="2" t="inlineStr">
        <is>
          <t>No Delay</t>
        </is>
      </c>
      <c r="N1734" s="4">
        <f>IF(I1734&lt;=H1734,1,0)</f>
        <v/>
      </c>
      <c r="O1734" s="4">
        <f>IF(J1734&lt;=G1734,1,0)</f>
        <v/>
      </c>
      <c r="P1734" s="4">
        <f>MAX(0,I1734-H1734)</f>
        <v/>
      </c>
      <c r="Q1734" s="4">
        <f>MAX(0,J1734-G1734)</f>
        <v/>
      </c>
      <c r="R1734" s="4">
        <f>IF(AND(N1734=1,O1734=1),"On Track",IF(O1734=0,"Customer Delivery Late","Ship Late"))</f>
        <v/>
      </c>
    </row>
    <row r="1735">
      <c r="A1735" s="2" t="inlineStr">
        <is>
          <t>ORD-01734</t>
        </is>
      </c>
      <c r="B1735" s="2" t="inlineStr">
        <is>
          <t>Customer 06</t>
        </is>
      </c>
      <c r="C1735" s="2" t="inlineStr">
        <is>
          <t>Switchgear</t>
        </is>
      </c>
      <c r="D1735" s="2" t="inlineStr">
        <is>
          <t>Plant C</t>
        </is>
      </c>
      <c r="E1735" s="2" t="inlineStr">
        <is>
          <t>North</t>
        </is>
      </c>
      <c r="F1735" s="12" t="n">
        <v>46135</v>
      </c>
      <c r="G1735" s="12" t="n">
        <v>46150</v>
      </c>
      <c r="H1735" s="12" t="n">
        <v>46148</v>
      </c>
      <c r="I1735" s="12" t="n">
        <v>46146</v>
      </c>
      <c r="J1735" s="12" t="n">
        <v>46147</v>
      </c>
      <c r="K1735" s="2" t="n">
        <v>975</v>
      </c>
      <c r="L1735" s="2" t="inlineStr">
        <is>
          <t>Road</t>
        </is>
      </c>
      <c r="M1735" s="2" t="inlineStr">
        <is>
          <t>No Delay</t>
        </is>
      </c>
      <c r="N1735" s="4">
        <f>IF(I1735&lt;=H1735,1,0)</f>
        <v/>
      </c>
      <c r="O1735" s="4">
        <f>IF(J1735&lt;=G1735,1,0)</f>
        <v/>
      </c>
      <c r="P1735" s="4">
        <f>MAX(0,I1735-H1735)</f>
        <v/>
      </c>
      <c r="Q1735" s="4">
        <f>MAX(0,J1735-G1735)</f>
        <v/>
      </c>
      <c r="R1735" s="4">
        <f>IF(AND(N1735=1,O1735=1),"On Track",IF(O1735=0,"Customer Delivery Late","Ship Late"))</f>
        <v/>
      </c>
    </row>
    <row r="1736">
      <c r="A1736" s="2" t="inlineStr">
        <is>
          <t>ORD-01735</t>
        </is>
      </c>
      <c r="B1736" s="2" t="inlineStr">
        <is>
          <t>Customer 01</t>
        </is>
      </c>
      <c r="C1736" s="2" t="inlineStr">
        <is>
          <t>Contactor</t>
        </is>
      </c>
      <c r="D1736" s="2" t="inlineStr">
        <is>
          <t>Plant C</t>
        </is>
      </c>
      <c r="E1736" s="2" t="inlineStr">
        <is>
          <t>Export</t>
        </is>
      </c>
      <c r="F1736" s="12" t="n">
        <v>46142</v>
      </c>
      <c r="G1736" s="12" t="n">
        <v>46166</v>
      </c>
      <c r="H1736" s="12" t="n">
        <v>46165</v>
      </c>
      <c r="I1736" s="12" t="n">
        <v>46164</v>
      </c>
      <c r="J1736" s="12" t="n">
        <v>46165</v>
      </c>
      <c r="K1736" s="2" t="n">
        <v>326</v>
      </c>
      <c r="L1736" s="2" t="inlineStr">
        <is>
          <t>Road</t>
        </is>
      </c>
      <c r="M1736" s="2" t="inlineStr">
        <is>
          <t>No Delay</t>
        </is>
      </c>
      <c r="N1736" s="4">
        <f>IF(I1736&lt;=H1736,1,0)</f>
        <v/>
      </c>
      <c r="O1736" s="4">
        <f>IF(J1736&lt;=G1736,1,0)</f>
        <v/>
      </c>
      <c r="P1736" s="4">
        <f>MAX(0,I1736-H1736)</f>
        <v/>
      </c>
      <c r="Q1736" s="4">
        <f>MAX(0,J1736-G1736)</f>
        <v/>
      </c>
      <c r="R1736" s="4">
        <f>IF(AND(N1736=1,O1736=1),"On Track",IF(O1736=0,"Customer Delivery Late","Ship Late"))</f>
        <v/>
      </c>
    </row>
    <row r="1737">
      <c r="A1737" s="2" t="inlineStr">
        <is>
          <t>ORD-01736</t>
        </is>
      </c>
      <c r="B1737" s="2" t="inlineStr">
        <is>
          <t>Customer 04</t>
        </is>
      </c>
      <c r="C1737" s="2" t="inlineStr">
        <is>
          <t>PLC</t>
        </is>
      </c>
      <c r="D1737" s="2" t="inlineStr">
        <is>
          <t>Plant B</t>
        </is>
      </c>
      <c r="E1737" s="2" t="inlineStr">
        <is>
          <t>South</t>
        </is>
      </c>
      <c r="F1737" s="12" t="n">
        <v>46074</v>
      </c>
      <c r="G1737" s="12" t="n">
        <v>46098</v>
      </c>
      <c r="H1737" s="12" t="n">
        <v>46093</v>
      </c>
      <c r="I1737" s="12" t="n">
        <v>46092</v>
      </c>
      <c r="J1737" s="12" t="n">
        <v>46097</v>
      </c>
      <c r="K1737" s="2" t="n">
        <v>474</v>
      </c>
      <c r="L1737" s="2" t="inlineStr">
        <is>
          <t>Road</t>
        </is>
      </c>
      <c r="M1737" s="2" t="inlineStr">
        <is>
          <t>No Delay</t>
        </is>
      </c>
      <c r="N1737" s="4">
        <f>IF(I1737&lt;=H1737,1,0)</f>
        <v/>
      </c>
      <c r="O1737" s="4">
        <f>IF(J1737&lt;=G1737,1,0)</f>
        <v/>
      </c>
      <c r="P1737" s="4">
        <f>MAX(0,I1737-H1737)</f>
        <v/>
      </c>
      <c r="Q1737" s="4">
        <f>MAX(0,J1737-G1737)</f>
        <v/>
      </c>
      <c r="R1737" s="4">
        <f>IF(AND(N1737=1,O1737=1),"On Track",IF(O1737=0,"Customer Delivery Late","Ship Late"))</f>
        <v/>
      </c>
    </row>
    <row r="1738">
      <c r="A1738" s="2" t="inlineStr">
        <is>
          <t>ORD-01737</t>
        </is>
      </c>
      <c r="B1738" s="2" t="inlineStr">
        <is>
          <t>Customer 22</t>
        </is>
      </c>
      <c r="C1738" s="2" t="inlineStr">
        <is>
          <t>Drive</t>
        </is>
      </c>
      <c r="D1738" s="2" t="inlineStr">
        <is>
          <t>Plant B</t>
        </is>
      </c>
      <c r="E1738" s="2" t="inlineStr">
        <is>
          <t>Export</t>
        </is>
      </c>
      <c r="F1738" s="12" t="n">
        <v>46137</v>
      </c>
      <c r="G1738" s="12" t="n">
        <v>46155</v>
      </c>
      <c r="H1738" s="12" t="n">
        <v>46150</v>
      </c>
      <c r="I1738" s="12" t="n">
        <v>46148</v>
      </c>
      <c r="J1738" s="12" t="n">
        <v>46153</v>
      </c>
      <c r="K1738" s="2" t="n">
        <v>1035</v>
      </c>
      <c r="L1738" s="2" t="inlineStr">
        <is>
          <t>Road</t>
        </is>
      </c>
      <c r="M1738" s="2" t="inlineStr">
        <is>
          <t>No Delay</t>
        </is>
      </c>
      <c r="N1738" s="4">
        <f>IF(I1738&lt;=H1738,1,0)</f>
        <v/>
      </c>
      <c r="O1738" s="4">
        <f>IF(J1738&lt;=G1738,1,0)</f>
        <v/>
      </c>
      <c r="P1738" s="4">
        <f>MAX(0,I1738-H1738)</f>
        <v/>
      </c>
      <c r="Q1738" s="4">
        <f>MAX(0,J1738-G1738)</f>
        <v/>
      </c>
      <c r="R1738" s="4">
        <f>IF(AND(N1738=1,O1738=1),"On Track",IF(O1738=0,"Customer Delivery Late","Ship Late"))</f>
        <v/>
      </c>
    </row>
    <row r="1739">
      <c r="A1739" s="2" t="inlineStr">
        <is>
          <t>ORD-01738</t>
        </is>
      </c>
      <c r="B1739" s="2" t="inlineStr">
        <is>
          <t>Customer 13</t>
        </is>
      </c>
      <c r="C1739" s="2" t="inlineStr">
        <is>
          <t>Relay</t>
        </is>
      </c>
      <c r="D1739" s="2" t="inlineStr">
        <is>
          <t>Plant A</t>
        </is>
      </c>
      <c r="E1739" s="2" t="inlineStr">
        <is>
          <t>North</t>
        </is>
      </c>
      <c r="F1739" s="12" t="n">
        <v>46026</v>
      </c>
      <c r="G1739" s="12" t="n">
        <v>46036</v>
      </c>
      <c r="H1739" s="12" t="n">
        <v>46033</v>
      </c>
      <c r="I1739" s="12" t="n">
        <v>46032</v>
      </c>
      <c r="J1739" s="12" t="n">
        <v>46035</v>
      </c>
      <c r="K1739" s="2" t="n">
        <v>810</v>
      </c>
      <c r="L1739" s="2" t="inlineStr">
        <is>
          <t>Sea</t>
        </is>
      </c>
      <c r="M1739" s="2" t="inlineStr">
        <is>
          <t>No Delay</t>
        </is>
      </c>
      <c r="N1739" s="4">
        <f>IF(I1739&lt;=H1739,1,0)</f>
        <v/>
      </c>
      <c r="O1739" s="4">
        <f>IF(J1739&lt;=G1739,1,0)</f>
        <v/>
      </c>
      <c r="P1739" s="4">
        <f>MAX(0,I1739-H1739)</f>
        <v/>
      </c>
      <c r="Q1739" s="4">
        <f>MAX(0,J1739-G1739)</f>
        <v/>
      </c>
      <c r="R1739" s="4">
        <f>IF(AND(N1739=1,O1739=1),"On Track",IF(O1739=0,"Customer Delivery Late","Ship Late"))</f>
        <v/>
      </c>
    </row>
    <row r="1740">
      <c r="A1740" s="2" t="inlineStr">
        <is>
          <t>ORD-01739</t>
        </is>
      </c>
      <c r="B1740" s="2" t="inlineStr">
        <is>
          <t>Customer 22</t>
        </is>
      </c>
      <c r="C1740" s="2" t="inlineStr">
        <is>
          <t>Switchgear</t>
        </is>
      </c>
      <c r="D1740" s="2" t="inlineStr">
        <is>
          <t>Plant A</t>
        </is>
      </c>
      <c r="E1740" s="2" t="inlineStr">
        <is>
          <t>Export</t>
        </is>
      </c>
      <c r="F1740" s="12" t="n">
        <v>46032</v>
      </c>
      <c r="G1740" s="12" t="n">
        <v>46049</v>
      </c>
      <c r="H1740" s="12" t="n">
        <v>46044</v>
      </c>
      <c r="I1740" s="12" t="n">
        <v>46043</v>
      </c>
      <c r="J1740" s="12" t="n">
        <v>46048</v>
      </c>
      <c r="K1740" s="2" t="n">
        <v>916</v>
      </c>
      <c r="L1740" s="2" t="inlineStr">
        <is>
          <t>Sea</t>
        </is>
      </c>
      <c r="M1740" s="2" t="inlineStr">
        <is>
          <t>No Delay</t>
        </is>
      </c>
      <c r="N1740" s="4">
        <f>IF(I1740&lt;=H1740,1,0)</f>
        <v/>
      </c>
      <c r="O1740" s="4">
        <f>IF(J1740&lt;=G1740,1,0)</f>
        <v/>
      </c>
      <c r="P1740" s="4">
        <f>MAX(0,I1740-H1740)</f>
        <v/>
      </c>
      <c r="Q1740" s="4">
        <f>MAX(0,J1740-G1740)</f>
        <v/>
      </c>
      <c r="R1740" s="4">
        <f>IF(AND(N1740=1,O1740=1),"On Track",IF(O1740=0,"Customer Delivery Late","Ship Late"))</f>
        <v/>
      </c>
    </row>
    <row r="1741">
      <c r="A1741" s="2" t="inlineStr">
        <is>
          <t>ORD-01740</t>
        </is>
      </c>
      <c r="B1741" s="2" t="inlineStr">
        <is>
          <t>Customer 30</t>
        </is>
      </c>
      <c r="C1741" s="2" t="inlineStr">
        <is>
          <t>Drive</t>
        </is>
      </c>
      <c r="D1741" s="2" t="inlineStr">
        <is>
          <t>Plant C</t>
        </is>
      </c>
      <c r="E1741" s="2" t="inlineStr">
        <is>
          <t>Central</t>
        </is>
      </c>
      <c r="F1741" s="12" t="n">
        <v>46197</v>
      </c>
      <c r="G1741" s="12" t="n">
        <v>46213</v>
      </c>
      <c r="H1741" s="12" t="n">
        <v>46212</v>
      </c>
      <c r="I1741" s="12" t="n">
        <v>46212</v>
      </c>
      <c r="J1741" s="12" t="n">
        <v>46213</v>
      </c>
      <c r="K1741" s="2" t="n">
        <v>193</v>
      </c>
      <c r="L1741" s="2" t="inlineStr">
        <is>
          <t>Air</t>
        </is>
      </c>
      <c r="M1741" s="2" t="inlineStr">
        <is>
          <t>No Delay</t>
        </is>
      </c>
      <c r="N1741" s="4">
        <f>IF(I1741&lt;=H1741,1,0)</f>
        <v/>
      </c>
      <c r="O1741" s="4">
        <f>IF(J1741&lt;=G1741,1,0)</f>
        <v/>
      </c>
      <c r="P1741" s="4">
        <f>MAX(0,I1741-H1741)</f>
        <v/>
      </c>
      <c r="Q1741" s="4">
        <f>MAX(0,J1741-G1741)</f>
        <v/>
      </c>
      <c r="R1741" s="4">
        <f>IF(AND(N1741=1,O1741=1),"On Track",IF(O1741=0,"Customer Delivery Late","Ship Late"))</f>
        <v/>
      </c>
    </row>
    <row r="1742">
      <c r="A1742" s="2" t="inlineStr">
        <is>
          <t>ORD-01741</t>
        </is>
      </c>
      <c r="B1742" s="2" t="inlineStr">
        <is>
          <t>Customer 07</t>
        </is>
      </c>
      <c r="C1742" s="2" t="inlineStr">
        <is>
          <t>Drive</t>
        </is>
      </c>
      <c r="D1742" s="2" t="inlineStr">
        <is>
          <t>Plant A</t>
        </is>
      </c>
      <c r="E1742" s="2" t="inlineStr">
        <is>
          <t>South</t>
        </is>
      </c>
      <c r="F1742" s="12" t="n">
        <v>46037</v>
      </c>
      <c r="G1742" s="12" t="n">
        <v>46045</v>
      </c>
      <c r="H1742" s="12" t="n">
        <v>46041</v>
      </c>
      <c r="I1742" s="12" t="n">
        <v>46039</v>
      </c>
      <c r="J1742" s="12" t="n">
        <v>46046</v>
      </c>
      <c r="K1742" s="2" t="n">
        <v>330</v>
      </c>
      <c r="L1742" s="2" t="inlineStr">
        <is>
          <t>Air</t>
        </is>
      </c>
      <c r="M1742" s="2" t="inlineStr">
        <is>
          <t>Production Delay</t>
        </is>
      </c>
      <c r="N1742" s="4">
        <f>IF(I1742&lt;=H1742,1,0)</f>
        <v/>
      </c>
      <c r="O1742" s="4">
        <f>IF(J1742&lt;=G1742,1,0)</f>
        <v/>
      </c>
      <c r="P1742" s="4">
        <f>MAX(0,I1742-H1742)</f>
        <v/>
      </c>
      <c r="Q1742" s="4">
        <f>MAX(0,J1742-G1742)</f>
        <v/>
      </c>
      <c r="R1742" s="4">
        <f>IF(AND(N1742=1,O1742=1),"On Track",IF(O1742=0,"Customer Delivery Late","Ship Late"))</f>
        <v/>
      </c>
    </row>
    <row r="1743">
      <c r="A1743" s="2" t="inlineStr">
        <is>
          <t>ORD-01742</t>
        </is>
      </c>
      <c r="B1743" s="2" t="inlineStr">
        <is>
          <t>Customer 10</t>
        </is>
      </c>
      <c r="C1743" s="2" t="inlineStr">
        <is>
          <t>Contactor</t>
        </is>
      </c>
      <c r="D1743" s="2" t="inlineStr">
        <is>
          <t>Plant A</t>
        </is>
      </c>
      <c r="E1743" s="2" t="inlineStr">
        <is>
          <t>North</t>
        </is>
      </c>
      <c r="F1743" s="12" t="n">
        <v>46077</v>
      </c>
      <c r="G1743" s="12" t="n">
        <v>46085</v>
      </c>
      <c r="H1743" s="12" t="n">
        <v>46080</v>
      </c>
      <c r="I1743" s="12" t="n">
        <v>46078</v>
      </c>
      <c r="J1743" s="12" t="n">
        <v>46083</v>
      </c>
      <c r="K1743" s="2" t="n">
        <v>30</v>
      </c>
      <c r="L1743" s="2" t="inlineStr">
        <is>
          <t>Air</t>
        </is>
      </c>
      <c r="M1743" s="2" t="inlineStr">
        <is>
          <t>No Delay</t>
        </is>
      </c>
      <c r="N1743" s="4">
        <f>IF(I1743&lt;=H1743,1,0)</f>
        <v/>
      </c>
      <c r="O1743" s="4">
        <f>IF(J1743&lt;=G1743,1,0)</f>
        <v/>
      </c>
      <c r="P1743" s="4">
        <f>MAX(0,I1743-H1743)</f>
        <v/>
      </c>
      <c r="Q1743" s="4">
        <f>MAX(0,J1743-G1743)</f>
        <v/>
      </c>
      <c r="R1743" s="4">
        <f>IF(AND(N1743=1,O1743=1),"On Track",IF(O1743=0,"Customer Delivery Late","Ship Late"))</f>
        <v/>
      </c>
    </row>
    <row r="1744">
      <c r="A1744" s="2" t="inlineStr">
        <is>
          <t>ORD-01743</t>
        </is>
      </c>
      <c r="B1744" s="2" t="inlineStr">
        <is>
          <t>Customer 02</t>
        </is>
      </c>
      <c r="C1744" s="2" t="inlineStr">
        <is>
          <t>Relay</t>
        </is>
      </c>
      <c r="D1744" s="2" t="inlineStr">
        <is>
          <t>Plant A</t>
        </is>
      </c>
      <c r="E1744" s="2" t="inlineStr">
        <is>
          <t>South</t>
        </is>
      </c>
      <c r="F1744" s="12" t="n">
        <v>46050</v>
      </c>
      <c r="G1744" s="12" t="n">
        <v>46068</v>
      </c>
      <c r="H1744" s="12" t="n">
        <v>46063</v>
      </c>
      <c r="I1744" s="12" t="n">
        <v>46061</v>
      </c>
      <c r="J1744" s="12" t="n">
        <v>46066</v>
      </c>
      <c r="K1744" s="2" t="n">
        <v>155</v>
      </c>
      <c r="L1744" s="2" t="inlineStr">
        <is>
          <t>Air</t>
        </is>
      </c>
      <c r="M1744" s="2" t="inlineStr">
        <is>
          <t>No Delay</t>
        </is>
      </c>
      <c r="N1744" s="4">
        <f>IF(I1744&lt;=H1744,1,0)</f>
        <v/>
      </c>
      <c r="O1744" s="4">
        <f>IF(J1744&lt;=G1744,1,0)</f>
        <v/>
      </c>
      <c r="P1744" s="4">
        <f>MAX(0,I1744-H1744)</f>
        <v/>
      </c>
      <c r="Q1744" s="4">
        <f>MAX(0,J1744-G1744)</f>
        <v/>
      </c>
      <c r="R1744" s="4">
        <f>IF(AND(N1744=1,O1744=1),"On Track",IF(O1744=0,"Customer Delivery Late","Ship Late"))</f>
        <v/>
      </c>
    </row>
    <row r="1745">
      <c r="A1745" s="2" t="inlineStr">
        <is>
          <t>ORD-01744</t>
        </is>
      </c>
      <c r="B1745" s="2" t="inlineStr">
        <is>
          <t>Customer 28</t>
        </is>
      </c>
      <c r="C1745" s="2" t="inlineStr">
        <is>
          <t>Drive</t>
        </is>
      </c>
      <c r="D1745" s="2" t="inlineStr">
        <is>
          <t>Plant A</t>
        </is>
      </c>
      <c r="E1745" s="2" t="inlineStr">
        <is>
          <t>South</t>
        </is>
      </c>
      <c r="F1745" s="12" t="n">
        <v>46144</v>
      </c>
      <c r="G1745" s="12" t="n">
        <v>46160</v>
      </c>
      <c r="H1745" s="12" t="n">
        <v>46155</v>
      </c>
      <c r="I1745" s="12" t="n">
        <v>46160</v>
      </c>
      <c r="J1745" s="12" t="n">
        <v>46165</v>
      </c>
      <c r="K1745" s="2" t="n">
        <v>1136</v>
      </c>
      <c r="L1745" s="2" t="inlineStr">
        <is>
          <t>Road</t>
        </is>
      </c>
      <c r="M1745" s="2" t="inlineStr">
        <is>
          <t>Capacity Constraint</t>
        </is>
      </c>
      <c r="N1745" s="4">
        <f>IF(I1745&lt;=H1745,1,0)</f>
        <v/>
      </c>
      <c r="O1745" s="4">
        <f>IF(J1745&lt;=G1745,1,0)</f>
        <v/>
      </c>
      <c r="P1745" s="4">
        <f>MAX(0,I1745-H1745)</f>
        <v/>
      </c>
      <c r="Q1745" s="4">
        <f>MAX(0,J1745-G1745)</f>
        <v/>
      </c>
      <c r="R1745" s="4">
        <f>IF(AND(N1745=1,O1745=1),"On Track",IF(O1745=0,"Customer Delivery Late","Ship Late"))</f>
        <v/>
      </c>
    </row>
    <row r="1746">
      <c r="A1746" s="2" t="inlineStr">
        <is>
          <t>ORD-01745</t>
        </is>
      </c>
      <c r="B1746" s="2" t="inlineStr">
        <is>
          <t>Customer 25</t>
        </is>
      </c>
      <c r="C1746" s="2" t="inlineStr">
        <is>
          <t>Relay</t>
        </is>
      </c>
      <c r="D1746" s="2" t="inlineStr">
        <is>
          <t>Plant B</t>
        </is>
      </c>
      <c r="E1746" s="2" t="inlineStr">
        <is>
          <t>Export</t>
        </is>
      </c>
      <c r="F1746" s="12" t="n">
        <v>46046</v>
      </c>
      <c r="G1746" s="12" t="n">
        <v>46051</v>
      </c>
      <c r="H1746" s="12" t="n">
        <v>46048</v>
      </c>
      <c r="I1746" s="12" t="n">
        <v>46046</v>
      </c>
      <c r="J1746" s="12" t="n">
        <v>46049</v>
      </c>
      <c r="K1746" s="2" t="n">
        <v>260</v>
      </c>
      <c r="L1746" s="2" t="inlineStr">
        <is>
          <t>Air</t>
        </is>
      </c>
      <c r="M1746" s="2" t="inlineStr">
        <is>
          <t>No Delay</t>
        </is>
      </c>
      <c r="N1746" s="4">
        <f>IF(I1746&lt;=H1746,1,0)</f>
        <v/>
      </c>
      <c r="O1746" s="4">
        <f>IF(J1746&lt;=G1746,1,0)</f>
        <v/>
      </c>
      <c r="P1746" s="4">
        <f>MAX(0,I1746-H1746)</f>
        <v/>
      </c>
      <c r="Q1746" s="4">
        <f>MAX(0,J1746-G1746)</f>
        <v/>
      </c>
      <c r="R1746" s="4">
        <f>IF(AND(N1746=1,O1746=1),"On Track",IF(O1746=0,"Customer Delivery Late","Ship Late"))</f>
        <v/>
      </c>
    </row>
    <row r="1747">
      <c r="A1747" s="2" t="inlineStr">
        <is>
          <t>ORD-01746</t>
        </is>
      </c>
      <c r="B1747" s="2" t="inlineStr">
        <is>
          <t>Customer 03</t>
        </is>
      </c>
      <c r="C1747" s="2" t="inlineStr">
        <is>
          <t>Switchgear</t>
        </is>
      </c>
      <c r="D1747" s="2" t="inlineStr">
        <is>
          <t>Plant B</t>
        </is>
      </c>
      <c r="E1747" s="2" t="inlineStr">
        <is>
          <t>South</t>
        </is>
      </c>
      <c r="F1747" s="12" t="n">
        <v>46143</v>
      </c>
      <c r="G1747" s="12" t="n">
        <v>46155</v>
      </c>
      <c r="H1747" s="12" t="n">
        <v>46150</v>
      </c>
      <c r="I1747" s="12" t="n">
        <v>46150</v>
      </c>
      <c r="J1747" s="12" t="n">
        <v>46155</v>
      </c>
      <c r="K1747" s="2" t="n">
        <v>211</v>
      </c>
      <c r="L1747" s="2" t="inlineStr">
        <is>
          <t>Road</t>
        </is>
      </c>
      <c r="M1747" s="2" t="inlineStr">
        <is>
          <t>No Delay</t>
        </is>
      </c>
      <c r="N1747" s="4">
        <f>IF(I1747&lt;=H1747,1,0)</f>
        <v/>
      </c>
      <c r="O1747" s="4">
        <f>IF(J1747&lt;=G1747,1,0)</f>
        <v/>
      </c>
      <c r="P1747" s="4">
        <f>MAX(0,I1747-H1747)</f>
        <v/>
      </c>
      <c r="Q1747" s="4">
        <f>MAX(0,J1747-G1747)</f>
        <v/>
      </c>
      <c r="R1747" s="4">
        <f>IF(AND(N1747=1,O1747=1),"On Track",IF(O1747=0,"Customer Delivery Late","Ship Late"))</f>
        <v/>
      </c>
    </row>
    <row r="1748">
      <c r="A1748" s="2" t="inlineStr">
        <is>
          <t>ORD-01747</t>
        </is>
      </c>
      <c r="B1748" s="2" t="inlineStr">
        <is>
          <t>Customer 05</t>
        </is>
      </c>
      <c r="C1748" s="2" t="inlineStr">
        <is>
          <t>Power Supply</t>
        </is>
      </c>
      <c r="D1748" s="2" t="inlineStr">
        <is>
          <t>Plant C</t>
        </is>
      </c>
      <c r="E1748" s="2" t="inlineStr">
        <is>
          <t>North</t>
        </is>
      </c>
      <c r="F1748" s="12" t="n">
        <v>46082</v>
      </c>
      <c r="G1748" s="12" t="n">
        <v>46105</v>
      </c>
      <c r="H1748" s="12" t="n">
        <v>46102</v>
      </c>
      <c r="I1748" s="12" t="n">
        <v>46101</v>
      </c>
      <c r="J1748" s="12" t="n">
        <v>46104</v>
      </c>
      <c r="K1748" s="2" t="n">
        <v>1385</v>
      </c>
      <c r="L1748" s="2" t="inlineStr">
        <is>
          <t>Sea</t>
        </is>
      </c>
      <c r="M1748" s="2" t="inlineStr">
        <is>
          <t>No Delay</t>
        </is>
      </c>
      <c r="N1748" s="4">
        <f>IF(I1748&lt;=H1748,1,0)</f>
        <v/>
      </c>
      <c r="O1748" s="4">
        <f>IF(J1748&lt;=G1748,1,0)</f>
        <v/>
      </c>
      <c r="P1748" s="4">
        <f>MAX(0,I1748-H1748)</f>
        <v/>
      </c>
      <c r="Q1748" s="4">
        <f>MAX(0,J1748-G1748)</f>
        <v/>
      </c>
      <c r="R1748" s="4">
        <f>IF(AND(N1748=1,O1748=1),"On Track",IF(O1748=0,"Customer Delivery Late","Ship Late"))</f>
        <v/>
      </c>
    </row>
    <row r="1749">
      <c r="A1749" s="2" t="inlineStr">
        <is>
          <t>ORD-01748</t>
        </is>
      </c>
      <c r="B1749" s="2" t="inlineStr">
        <is>
          <t>Customer 14</t>
        </is>
      </c>
      <c r="C1749" s="2" t="inlineStr">
        <is>
          <t>Drive</t>
        </is>
      </c>
      <c r="D1749" s="2" t="inlineStr">
        <is>
          <t>Plant B</t>
        </is>
      </c>
      <c r="E1749" s="2" t="inlineStr">
        <is>
          <t>Export</t>
        </is>
      </c>
      <c r="F1749" s="12" t="n">
        <v>46141</v>
      </c>
      <c r="G1749" s="12" t="n">
        <v>46151</v>
      </c>
      <c r="H1749" s="12" t="n">
        <v>46149</v>
      </c>
      <c r="I1749" s="12" t="n">
        <v>46147</v>
      </c>
      <c r="J1749" s="12" t="n">
        <v>46149</v>
      </c>
      <c r="K1749" s="2" t="n">
        <v>957</v>
      </c>
      <c r="L1749" s="2" t="inlineStr">
        <is>
          <t>Air</t>
        </is>
      </c>
      <c r="M1749" s="2" t="inlineStr">
        <is>
          <t>No Delay</t>
        </is>
      </c>
      <c r="N1749" s="4">
        <f>IF(I1749&lt;=H1749,1,0)</f>
        <v/>
      </c>
      <c r="O1749" s="4">
        <f>IF(J1749&lt;=G1749,1,0)</f>
        <v/>
      </c>
      <c r="P1749" s="4">
        <f>MAX(0,I1749-H1749)</f>
        <v/>
      </c>
      <c r="Q1749" s="4">
        <f>MAX(0,J1749-G1749)</f>
        <v/>
      </c>
      <c r="R1749" s="4">
        <f>IF(AND(N1749=1,O1749=1),"On Track",IF(O1749=0,"Customer Delivery Late","Ship Late"))</f>
        <v/>
      </c>
    </row>
    <row r="1750">
      <c r="A1750" s="2" t="inlineStr">
        <is>
          <t>ORD-01749</t>
        </is>
      </c>
      <c r="B1750" s="2" t="inlineStr">
        <is>
          <t>Customer 27</t>
        </is>
      </c>
      <c r="C1750" s="2" t="inlineStr">
        <is>
          <t>Switchgear</t>
        </is>
      </c>
      <c r="D1750" s="2" t="inlineStr">
        <is>
          <t>Plant A</t>
        </is>
      </c>
      <c r="E1750" s="2" t="inlineStr">
        <is>
          <t>South</t>
        </is>
      </c>
      <c r="F1750" s="12" t="n">
        <v>46059</v>
      </c>
      <c r="G1750" s="12" t="n">
        <v>46065</v>
      </c>
      <c r="H1750" s="12" t="n">
        <v>46062</v>
      </c>
      <c r="I1750" s="12" t="n">
        <v>46060</v>
      </c>
      <c r="J1750" s="12" t="n">
        <v>46063</v>
      </c>
      <c r="K1750" s="2" t="n">
        <v>796</v>
      </c>
      <c r="L1750" s="2" t="inlineStr">
        <is>
          <t>Air</t>
        </is>
      </c>
      <c r="M1750" s="2" t="inlineStr">
        <is>
          <t>No Delay</t>
        </is>
      </c>
      <c r="N1750" s="4">
        <f>IF(I1750&lt;=H1750,1,0)</f>
        <v/>
      </c>
      <c r="O1750" s="4">
        <f>IF(J1750&lt;=G1750,1,0)</f>
        <v/>
      </c>
      <c r="P1750" s="4">
        <f>MAX(0,I1750-H1750)</f>
        <v/>
      </c>
      <c r="Q1750" s="4">
        <f>MAX(0,J1750-G1750)</f>
        <v/>
      </c>
      <c r="R1750" s="4">
        <f>IF(AND(N1750=1,O1750=1),"On Track",IF(O1750=0,"Customer Delivery Late","Ship Late"))</f>
        <v/>
      </c>
    </row>
    <row r="1751">
      <c r="A1751" s="2" t="inlineStr">
        <is>
          <t>ORD-01750</t>
        </is>
      </c>
      <c r="B1751" s="2" t="inlineStr">
        <is>
          <t>Customer 11</t>
        </is>
      </c>
      <c r="C1751" s="2" t="inlineStr">
        <is>
          <t>Sensor</t>
        </is>
      </c>
      <c r="D1751" s="2" t="inlineStr">
        <is>
          <t>Plant A</t>
        </is>
      </c>
      <c r="E1751" s="2" t="inlineStr">
        <is>
          <t>North</t>
        </is>
      </c>
      <c r="F1751" s="12" t="n">
        <v>46189</v>
      </c>
      <c r="G1751" s="12" t="n">
        <v>46209</v>
      </c>
      <c r="H1751" s="12" t="n">
        <v>46204</v>
      </c>
      <c r="I1751" s="12" t="n">
        <v>46208</v>
      </c>
      <c r="J1751" s="12" t="n">
        <v>46212</v>
      </c>
      <c r="K1751" s="2" t="n">
        <v>390</v>
      </c>
      <c r="L1751" s="2" t="inlineStr">
        <is>
          <t>Air</t>
        </is>
      </c>
      <c r="M1751" s="2" t="inlineStr">
        <is>
          <t>Documentation Issue</t>
        </is>
      </c>
      <c r="N1751" s="4">
        <f>IF(I1751&lt;=H1751,1,0)</f>
        <v/>
      </c>
      <c r="O1751" s="4">
        <f>IF(J1751&lt;=G1751,1,0)</f>
        <v/>
      </c>
      <c r="P1751" s="4">
        <f>MAX(0,I1751-H1751)</f>
        <v/>
      </c>
      <c r="Q1751" s="4">
        <f>MAX(0,J1751-G1751)</f>
        <v/>
      </c>
      <c r="R1751" s="4">
        <f>IF(AND(N1751=1,O1751=1),"On Track",IF(O1751=0,"Customer Delivery Late","Ship Late"))</f>
        <v/>
      </c>
    </row>
    <row r="1752">
      <c r="A1752" s="2" t="inlineStr">
        <is>
          <t>ORD-01751</t>
        </is>
      </c>
      <c r="B1752" s="2" t="inlineStr">
        <is>
          <t>Customer 06</t>
        </is>
      </c>
      <c r="C1752" s="2" t="inlineStr">
        <is>
          <t>Relay</t>
        </is>
      </c>
      <c r="D1752" s="2" t="inlineStr">
        <is>
          <t>Plant B</t>
        </is>
      </c>
      <c r="E1752" s="2" t="inlineStr">
        <is>
          <t>South</t>
        </is>
      </c>
      <c r="F1752" s="12" t="n">
        <v>46098</v>
      </c>
      <c r="G1752" s="12" t="n">
        <v>46105</v>
      </c>
      <c r="H1752" s="12" t="n">
        <v>46102</v>
      </c>
      <c r="I1752" s="12" t="n">
        <v>46101</v>
      </c>
      <c r="J1752" s="12" t="n">
        <v>46104</v>
      </c>
      <c r="K1752" s="2" t="n">
        <v>817</v>
      </c>
      <c r="L1752" s="2" t="inlineStr">
        <is>
          <t>Sea</t>
        </is>
      </c>
      <c r="M1752" s="2" t="inlineStr">
        <is>
          <t>No Delay</t>
        </is>
      </c>
      <c r="N1752" s="4">
        <f>IF(I1752&lt;=H1752,1,0)</f>
        <v/>
      </c>
      <c r="O1752" s="4">
        <f>IF(J1752&lt;=G1752,1,0)</f>
        <v/>
      </c>
      <c r="P1752" s="4">
        <f>MAX(0,I1752-H1752)</f>
        <v/>
      </c>
      <c r="Q1752" s="4">
        <f>MAX(0,J1752-G1752)</f>
        <v/>
      </c>
      <c r="R1752" s="4">
        <f>IF(AND(N1752=1,O1752=1),"On Track",IF(O1752=0,"Customer Delivery Late","Ship Late"))</f>
        <v/>
      </c>
    </row>
    <row r="1753">
      <c r="A1753" s="2" t="inlineStr">
        <is>
          <t>ORD-01752</t>
        </is>
      </c>
      <c r="B1753" s="2" t="inlineStr">
        <is>
          <t>Customer 14</t>
        </is>
      </c>
      <c r="C1753" s="2" t="inlineStr">
        <is>
          <t>Sensor</t>
        </is>
      </c>
      <c r="D1753" s="2" t="inlineStr">
        <is>
          <t>Plant A</t>
        </is>
      </c>
      <c r="E1753" s="2" t="inlineStr">
        <is>
          <t>North</t>
        </is>
      </c>
      <c r="F1753" s="12" t="n">
        <v>46158</v>
      </c>
      <c r="G1753" s="12" t="n">
        <v>46175</v>
      </c>
      <c r="H1753" s="12" t="n">
        <v>46173</v>
      </c>
      <c r="I1753" s="12" t="n">
        <v>46171</v>
      </c>
      <c r="J1753" s="12" t="n">
        <v>46172</v>
      </c>
      <c r="K1753" s="2" t="n">
        <v>922</v>
      </c>
      <c r="L1753" s="2" t="inlineStr">
        <is>
          <t>Sea</t>
        </is>
      </c>
      <c r="M1753" s="2" t="inlineStr">
        <is>
          <t>No Delay</t>
        </is>
      </c>
      <c r="N1753" s="4">
        <f>IF(I1753&lt;=H1753,1,0)</f>
        <v/>
      </c>
      <c r="O1753" s="4">
        <f>IF(J1753&lt;=G1753,1,0)</f>
        <v/>
      </c>
      <c r="P1753" s="4">
        <f>MAX(0,I1753-H1753)</f>
        <v/>
      </c>
      <c r="Q1753" s="4">
        <f>MAX(0,J1753-G1753)</f>
        <v/>
      </c>
      <c r="R1753" s="4">
        <f>IF(AND(N1753=1,O1753=1),"On Track",IF(O1753=0,"Customer Delivery Late","Ship Late"))</f>
        <v/>
      </c>
    </row>
    <row r="1754">
      <c r="A1754" s="2" t="inlineStr">
        <is>
          <t>ORD-01753</t>
        </is>
      </c>
      <c r="B1754" s="2" t="inlineStr">
        <is>
          <t>Customer 18</t>
        </is>
      </c>
      <c r="C1754" s="2" t="inlineStr">
        <is>
          <t>Power Supply</t>
        </is>
      </c>
      <c r="D1754" s="2" t="inlineStr">
        <is>
          <t>Plant B</t>
        </is>
      </c>
      <c r="E1754" s="2" t="inlineStr">
        <is>
          <t>Export</t>
        </is>
      </c>
      <c r="F1754" s="12" t="n">
        <v>46119</v>
      </c>
      <c r="G1754" s="12" t="n">
        <v>46130</v>
      </c>
      <c r="H1754" s="12" t="n">
        <v>46128</v>
      </c>
      <c r="I1754" s="12" t="n">
        <v>46126</v>
      </c>
      <c r="J1754" s="12" t="n">
        <v>46128</v>
      </c>
      <c r="K1754" s="2" t="n">
        <v>1426</v>
      </c>
      <c r="L1754" s="2" t="inlineStr">
        <is>
          <t>Road</t>
        </is>
      </c>
      <c r="M1754" s="2" t="inlineStr">
        <is>
          <t>No Delay</t>
        </is>
      </c>
      <c r="N1754" s="4">
        <f>IF(I1754&lt;=H1754,1,0)</f>
        <v/>
      </c>
      <c r="O1754" s="4">
        <f>IF(J1754&lt;=G1754,1,0)</f>
        <v/>
      </c>
      <c r="P1754" s="4">
        <f>MAX(0,I1754-H1754)</f>
        <v/>
      </c>
      <c r="Q1754" s="4">
        <f>MAX(0,J1754-G1754)</f>
        <v/>
      </c>
      <c r="R1754" s="4">
        <f>IF(AND(N1754=1,O1754=1),"On Track",IF(O1754=0,"Customer Delivery Late","Ship Late"))</f>
        <v/>
      </c>
    </row>
    <row r="1755">
      <c r="A1755" s="2" t="inlineStr">
        <is>
          <t>ORD-01754</t>
        </is>
      </c>
      <c r="B1755" s="2" t="inlineStr">
        <is>
          <t>Customer 02</t>
        </is>
      </c>
      <c r="C1755" s="2" t="inlineStr">
        <is>
          <t>Power Supply</t>
        </is>
      </c>
      <c r="D1755" s="2" t="inlineStr">
        <is>
          <t>Plant C</t>
        </is>
      </c>
      <c r="E1755" s="2" t="inlineStr">
        <is>
          <t>North</t>
        </is>
      </c>
      <c r="F1755" s="12" t="n">
        <v>46114</v>
      </c>
      <c r="G1755" s="12" t="n">
        <v>46138</v>
      </c>
      <c r="H1755" s="12" t="n">
        <v>46136</v>
      </c>
      <c r="I1755" s="12" t="n">
        <v>46136</v>
      </c>
      <c r="J1755" s="12" t="n">
        <v>46139</v>
      </c>
      <c r="K1755" s="2" t="n">
        <v>549</v>
      </c>
      <c r="L1755" s="2" t="inlineStr">
        <is>
          <t>Sea</t>
        </is>
      </c>
      <c r="M1755" s="2" t="inlineStr">
        <is>
          <t>Capacity Constraint</t>
        </is>
      </c>
      <c r="N1755" s="4">
        <f>IF(I1755&lt;=H1755,1,0)</f>
        <v/>
      </c>
      <c r="O1755" s="4">
        <f>IF(J1755&lt;=G1755,1,0)</f>
        <v/>
      </c>
      <c r="P1755" s="4">
        <f>MAX(0,I1755-H1755)</f>
        <v/>
      </c>
      <c r="Q1755" s="4">
        <f>MAX(0,J1755-G1755)</f>
        <v/>
      </c>
      <c r="R1755" s="4">
        <f>IF(AND(N1755=1,O1755=1),"On Track",IF(O1755=0,"Customer Delivery Late","Ship Late"))</f>
        <v/>
      </c>
    </row>
    <row r="1756">
      <c r="A1756" s="2" t="inlineStr">
        <is>
          <t>ORD-01755</t>
        </is>
      </c>
      <c r="B1756" s="2" t="inlineStr">
        <is>
          <t>Customer 25</t>
        </is>
      </c>
      <c r="C1756" s="2" t="inlineStr">
        <is>
          <t>PLC</t>
        </is>
      </c>
      <c r="D1756" s="2" t="inlineStr">
        <is>
          <t>Plant B</t>
        </is>
      </c>
      <c r="E1756" s="2" t="inlineStr">
        <is>
          <t>North</t>
        </is>
      </c>
      <c r="F1756" s="12" t="n">
        <v>46156</v>
      </c>
      <c r="G1756" s="12" t="n">
        <v>46173</v>
      </c>
      <c r="H1756" s="12" t="n">
        <v>46168</v>
      </c>
      <c r="I1756" s="12" t="n">
        <v>46166</v>
      </c>
      <c r="J1756" s="12" t="n">
        <v>46171</v>
      </c>
      <c r="K1756" s="2" t="n">
        <v>720</v>
      </c>
      <c r="L1756" s="2" t="inlineStr">
        <is>
          <t>Road</t>
        </is>
      </c>
      <c r="M1756" s="2" t="inlineStr">
        <is>
          <t>No Delay</t>
        </is>
      </c>
      <c r="N1756" s="4">
        <f>IF(I1756&lt;=H1756,1,0)</f>
        <v/>
      </c>
      <c r="O1756" s="4">
        <f>IF(J1756&lt;=G1756,1,0)</f>
        <v/>
      </c>
      <c r="P1756" s="4">
        <f>MAX(0,I1756-H1756)</f>
        <v/>
      </c>
      <c r="Q1756" s="4">
        <f>MAX(0,J1756-G1756)</f>
        <v/>
      </c>
      <c r="R1756" s="4">
        <f>IF(AND(N1756=1,O1756=1),"On Track",IF(O1756=0,"Customer Delivery Late","Ship Late"))</f>
        <v/>
      </c>
    </row>
    <row r="1757">
      <c r="A1757" s="2" t="inlineStr">
        <is>
          <t>ORD-01756</t>
        </is>
      </c>
      <c r="B1757" s="2" t="inlineStr">
        <is>
          <t>Customer 03</t>
        </is>
      </c>
      <c r="C1757" s="2" t="inlineStr">
        <is>
          <t>Drive</t>
        </is>
      </c>
      <c r="D1757" s="2" t="inlineStr">
        <is>
          <t>Plant C</t>
        </is>
      </c>
      <c r="E1757" s="2" t="inlineStr">
        <is>
          <t>Export</t>
        </is>
      </c>
      <c r="F1757" s="12" t="n">
        <v>46198</v>
      </c>
      <c r="G1757" s="12" t="n">
        <v>46219</v>
      </c>
      <c r="H1757" s="12" t="n">
        <v>46214</v>
      </c>
      <c r="I1757" s="12" t="n">
        <v>46213</v>
      </c>
      <c r="J1757" s="12" t="n">
        <v>46219</v>
      </c>
      <c r="K1757" s="2" t="n">
        <v>888</v>
      </c>
      <c r="L1757" s="2" t="inlineStr">
        <is>
          <t>Air</t>
        </is>
      </c>
      <c r="M1757" s="2" t="inlineStr">
        <is>
          <t>No Delay</t>
        </is>
      </c>
      <c r="N1757" s="4">
        <f>IF(I1757&lt;=H1757,1,0)</f>
        <v/>
      </c>
      <c r="O1757" s="4">
        <f>IF(J1757&lt;=G1757,1,0)</f>
        <v/>
      </c>
      <c r="P1757" s="4">
        <f>MAX(0,I1757-H1757)</f>
        <v/>
      </c>
      <c r="Q1757" s="4">
        <f>MAX(0,J1757-G1757)</f>
        <v/>
      </c>
      <c r="R1757" s="4">
        <f>IF(AND(N1757=1,O1757=1),"On Track",IF(O1757=0,"Customer Delivery Late","Ship Late"))</f>
        <v/>
      </c>
    </row>
    <row r="1758">
      <c r="A1758" s="2" t="inlineStr">
        <is>
          <t>ORD-01757</t>
        </is>
      </c>
      <c r="B1758" s="2" t="inlineStr">
        <is>
          <t>Customer 24</t>
        </is>
      </c>
      <c r="C1758" s="2" t="inlineStr">
        <is>
          <t>Switchgear</t>
        </is>
      </c>
      <c r="D1758" s="2" t="inlineStr">
        <is>
          <t>Plant C</t>
        </is>
      </c>
      <c r="E1758" s="2" t="inlineStr">
        <is>
          <t>Export</t>
        </is>
      </c>
      <c r="F1758" s="12" t="n">
        <v>46025</v>
      </c>
      <c r="G1758" s="12" t="n">
        <v>46040</v>
      </c>
      <c r="H1758" s="12" t="n">
        <v>46038</v>
      </c>
      <c r="I1758" s="12" t="n">
        <v>46038</v>
      </c>
      <c r="J1758" s="12" t="n">
        <v>46040</v>
      </c>
      <c r="K1758" s="2" t="n">
        <v>1033</v>
      </c>
      <c r="L1758" s="2" t="inlineStr">
        <is>
          <t>Sea</t>
        </is>
      </c>
      <c r="M1758" s="2" t="inlineStr">
        <is>
          <t>No Delay</t>
        </is>
      </c>
      <c r="N1758" s="4">
        <f>IF(I1758&lt;=H1758,1,0)</f>
        <v/>
      </c>
      <c r="O1758" s="4">
        <f>IF(J1758&lt;=G1758,1,0)</f>
        <v/>
      </c>
      <c r="P1758" s="4">
        <f>MAX(0,I1758-H1758)</f>
        <v/>
      </c>
      <c r="Q1758" s="4">
        <f>MAX(0,J1758-G1758)</f>
        <v/>
      </c>
      <c r="R1758" s="4">
        <f>IF(AND(N1758=1,O1758=1),"On Track",IF(O1758=0,"Customer Delivery Late","Ship Late"))</f>
        <v/>
      </c>
    </row>
    <row r="1759">
      <c r="A1759" s="2" t="inlineStr">
        <is>
          <t>ORD-01758</t>
        </is>
      </c>
      <c r="B1759" s="2" t="inlineStr">
        <is>
          <t>Customer 17</t>
        </is>
      </c>
      <c r="C1759" s="2" t="inlineStr">
        <is>
          <t>Sensor</t>
        </is>
      </c>
      <c r="D1759" s="2" t="inlineStr">
        <is>
          <t>Plant A</t>
        </is>
      </c>
      <c r="E1759" s="2" t="inlineStr">
        <is>
          <t>Central</t>
        </is>
      </c>
      <c r="F1759" s="12" t="n">
        <v>46109</v>
      </c>
      <c r="G1759" s="12" t="n">
        <v>46125</v>
      </c>
      <c r="H1759" s="12" t="n">
        <v>46122</v>
      </c>
      <c r="I1759" s="12" t="n">
        <v>46120</v>
      </c>
      <c r="J1759" s="12" t="n">
        <v>46123</v>
      </c>
      <c r="K1759" s="2" t="n">
        <v>986</v>
      </c>
      <c r="L1759" s="2" t="inlineStr">
        <is>
          <t>Road</t>
        </is>
      </c>
      <c r="M1759" s="2" t="inlineStr">
        <is>
          <t>No Delay</t>
        </is>
      </c>
      <c r="N1759" s="4">
        <f>IF(I1759&lt;=H1759,1,0)</f>
        <v/>
      </c>
      <c r="O1759" s="4">
        <f>IF(J1759&lt;=G1759,1,0)</f>
        <v/>
      </c>
      <c r="P1759" s="4">
        <f>MAX(0,I1759-H1759)</f>
        <v/>
      </c>
      <c r="Q1759" s="4">
        <f>MAX(0,J1759-G1759)</f>
        <v/>
      </c>
      <c r="R1759" s="4">
        <f>IF(AND(N1759=1,O1759=1),"On Track",IF(O1759=0,"Customer Delivery Late","Ship Late"))</f>
        <v/>
      </c>
    </row>
    <row r="1760">
      <c r="A1760" s="2" t="inlineStr">
        <is>
          <t>ORD-01759</t>
        </is>
      </c>
      <c r="B1760" s="2" t="inlineStr">
        <is>
          <t>Customer 21</t>
        </is>
      </c>
      <c r="C1760" s="2" t="inlineStr">
        <is>
          <t>Relay</t>
        </is>
      </c>
      <c r="D1760" s="2" t="inlineStr">
        <is>
          <t>Plant B</t>
        </is>
      </c>
      <c r="E1760" s="2" t="inlineStr">
        <is>
          <t>North</t>
        </is>
      </c>
      <c r="F1760" s="12" t="n">
        <v>46126</v>
      </c>
      <c r="G1760" s="12" t="n">
        <v>46135</v>
      </c>
      <c r="H1760" s="12" t="n">
        <v>46131</v>
      </c>
      <c r="I1760" s="12" t="n">
        <v>46129</v>
      </c>
      <c r="J1760" s="12" t="n">
        <v>46133</v>
      </c>
      <c r="K1760" s="2" t="n">
        <v>227</v>
      </c>
      <c r="L1760" s="2" t="inlineStr">
        <is>
          <t>Road</t>
        </is>
      </c>
      <c r="M1760" s="2" t="inlineStr">
        <is>
          <t>No Delay</t>
        </is>
      </c>
      <c r="N1760" s="4">
        <f>IF(I1760&lt;=H1760,1,0)</f>
        <v/>
      </c>
      <c r="O1760" s="4">
        <f>IF(J1760&lt;=G1760,1,0)</f>
        <v/>
      </c>
      <c r="P1760" s="4">
        <f>MAX(0,I1760-H1760)</f>
        <v/>
      </c>
      <c r="Q1760" s="4">
        <f>MAX(0,J1760-G1760)</f>
        <v/>
      </c>
      <c r="R1760" s="4">
        <f>IF(AND(N1760=1,O1760=1),"On Track",IF(O1760=0,"Customer Delivery Late","Ship Late"))</f>
        <v/>
      </c>
    </row>
    <row r="1761">
      <c r="A1761" s="2" t="inlineStr">
        <is>
          <t>ORD-01760</t>
        </is>
      </c>
      <c r="B1761" s="2" t="inlineStr">
        <is>
          <t>Customer 02</t>
        </is>
      </c>
      <c r="C1761" s="2" t="inlineStr">
        <is>
          <t>Sensor</t>
        </is>
      </c>
      <c r="D1761" s="2" t="inlineStr">
        <is>
          <t>Plant A</t>
        </is>
      </c>
      <c r="E1761" s="2" t="inlineStr">
        <is>
          <t>South</t>
        </is>
      </c>
      <c r="F1761" s="12" t="n">
        <v>46141</v>
      </c>
      <c r="G1761" s="12" t="n">
        <v>46157</v>
      </c>
      <c r="H1761" s="12" t="n">
        <v>46153</v>
      </c>
      <c r="I1761" s="12" t="n">
        <v>46151</v>
      </c>
      <c r="J1761" s="12" t="n">
        <v>46154</v>
      </c>
      <c r="K1761" s="2" t="n">
        <v>243</v>
      </c>
      <c r="L1761" s="2" t="inlineStr">
        <is>
          <t>Air</t>
        </is>
      </c>
      <c r="M1761" s="2" t="inlineStr">
        <is>
          <t>No Delay</t>
        </is>
      </c>
      <c r="N1761" s="4">
        <f>IF(I1761&lt;=H1761,1,0)</f>
        <v/>
      </c>
      <c r="O1761" s="4">
        <f>IF(J1761&lt;=G1761,1,0)</f>
        <v/>
      </c>
      <c r="P1761" s="4">
        <f>MAX(0,I1761-H1761)</f>
        <v/>
      </c>
      <c r="Q1761" s="4">
        <f>MAX(0,J1761-G1761)</f>
        <v/>
      </c>
      <c r="R1761" s="4">
        <f>IF(AND(N1761=1,O1761=1),"On Track",IF(O1761=0,"Customer Delivery Late","Ship Late"))</f>
        <v/>
      </c>
    </row>
    <row r="1762">
      <c r="A1762" s="2" t="inlineStr">
        <is>
          <t>ORD-01761</t>
        </is>
      </c>
      <c r="B1762" s="2" t="inlineStr">
        <is>
          <t>Customer 04</t>
        </is>
      </c>
      <c r="C1762" s="2" t="inlineStr">
        <is>
          <t>Power Supply</t>
        </is>
      </c>
      <c r="D1762" s="2" t="inlineStr">
        <is>
          <t>Plant C</t>
        </is>
      </c>
      <c r="E1762" s="2" t="inlineStr">
        <is>
          <t>North</t>
        </is>
      </c>
      <c r="F1762" s="12" t="n">
        <v>46091</v>
      </c>
      <c r="G1762" s="12" t="n">
        <v>46113</v>
      </c>
      <c r="H1762" s="12" t="n">
        <v>46109</v>
      </c>
      <c r="I1762" s="12" t="n">
        <v>46107</v>
      </c>
      <c r="J1762" s="12" t="n">
        <v>46111</v>
      </c>
      <c r="K1762" s="2" t="n">
        <v>434</v>
      </c>
      <c r="L1762" s="2" t="inlineStr">
        <is>
          <t>Sea</t>
        </is>
      </c>
      <c r="M1762" s="2" t="inlineStr">
        <is>
          <t>No Delay</t>
        </is>
      </c>
      <c r="N1762" s="4">
        <f>IF(I1762&lt;=H1762,1,0)</f>
        <v/>
      </c>
      <c r="O1762" s="4">
        <f>IF(J1762&lt;=G1762,1,0)</f>
        <v/>
      </c>
      <c r="P1762" s="4">
        <f>MAX(0,I1762-H1762)</f>
        <v/>
      </c>
      <c r="Q1762" s="4">
        <f>MAX(0,J1762-G1762)</f>
        <v/>
      </c>
      <c r="R1762" s="4">
        <f>IF(AND(N1762=1,O1762=1),"On Track",IF(O1762=0,"Customer Delivery Late","Ship Late"))</f>
        <v/>
      </c>
    </row>
    <row r="1763">
      <c r="A1763" s="2" t="inlineStr">
        <is>
          <t>ORD-01762</t>
        </is>
      </c>
      <c r="B1763" s="2" t="inlineStr">
        <is>
          <t>Customer 04</t>
        </is>
      </c>
      <c r="C1763" s="2" t="inlineStr">
        <is>
          <t>Sensor</t>
        </is>
      </c>
      <c r="D1763" s="2" t="inlineStr">
        <is>
          <t>Plant A</t>
        </is>
      </c>
      <c r="E1763" s="2" t="inlineStr">
        <is>
          <t>Export</t>
        </is>
      </c>
      <c r="F1763" s="12" t="n">
        <v>46068</v>
      </c>
      <c r="G1763" s="12" t="n">
        <v>46078</v>
      </c>
      <c r="H1763" s="12" t="n">
        <v>46077</v>
      </c>
      <c r="I1763" s="12" t="n">
        <v>46077</v>
      </c>
      <c r="J1763" s="12" t="n">
        <v>46079</v>
      </c>
      <c r="K1763" s="2" t="n">
        <v>560</v>
      </c>
      <c r="L1763" s="2" t="inlineStr">
        <is>
          <t>Air</t>
        </is>
      </c>
      <c r="M1763" s="2" t="inlineStr">
        <is>
          <t>Material Shortage</t>
        </is>
      </c>
      <c r="N1763" s="4">
        <f>IF(I1763&lt;=H1763,1,0)</f>
        <v/>
      </c>
      <c r="O1763" s="4">
        <f>IF(J1763&lt;=G1763,1,0)</f>
        <v/>
      </c>
      <c r="P1763" s="4">
        <f>MAX(0,I1763-H1763)</f>
        <v/>
      </c>
      <c r="Q1763" s="4">
        <f>MAX(0,J1763-G1763)</f>
        <v/>
      </c>
      <c r="R1763" s="4">
        <f>IF(AND(N1763=1,O1763=1),"On Track",IF(O1763=0,"Customer Delivery Late","Ship Late"))</f>
        <v/>
      </c>
    </row>
    <row r="1764">
      <c r="A1764" s="2" t="inlineStr">
        <is>
          <t>ORD-01763</t>
        </is>
      </c>
      <c r="B1764" s="2" t="inlineStr">
        <is>
          <t>Customer 25</t>
        </is>
      </c>
      <c r="C1764" s="2" t="inlineStr">
        <is>
          <t>Breaker</t>
        </is>
      </c>
      <c r="D1764" s="2" t="inlineStr">
        <is>
          <t>Plant A</t>
        </is>
      </c>
      <c r="E1764" s="2" t="inlineStr">
        <is>
          <t>North</t>
        </is>
      </c>
      <c r="F1764" s="12" t="n">
        <v>46042</v>
      </c>
      <c r="G1764" s="12" t="n">
        <v>46048</v>
      </c>
      <c r="H1764" s="12" t="n">
        <v>46044</v>
      </c>
      <c r="I1764" s="12" t="n">
        <v>46042</v>
      </c>
      <c r="J1764" s="12" t="n">
        <v>46046</v>
      </c>
      <c r="K1764" s="2" t="n">
        <v>829</v>
      </c>
      <c r="L1764" s="2" t="inlineStr">
        <is>
          <t>Road</t>
        </is>
      </c>
      <c r="M1764" s="2" t="inlineStr">
        <is>
          <t>No Delay</t>
        </is>
      </c>
      <c r="N1764" s="4">
        <f>IF(I1764&lt;=H1764,1,0)</f>
        <v/>
      </c>
      <c r="O1764" s="4">
        <f>IF(J1764&lt;=G1764,1,0)</f>
        <v/>
      </c>
      <c r="P1764" s="4">
        <f>MAX(0,I1764-H1764)</f>
        <v/>
      </c>
      <c r="Q1764" s="4">
        <f>MAX(0,J1764-G1764)</f>
        <v/>
      </c>
      <c r="R1764" s="4">
        <f>IF(AND(N1764=1,O1764=1),"On Track",IF(O1764=0,"Customer Delivery Late","Ship Late"))</f>
        <v/>
      </c>
    </row>
    <row r="1765">
      <c r="A1765" s="2" t="inlineStr">
        <is>
          <t>ORD-01764</t>
        </is>
      </c>
      <c r="B1765" s="2" t="inlineStr">
        <is>
          <t>Customer 06</t>
        </is>
      </c>
      <c r="C1765" s="2" t="inlineStr">
        <is>
          <t>Power Supply</t>
        </is>
      </c>
      <c r="D1765" s="2" t="inlineStr">
        <is>
          <t>Plant B</t>
        </is>
      </c>
      <c r="E1765" s="2" t="inlineStr">
        <is>
          <t>Central</t>
        </is>
      </c>
      <c r="F1765" s="12" t="n">
        <v>46137</v>
      </c>
      <c r="G1765" s="12" t="n">
        <v>46143</v>
      </c>
      <c r="H1765" s="12" t="n">
        <v>46140</v>
      </c>
      <c r="I1765" s="12" t="n">
        <v>46138</v>
      </c>
      <c r="J1765" s="12" t="n">
        <v>46142</v>
      </c>
      <c r="K1765" s="2" t="n">
        <v>529</v>
      </c>
      <c r="L1765" s="2" t="inlineStr">
        <is>
          <t>Air</t>
        </is>
      </c>
      <c r="M1765" s="2" t="inlineStr">
        <is>
          <t>No Delay</t>
        </is>
      </c>
      <c r="N1765" s="4">
        <f>IF(I1765&lt;=H1765,1,0)</f>
        <v/>
      </c>
      <c r="O1765" s="4">
        <f>IF(J1765&lt;=G1765,1,0)</f>
        <v/>
      </c>
      <c r="P1765" s="4">
        <f>MAX(0,I1765-H1765)</f>
        <v/>
      </c>
      <c r="Q1765" s="4">
        <f>MAX(0,J1765-G1765)</f>
        <v/>
      </c>
      <c r="R1765" s="4">
        <f>IF(AND(N1765=1,O1765=1),"On Track",IF(O1765=0,"Customer Delivery Late","Ship Late"))</f>
        <v/>
      </c>
    </row>
    <row r="1766">
      <c r="A1766" s="2" t="inlineStr">
        <is>
          <t>ORD-01765</t>
        </is>
      </c>
      <c r="B1766" s="2" t="inlineStr">
        <is>
          <t>Customer 15</t>
        </is>
      </c>
      <c r="C1766" s="2" t="inlineStr">
        <is>
          <t>Power Supply</t>
        </is>
      </c>
      <c r="D1766" s="2" t="inlineStr">
        <is>
          <t>Plant A</t>
        </is>
      </c>
      <c r="E1766" s="2" t="inlineStr">
        <is>
          <t>North</t>
        </is>
      </c>
      <c r="F1766" s="12" t="n">
        <v>46119</v>
      </c>
      <c r="G1766" s="12" t="n">
        <v>46142</v>
      </c>
      <c r="H1766" s="12" t="n">
        <v>46140</v>
      </c>
      <c r="I1766" s="12" t="n">
        <v>46139</v>
      </c>
      <c r="J1766" s="12" t="n">
        <v>46142</v>
      </c>
      <c r="K1766" s="2" t="n">
        <v>1115</v>
      </c>
      <c r="L1766" s="2" t="inlineStr">
        <is>
          <t>Road</t>
        </is>
      </c>
      <c r="M1766" s="2" t="inlineStr">
        <is>
          <t>No Delay</t>
        </is>
      </c>
      <c r="N1766" s="4">
        <f>IF(I1766&lt;=H1766,1,0)</f>
        <v/>
      </c>
      <c r="O1766" s="4">
        <f>IF(J1766&lt;=G1766,1,0)</f>
        <v/>
      </c>
      <c r="P1766" s="4">
        <f>MAX(0,I1766-H1766)</f>
        <v/>
      </c>
      <c r="Q1766" s="4">
        <f>MAX(0,J1766-G1766)</f>
        <v/>
      </c>
      <c r="R1766" s="4">
        <f>IF(AND(N1766=1,O1766=1),"On Track",IF(O1766=0,"Customer Delivery Late","Ship Late"))</f>
        <v/>
      </c>
    </row>
    <row r="1767">
      <c r="A1767" s="2" t="inlineStr">
        <is>
          <t>ORD-01766</t>
        </is>
      </c>
      <c r="B1767" s="2" t="inlineStr">
        <is>
          <t>Customer 12</t>
        </is>
      </c>
      <c r="C1767" s="2" t="inlineStr">
        <is>
          <t>Drive</t>
        </is>
      </c>
      <c r="D1767" s="2" t="inlineStr">
        <is>
          <t>Plant A</t>
        </is>
      </c>
      <c r="E1767" s="2" t="inlineStr">
        <is>
          <t>Central</t>
        </is>
      </c>
      <c r="F1767" s="12" t="n">
        <v>46167</v>
      </c>
      <c r="G1767" s="12" t="n">
        <v>46173</v>
      </c>
      <c r="H1767" s="12" t="n">
        <v>46169</v>
      </c>
      <c r="I1767" s="12" t="n">
        <v>46168</v>
      </c>
      <c r="J1767" s="12" t="n">
        <v>46171</v>
      </c>
      <c r="K1767" s="2" t="n">
        <v>1248</v>
      </c>
      <c r="L1767" s="2" t="inlineStr">
        <is>
          <t>Road</t>
        </is>
      </c>
      <c r="M1767" s="2" t="inlineStr">
        <is>
          <t>No Delay</t>
        </is>
      </c>
      <c r="N1767" s="4">
        <f>IF(I1767&lt;=H1767,1,0)</f>
        <v/>
      </c>
      <c r="O1767" s="4">
        <f>IF(J1767&lt;=G1767,1,0)</f>
        <v/>
      </c>
      <c r="P1767" s="4">
        <f>MAX(0,I1767-H1767)</f>
        <v/>
      </c>
      <c r="Q1767" s="4">
        <f>MAX(0,J1767-G1767)</f>
        <v/>
      </c>
      <c r="R1767" s="4">
        <f>IF(AND(N1767=1,O1767=1),"On Track",IF(O1767=0,"Customer Delivery Late","Ship Late"))</f>
        <v/>
      </c>
    </row>
    <row r="1768">
      <c r="A1768" s="2" t="inlineStr">
        <is>
          <t>ORD-01767</t>
        </is>
      </c>
      <c r="B1768" s="2" t="inlineStr">
        <is>
          <t>Customer 29</t>
        </is>
      </c>
      <c r="C1768" s="2" t="inlineStr">
        <is>
          <t>Contactor</t>
        </is>
      </c>
      <c r="D1768" s="2" t="inlineStr">
        <is>
          <t>Plant B</t>
        </is>
      </c>
      <c r="E1768" s="2" t="inlineStr">
        <is>
          <t>Central</t>
        </is>
      </c>
      <c r="F1768" s="12" t="n">
        <v>46055</v>
      </c>
      <c r="G1768" s="12" t="n">
        <v>46074</v>
      </c>
      <c r="H1768" s="12" t="n">
        <v>46072</v>
      </c>
      <c r="I1768" s="12" t="n">
        <v>46080</v>
      </c>
      <c r="J1768" s="12" t="n">
        <v>46083</v>
      </c>
      <c r="K1768" s="2" t="n">
        <v>722</v>
      </c>
      <c r="L1768" s="2" t="inlineStr">
        <is>
          <t>Sea</t>
        </is>
      </c>
      <c r="M1768" s="2" t="inlineStr">
        <is>
          <t>Production Delay</t>
        </is>
      </c>
      <c r="N1768" s="4">
        <f>IF(I1768&lt;=H1768,1,0)</f>
        <v/>
      </c>
      <c r="O1768" s="4">
        <f>IF(J1768&lt;=G1768,1,0)</f>
        <v/>
      </c>
      <c r="P1768" s="4">
        <f>MAX(0,I1768-H1768)</f>
        <v/>
      </c>
      <c r="Q1768" s="4">
        <f>MAX(0,J1768-G1768)</f>
        <v/>
      </c>
      <c r="R1768" s="4">
        <f>IF(AND(N1768=1,O1768=1),"On Track",IF(O1768=0,"Customer Delivery Late","Ship Late"))</f>
        <v/>
      </c>
    </row>
    <row r="1769">
      <c r="A1769" s="2" t="inlineStr">
        <is>
          <t>ORD-01768</t>
        </is>
      </c>
      <c r="B1769" s="2" t="inlineStr">
        <is>
          <t>Customer 15</t>
        </is>
      </c>
      <c r="C1769" s="2" t="inlineStr">
        <is>
          <t>Power Supply</t>
        </is>
      </c>
      <c r="D1769" s="2" t="inlineStr">
        <is>
          <t>Plant C</t>
        </is>
      </c>
      <c r="E1769" s="2" t="inlineStr">
        <is>
          <t>South</t>
        </is>
      </c>
      <c r="F1769" s="12" t="n">
        <v>46035</v>
      </c>
      <c r="G1769" s="12" t="n">
        <v>46049</v>
      </c>
      <c r="H1769" s="12" t="n">
        <v>46044</v>
      </c>
      <c r="I1769" s="12" t="n">
        <v>46042</v>
      </c>
      <c r="J1769" s="12" t="n">
        <v>46047</v>
      </c>
      <c r="K1769" s="2" t="n">
        <v>361</v>
      </c>
      <c r="L1769" s="2" t="inlineStr">
        <is>
          <t>Air</t>
        </is>
      </c>
      <c r="M1769" s="2" t="inlineStr">
        <is>
          <t>No Delay</t>
        </is>
      </c>
      <c r="N1769" s="4">
        <f>IF(I1769&lt;=H1769,1,0)</f>
        <v/>
      </c>
      <c r="O1769" s="4">
        <f>IF(J1769&lt;=G1769,1,0)</f>
        <v/>
      </c>
      <c r="P1769" s="4">
        <f>MAX(0,I1769-H1769)</f>
        <v/>
      </c>
      <c r="Q1769" s="4">
        <f>MAX(0,J1769-G1769)</f>
        <v/>
      </c>
      <c r="R1769" s="4">
        <f>IF(AND(N1769=1,O1769=1),"On Track",IF(O1769=0,"Customer Delivery Late","Ship Late"))</f>
        <v/>
      </c>
    </row>
    <row r="1770">
      <c r="A1770" s="2" t="inlineStr">
        <is>
          <t>ORD-01769</t>
        </is>
      </c>
      <c r="B1770" s="2" t="inlineStr">
        <is>
          <t>Customer 21</t>
        </is>
      </c>
      <c r="C1770" s="2" t="inlineStr">
        <is>
          <t>Drive</t>
        </is>
      </c>
      <c r="D1770" s="2" t="inlineStr">
        <is>
          <t>Plant A</t>
        </is>
      </c>
      <c r="E1770" s="2" t="inlineStr">
        <is>
          <t>Export</t>
        </is>
      </c>
      <c r="F1770" s="12" t="n">
        <v>46065</v>
      </c>
      <c r="G1770" s="12" t="n">
        <v>46087</v>
      </c>
      <c r="H1770" s="12" t="n">
        <v>46084</v>
      </c>
      <c r="I1770" s="12" t="n">
        <v>46082</v>
      </c>
      <c r="J1770" s="12" t="n">
        <v>46085</v>
      </c>
      <c r="K1770" s="2" t="n">
        <v>1490</v>
      </c>
      <c r="L1770" s="2" t="inlineStr">
        <is>
          <t>Road</t>
        </is>
      </c>
      <c r="M1770" s="2" t="inlineStr">
        <is>
          <t>No Delay</t>
        </is>
      </c>
      <c r="N1770" s="4">
        <f>IF(I1770&lt;=H1770,1,0)</f>
        <v/>
      </c>
      <c r="O1770" s="4">
        <f>IF(J1770&lt;=G1770,1,0)</f>
        <v/>
      </c>
      <c r="P1770" s="4">
        <f>MAX(0,I1770-H1770)</f>
        <v/>
      </c>
      <c r="Q1770" s="4">
        <f>MAX(0,J1770-G1770)</f>
        <v/>
      </c>
      <c r="R1770" s="4">
        <f>IF(AND(N1770=1,O1770=1),"On Track",IF(O1770=0,"Customer Delivery Late","Ship Late"))</f>
        <v/>
      </c>
    </row>
    <row r="1771">
      <c r="A1771" s="2" t="inlineStr">
        <is>
          <t>ORD-01770</t>
        </is>
      </c>
      <c r="B1771" s="2" t="inlineStr">
        <is>
          <t>Customer 25</t>
        </is>
      </c>
      <c r="C1771" s="2" t="inlineStr">
        <is>
          <t>Power Supply</t>
        </is>
      </c>
      <c r="D1771" s="2" t="inlineStr">
        <is>
          <t>Plant A</t>
        </is>
      </c>
      <c r="E1771" s="2" t="inlineStr">
        <is>
          <t>Central</t>
        </is>
      </c>
      <c r="F1771" s="12" t="n">
        <v>46152</v>
      </c>
      <c r="G1771" s="12" t="n">
        <v>46174</v>
      </c>
      <c r="H1771" s="12" t="n">
        <v>46170</v>
      </c>
      <c r="I1771" s="12" t="n">
        <v>46168</v>
      </c>
      <c r="J1771" s="12" t="n">
        <v>46172</v>
      </c>
      <c r="K1771" s="2" t="n">
        <v>101</v>
      </c>
      <c r="L1771" s="2" t="inlineStr">
        <is>
          <t>Sea</t>
        </is>
      </c>
      <c r="M1771" s="2" t="inlineStr">
        <is>
          <t>No Delay</t>
        </is>
      </c>
      <c r="N1771" s="4">
        <f>IF(I1771&lt;=H1771,1,0)</f>
        <v/>
      </c>
      <c r="O1771" s="4">
        <f>IF(J1771&lt;=G1771,1,0)</f>
        <v/>
      </c>
      <c r="P1771" s="4">
        <f>MAX(0,I1771-H1771)</f>
        <v/>
      </c>
      <c r="Q1771" s="4">
        <f>MAX(0,J1771-G1771)</f>
        <v/>
      </c>
      <c r="R1771" s="4">
        <f>IF(AND(N1771=1,O1771=1),"On Track",IF(O1771=0,"Customer Delivery Late","Ship Late"))</f>
        <v/>
      </c>
    </row>
    <row r="1772">
      <c r="A1772" s="2" t="inlineStr">
        <is>
          <t>ORD-01771</t>
        </is>
      </c>
      <c r="B1772" s="2" t="inlineStr">
        <is>
          <t>Customer 03</t>
        </is>
      </c>
      <c r="C1772" s="2" t="inlineStr">
        <is>
          <t>Drive</t>
        </is>
      </c>
      <c r="D1772" s="2" t="inlineStr">
        <is>
          <t>Plant B</t>
        </is>
      </c>
      <c r="E1772" s="2" t="inlineStr">
        <is>
          <t>Central</t>
        </is>
      </c>
      <c r="F1772" s="12" t="n">
        <v>46025</v>
      </c>
      <c r="G1772" s="12" t="n">
        <v>46033</v>
      </c>
      <c r="H1772" s="12" t="n">
        <v>46028</v>
      </c>
      <c r="I1772" s="12" t="n">
        <v>46026</v>
      </c>
      <c r="J1772" s="12" t="n">
        <v>46031</v>
      </c>
      <c r="K1772" s="2" t="n">
        <v>1279</v>
      </c>
      <c r="L1772" s="2" t="inlineStr">
        <is>
          <t>Road</t>
        </is>
      </c>
      <c r="M1772" s="2" t="inlineStr">
        <is>
          <t>No Delay</t>
        </is>
      </c>
      <c r="N1772" s="4">
        <f>IF(I1772&lt;=H1772,1,0)</f>
        <v/>
      </c>
      <c r="O1772" s="4">
        <f>IF(J1772&lt;=G1772,1,0)</f>
        <v/>
      </c>
      <c r="P1772" s="4">
        <f>MAX(0,I1772-H1772)</f>
        <v/>
      </c>
      <c r="Q1772" s="4">
        <f>MAX(0,J1772-G1772)</f>
        <v/>
      </c>
      <c r="R1772" s="4">
        <f>IF(AND(N1772=1,O1772=1),"On Track",IF(O1772=0,"Customer Delivery Late","Ship Late"))</f>
        <v/>
      </c>
    </row>
    <row r="1773">
      <c r="A1773" s="2" t="inlineStr">
        <is>
          <t>ORD-01772</t>
        </is>
      </c>
      <c r="B1773" s="2" t="inlineStr">
        <is>
          <t>Customer 12</t>
        </is>
      </c>
      <c r="C1773" s="2" t="inlineStr">
        <is>
          <t>PLC</t>
        </is>
      </c>
      <c r="D1773" s="2" t="inlineStr">
        <is>
          <t>Plant A</t>
        </is>
      </c>
      <c r="E1773" s="2" t="inlineStr">
        <is>
          <t>Central</t>
        </is>
      </c>
      <c r="F1773" s="12" t="n">
        <v>46094</v>
      </c>
      <c r="G1773" s="12" t="n">
        <v>46107</v>
      </c>
      <c r="H1773" s="12" t="n">
        <v>46102</v>
      </c>
      <c r="I1773" s="12" t="n">
        <v>46100</v>
      </c>
      <c r="J1773" s="12" t="n">
        <v>46105</v>
      </c>
      <c r="K1773" s="2" t="n">
        <v>364</v>
      </c>
      <c r="L1773" s="2" t="inlineStr">
        <is>
          <t>Road</t>
        </is>
      </c>
      <c r="M1773" s="2" t="inlineStr">
        <is>
          <t>No Delay</t>
        </is>
      </c>
      <c r="N1773" s="4">
        <f>IF(I1773&lt;=H1773,1,0)</f>
        <v/>
      </c>
      <c r="O1773" s="4">
        <f>IF(J1773&lt;=G1773,1,0)</f>
        <v/>
      </c>
      <c r="P1773" s="4">
        <f>MAX(0,I1773-H1773)</f>
        <v/>
      </c>
      <c r="Q1773" s="4">
        <f>MAX(0,J1773-G1773)</f>
        <v/>
      </c>
      <c r="R1773" s="4">
        <f>IF(AND(N1773=1,O1773=1),"On Track",IF(O1773=0,"Customer Delivery Late","Ship Late"))</f>
        <v/>
      </c>
    </row>
    <row r="1774">
      <c r="A1774" s="2" t="inlineStr">
        <is>
          <t>ORD-01773</t>
        </is>
      </c>
      <c r="B1774" s="2" t="inlineStr">
        <is>
          <t>Customer 02</t>
        </is>
      </c>
      <c r="C1774" s="2" t="inlineStr">
        <is>
          <t>Contactor</t>
        </is>
      </c>
      <c r="D1774" s="2" t="inlineStr">
        <is>
          <t>Plant C</t>
        </is>
      </c>
      <c r="E1774" s="2" t="inlineStr">
        <is>
          <t>Central</t>
        </is>
      </c>
      <c r="F1774" s="12" t="n">
        <v>46065</v>
      </c>
      <c r="G1774" s="12" t="n">
        <v>46077</v>
      </c>
      <c r="H1774" s="12" t="n">
        <v>46074</v>
      </c>
      <c r="I1774" s="12" t="n">
        <v>46072</v>
      </c>
      <c r="J1774" s="12" t="n">
        <v>46075</v>
      </c>
      <c r="K1774" s="2" t="n">
        <v>701</v>
      </c>
      <c r="L1774" s="2" t="inlineStr">
        <is>
          <t>Air</t>
        </is>
      </c>
      <c r="M1774" s="2" t="inlineStr">
        <is>
          <t>No Delay</t>
        </is>
      </c>
      <c r="N1774" s="4">
        <f>IF(I1774&lt;=H1774,1,0)</f>
        <v/>
      </c>
      <c r="O1774" s="4">
        <f>IF(J1774&lt;=G1774,1,0)</f>
        <v/>
      </c>
      <c r="P1774" s="4">
        <f>MAX(0,I1774-H1774)</f>
        <v/>
      </c>
      <c r="Q1774" s="4">
        <f>MAX(0,J1774-G1774)</f>
        <v/>
      </c>
      <c r="R1774" s="4">
        <f>IF(AND(N1774=1,O1774=1),"On Track",IF(O1774=0,"Customer Delivery Late","Ship Late"))</f>
        <v/>
      </c>
    </row>
    <row r="1775">
      <c r="A1775" s="2" t="inlineStr">
        <is>
          <t>ORD-01774</t>
        </is>
      </c>
      <c r="B1775" s="2" t="inlineStr">
        <is>
          <t>Customer 25</t>
        </is>
      </c>
      <c r="C1775" s="2" t="inlineStr">
        <is>
          <t>PLC</t>
        </is>
      </c>
      <c r="D1775" s="2" t="inlineStr">
        <is>
          <t>Plant A</t>
        </is>
      </c>
      <c r="E1775" s="2" t="inlineStr">
        <is>
          <t>Central</t>
        </is>
      </c>
      <c r="F1775" s="12" t="n">
        <v>46107</v>
      </c>
      <c r="G1775" s="12" t="n">
        <v>46113</v>
      </c>
      <c r="H1775" s="12" t="n">
        <v>46111</v>
      </c>
      <c r="I1775" s="12" t="n">
        <v>46111</v>
      </c>
      <c r="J1775" s="12" t="n">
        <v>46113</v>
      </c>
      <c r="K1775" s="2" t="n">
        <v>613</v>
      </c>
      <c r="L1775" s="2" t="inlineStr">
        <is>
          <t>Road</t>
        </is>
      </c>
      <c r="M1775" s="2" t="inlineStr">
        <is>
          <t>No Delay</t>
        </is>
      </c>
      <c r="N1775" s="4">
        <f>IF(I1775&lt;=H1775,1,0)</f>
        <v/>
      </c>
      <c r="O1775" s="4">
        <f>IF(J1775&lt;=G1775,1,0)</f>
        <v/>
      </c>
      <c r="P1775" s="4">
        <f>MAX(0,I1775-H1775)</f>
        <v/>
      </c>
      <c r="Q1775" s="4">
        <f>MAX(0,J1775-G1775)</f>
        <v/>
      </c>
      <c r="R1775" s="4">
        <f>IF(AND(N1775=1,O1775=1),"On Track",IF(O1775=0,"Customer Delivery Late","Ship Late"))</f>
        <v/>
      </c>
    </row>
    <row r="1776">
      <c r="A1776" s="2" t="inlineStr">
        <is>
          <t>ORD-01775</t>
        </is>
      </c>
      <c r="B1776" s="2" t="inlineStr">
        <is>
          <t>Customer 24</t>
        </is>
      </c>
      <c r="C1776" s="2" t="inlineStr">
        <is>
          <t>PLC</t>
        </is>
      </c>
      <c r="D1776" s="2" t="inlineStr">
        <is>
          <t>Plant A</t>
        </is>
      </c>
      <c r="E1776" s="2" t="inlineStr">
        <is>
          <t>Central</t>
        </is>
      </c>
      <c r="F1776" s="12" t="n">
        <v>46123</v>
      </c>
      <c r="G1776" s="12" t="n">
        <v>46133</v>
      </c>
      <c r="H1776" s="12" t="n">
        <v>46128</v>
      </c>
      <c r="I1776" s="12" t="n">
        <v>46126</v>
      </c>
      <c r="J1776" s="12" t="n">
        <v>46131</v>
      </c>
      <c r="K1776" s="2" t="n">
        <v>561</v>
      </c>
      <c r="L1776" s="2" t="inlineStr">
        <is>
          <t>Air</t>
        </is>
      </c>
      <c r="M1776" s="2" t="inlineStr">
        <is>
          <t>No Delay</t>
        </is>
      </c>
      <c r="N1776" s="4">
        <f>IF(I1776&lt;=H1776,1,0)</f>
        <v/>
      </c>
      <c r="O1776" s="4">
        <f>IF(J1776&lt;=G1776,1,0)</f>
        <v/>
      </c>
      <c r="P1776" s="4">
        <f>MAX(0,I1776-H1776)</f>
        <v/>
      </c>
      <c r="Q1776" s="4">
        <f>MAX(0,J1776-G1776)</f>
        <v/>
      </c>
      <c r="R1776" s="4">
        <f>IF(AND(N1776=1,O1776=1),"On Track",IF(O1776=0,"Customer Delivery Late","Ship Late"))</f>
        <v/>
      </c>
    </row>
    <row r="1777">
      <c r="A1777" s="2" t="inlineStr">
        <is>
          <t>ORD-01776</t>
        </is>
      </c>
      <c r="B1777" s="2" t="inlineStr">
        <is>
          <t>Customer 20</t>
        </is>
      </c>
      <c r="C1777" s="2" t="inlineStr">
        <is>
          <t>Relay</t>
        </is>
      </c>
      <c r="D1777" s="2" t="inlineStr">
        <is>
          <t>Plant A</t>
        </is>
      </c>
      <c r="E1777" s="2" t="inlineStr">
        <is>
          <t>North</t>
        </is>
      </c>
      <c r="F1777" s="12" t="n">
        <v>46046</v>
      </c>
      <c r="G1777" s="12" t="n">
        <v>46056</v>
      </c>
      <c r="H1777" s="12" t="n">
        <v>46051</v>
      </c>
      <c r="I1777" s="12" t="n">
        <v>46050</v>
      </c>
      <c r="J1777" s="12" t="n">
        <v>46055</v>
      </c>
      <c r="K1777" s="2" t="n">
        <v>302</v>
      </c>
      <c r="L1777" s="2" t="inlineStr">
        <is>
          <t>Road</t>
        </is>
      </c>
      <c r="M1777" s="2" t="inlineStr">
        <is>
          <t>No Delay</t>
        </is>
      </c>
      <c r="N1777" s="4">
        <f>IF(I1777&lt;=H1777,1,0)</f>
        <v/>
      </c>
      <c r="O1777" s="4">
        <f>IF(J1777&lt;=G1777,1,0)</f>
        <v/>
      </c>
      <c r="P1777" s="4">
        <f>MAX(0,I1777-H1777)</f>
        <v/>
      </c>
      <c r="Q1777" s="4">
        <f>MAX(0,J1777-G1777)</f>
        <v/>
      </c>
      <c r="R1777" s="4">
        <f>IF(AND(N1777=1,O1777=1),"On Track",IF(O1777=0,"Customer Delivery Late","Ship Late"))</f>
        <v/>
      </c>
    </row>
    <row r="1778">
      <c r="A1778" s="2" t="inlineStr">
        <is>
          <t>ORD-01777</t>
        </is>
      </c>
      <c r="B1778" s="2" t="inlineStr">
        <is>
          <t>Customer 06</t>
        </is>
      </c>
      <c r="C1778" s="2" t="inlineStr">
        <is>
          <t>Contactor</t>
        </is>
      </c>
      <c r="D1778" s="2" t="inlineStr">
        <is>
          <t>Plant A</t>
        </is>
      </c>
      <c r="E1778" s="2" t="inlineStr">
        <is>
          <t>Export</t>
        </is>
      </c>
      <c r="F1778" s="12" t="n">
        <v>46150</v>
      </c>
      <c r="G1778" s="12" t="n">
        <v>46167</v>
      </c>
      <c r="H1778" s="12" t="n">
        <v>46165</v>
      </c>
      <c r="I1778" s="12" t="n">
        <v>46164</v>
      </c>
      <c r="J1778" s="12" t="n">
        <v>46167</v>
      </c>
      <c r="K1778" s="2" t="n">
        <v>383</v>
      </c>
      <c r="L1778" s="2" t="inlineStr">
        <is>
          <t>Sea</t>
        </is>
      </c>
      <c r="M1778" s="2" t="inlineStr">
        <is>
          <t>No Delay</t>
        </is>
      </c>
      <c r="N1778" s="4">
        <f>IF(I1778&lt;=H1778,1,0)</f>
        <v/>
      </c>
      <c r="O1778" s="4">
        <f>IF(J1778&lt;=G1778,1,0)</f>
        <v/>
      </c>
      <c r="P1778" s="4">
        <f>MAX(0,I1778-H1778)</f>
        <v/>
      </c>
      <c r="Q1778" s="4">
        <f>MAX(0,J1778-G1778)</f>
        <v/>
      </c>
      <c r="R1778" s="4">
        <f>IF(AND(N1778=1,O1778=1),"On Track",IF(O1778=0,"Customer Delivery Late","Ship Late"))</f>
        <v/>
      </c>
    </row>
    <row r="1779">
      <c r="A1779" s="2" t="inlineStr">
        <is>
          <t>ORD-01778</t>
        </is>
      </c>
      <c r="B1779" s="2" t="inlineStr">
        <is>
          <t>Customer 04</t>
        </is>
      </c>
      <c r="C1779" s="2" t="inlineStr">
        <is>
          <t>Relay</t>
        </is>
      </c>
      <c r="D1779" s="2" t="inlineStr">
        <is>
          <t>Plant A</t>
        </is>
      </c>
      <c r="E1779" s="2" t="inlineStr">
        <is>
          <t>Export</t>
        </is>
      </c>
      <c r="F1779" s="12" t="n">
        <v>46091</v>
      </c>
      <c r="G1779" s="12" t="n">
        <v>46116</v>
      </c>
      <c r="H1779" s="12" t="n">
        <v>46115</v>
      </c>
      <c r="I1779" s="12" t="n">
        <v>46114</v>
      </c>
      <c r="J1779" s="12" t="n">
        <v>46116</v>
      </c>
      <c r="K1779" s="2" t="n">
        <v>924</v>
      </c>
      <c r="L1779" s="2" t="inlineStr">
        <is>
          <t>Road</t>
        </is>
      </c>
      <c r="M1779" s="2" t="inlineStr">
        <is>
          <t>No Delay</t>
        </is>
      </c>
      <c r="N1779" s="4">
        <f>IF(I1779&lt;=H1779,1,0)</f>
        <v/>
      </c>
      <c r="O1779" s="4">
        <f>IF(J1779&lt;=G1779,1,0)</f>
        <v/>
      </c>
      <c r="P1779" s="4">
        <f>MAX(0,I1779-H1779)</f>
        <v/>
      </c>
      <c r="Q1779" s="4">
        <f>MAX(0,J1779-G1779)</f>
        <v/>
      </c>
      <c r="R1779" s="4">
        <f>IF(AND(N1779=1,O1779=1),"On Track",IF(O1779=0,"Customer Delivery Late","Ship Late"))</f>
        <v/>
      </c>
    </row>
    <row r="1780">
      <c r="A1780" s="2" t="inlineStr">
        <is>
          <t>ORD-01779</t>
        </is>
      </c>
      <c r="B1780" s="2" t="inlineStr">
        <is>
          <t>Customer 28</t>
        </is>
      </c>
      <c r="C1780" s="2" t="inlineStr">
        <is>
          <t>Sensor</t>
        </is>
      </c>
      <c r="D1780" s="2" t="inlineStr">
        <is>
          <t>Plant B</t>
        </is>
      </c>
      <c r="E1780" s="2" t="inlineStr">
        <is>
          <t>South</t>
        </is>
      </c>
      <c r="F1780" s="12" t="n">
        <v>46202</v>
      </c>
      <c r="G1780" s="12" t="n">
        <v>46214</v>
      </c>
      <c r="H1780" s="12" t="n">
        <v>46213</v>
      </c>
      <c r="I1780" s="12" t="n">
        <v>46211</v>
      </c>
      <c r="J1780" s="12" t="n">
        <v>46212</v>
      </c>
      <c r="K1780" s="2" t="n">
        <v>319</v>
      </c>
      <c r="L1780" s="2" t="inlineStr">
        <is>
          <t>Sea</t>
        </is>
      </c>
      <c r="M1780" s="2" t="inlineStr">
        <is>
          <t>No Delay</t>
        </is>
      </c>
      <c r="N1780" s="4">
        <f>IF(I1780&lt;=H1780,1,0)</f>
        <v/>
      </c>
      <c r="O1780" s="4">
        <f>IF(J1780&lt;=G1780,1,0)</f>
        <v/>
      </c>
      <c r="P1780" s="4">
        <f>MAX(0,I1780-H1780)</f>
        <v/>
      </c>
      <c r="Q1780" s="4">
        <f>MAX(0,J1780-G1780)</f>
        <v/>
      </c>
      <c r="R1780" s="4">
        <f>IF(AND(N1780=1,O1780=1),"On Track",IF(O1780=0,"Customer Delivery Late","Ship Late"))</f>
        <v/>
      </c>
    </row>
    <row r="1781">
      <c r="A1781" s="2" t="inlineStr">
        <is>
          <t>ORD-01780</t>
        </is>
      </c>
      <c r="B1781" s="2" t="inlineStr">
        <is>
          <t>Customer 14</t>
        </is>
      </c>
      <c r="C1781" s="2" t="inlineStr">
        <is>
          <t>Contactor</t>
        </is>
      </c>
      <c r="D1781" s="2" t="inlineStr">
        <is>
          <t>Plant B</t>
        </is>
      </c>
      <c r="E1781" s="2" t="inlineStr">
        <is>
          <t>Central</t>
        </is>
      </c>
      <c r="F1781" s="12" t="n">
        <v>46153</v>
      </c>
      <c r="G1781" s="12" t="n">
        <v>46178</v>
      </c>
      <c r="H1781" s="12" t="n">
        <v>46174</v>
      </c>
      <c r="I1781" s="12" t="n">
        <v>46172</v>
      </c>
      <c r="J1781" s="12" t="n">
        <v>46175</v>
      </c>
      <c r="K1781" s="2" t="n">
        <v>64</v>
      </c>
      <c r="L1781" s="2" t="inlineStr">
        <is>
          <t>Road</t>
        </is>
      </c>
      <c r="M1781" s="2" t="inlineStr">
        <is>
          <t>No Delay</t>
        </is>
      </c>
      <c r="N1781" s="4">
        <f>IF(I1781&lt;=H1781,1,0)</f>
        <v/>
      </c>
      <c r="O1781" s="4">
        <f>IF(J1781&lt;=G1781,1,0)</f>
        <v/>
      </c>
      <c r="P1781" s="4">
        <f>MAX(0,I1781-H1781)</f>
        <v/>
      </c>
      <c r="Q1781" s="4">
        <f>MAX(0,J1781-G1781)</f>
        <v/>
      </c>
      <c r="R1781" s="4">
        <f>IF(AND(N1781=1,O1781=1),"On Track",IF(O1781=0,"Customer Delivery Late","Ship Late"))</f>
        <v/>
      </c>
    </row>
    <row r="1782">
      <c r="A1782" s="2" t="inlineStr">
        <is>
          <t>ORD-01781</t>
        </is>
      </c>
      <c r="B1782" s="2" t="inlineStr">
        <is>
          <t>Customer 09</t>
        </is>
      </c>
      <c r="C1782" s="2" t="inlineStr">
        <is>
          <t>Breaker</t>
        </is>
      </c>
      <c r="D1782" s="2" t="inlineStr">
        <is>
          <t>Plant A</t>
        </is>
      </c>
      <c r="E1782" s="2" t="inlineStr">
        <is>
          <t>Central</t>
        </is>
      </c>
      <c r="F1782" s="12" t="n">
        <v>46169</v>
      </c>
      <c r="G1782" s="12" t="n">
        <v>46192</v>
      </c>
      <c r="H1782" s="12" t="n">
        <v>46190</v>
      </c>
      <c r="I1782" s="12" t="n">
        <v>46190</v>
      </c>
      <c r="J1782" s="12" t="n">
        <v>46192</v>
      </c>
      <c r="K1782" s="2" t="n">
        <v>1454</v>
      </c>
      <c r="L1782" s="2" t="inlineStr">
        <is>
          <t>Road</t>
        </is>
      </c>
      <c r="M1782" s="2" t="inlineStr">
        <is>
          <t>No Delay</t>
        </is>
      </c>
      <c r="N1782" s="4">
        <f>IF(I1782&lt;=H1782,1,0)</f>
        <v/>
      </c>
      <c r="O1782" s="4">
        <f>IF(J1782&lt;=G1782,1,0)</f>
        <v/>
      </c>
      <c r="P1782" s="4">
        <f>MAX(0,I1782-H1782)</f>
        <v/>
      </c>
      <c r="Q1782" s="4">
        <f>MAX(0,J1782-G1782)</f>
        <v/>
      </c>
      <c r="R1782" s="4">
        <f>IF(AND(N1782=1,O1782=1),"On Track",IF(O1782=0,"Customer Delivery Late","Ship Late"))</f>
        <v/>
      </c>
    </row>
    <row r="1783">
      <c r="A1783" s="2" t="inlineStr">
        <is>
          <t>ORD-01782</t>
        </is>
      </c>
      <c r="B1783" s="2" t="inlineStr">
        <is>
          <t>Customer 07</t>
        </is>
      </c>
      <c r="C1783" s="2" t="inlineStr">
        <is>
          <t>Relay</t>
        </is>
      </c>
      <c r="D1783" s="2" t="inlineStr">
        <is>
          <t>Plant A</t>
        </is>
      </c>
      <c r="E1783" s="2" t="inlineStr">
        <is>
          <t>North</t>
        </is>
      </c>
      <c r="F1783" s="12" t="n">
        <v>46039</v>
      </c>
      <c r="G1783" s="12" t="n">
        <v>46055</v>
      </c>
      <c r="H1783" s="12" t="n">
        <v>46053</v>
      </c>
      <c r="I1783" s="12" t="n">
        <v>46052</v>
      </c>
      <c r="J1783" s="12" t="n">
        <v>46054</v>
      </c>
      <c r="K1783" s="2" t="n">
        <v>623</v>
      </c>
      <c r="L1783" s="2" t="inlineStr">
        <is>
          <t>Road</t>
        </is>
      </c>
      <c r="M1783" s="2" t="inlineStr">
        <is>
          <t>No Delay</t>
        </is>
      </c>
      <c r="N1783" s="4">
        <f>IF(I1783&lt;=H1783,1,0)</f>
        <v/>
      </c>
      <c r="O1783" s="4">
        <f>IF(J1783&lt;=G1783,1,0)</f>
        <v/>
      </c>
      <c r="P1783" s="4">
        <f>MAX(0,I1783-H1783)</f>
        <v/>
      </c>
      <c r="Q1783" s="4">
        <f>MAX(0,J1783-G1783)</f>
        <v/>
      </c>
      <c r="R1783" s="4">
        <f>IF(AND(N1783=1,O1783=1),"On Track",IF(O1783=0,"Customer Delivery Late","Ship Late"))</f>
        <v/>
      </c>
    </row>
    <row r="1784">
      <c r="A1784" s="2" t="inlineStr">
        <is>
          <t>ORD-01783</t>
        </is>
      </c>
      <c r="B1784" s="2" t="inlineStr">
        <is>
          <t>Customer 20</t>
        </is>
      </c>
      <c r="C1784" s="2" t="inlineStr">
        <is>
          <t>Relay</t>
        </is>
      </c>
      <c r="D1784" s="2" t="inlineStr">
        <is>
          <t>Plant B</t>
        </is>
      </c>
      <c r="E1784" s="2" t="inlineStr">
        <is>
          <t>South</t>
        </is>
      </c>
      <c r="F1784" s="12" t="n">
        <v>46193</v>
      </c>
      <c r="G1784" s="12" t="n">
        <v>46199</v>
      </c>
      <c r="H1784" s="12" t="n">
        <v>46194</v>
      </c>
      <c r="I1784" s="12" t="n">
        <v>46193</v>
      </c>
      <c r="J1784" s="12" t="n">
        <v>46198</v>
      </c>
      <c r="K1784" s="2" t="n">
        <v>278</v>
      </c>
      <c r="L1784" s="2" t="inlineStr">
        <is>
          <t>Road</t>
        </is>
      </c>
      <c r="M1784" s="2" t="inlineStr">
        <is>
          <t>No Delay</t>
        </is>
      </c>
      <c r="N1784" s="4">
        <f>IF(I1784&lt;=H1784,1,0)</f>
        <v/>
      </c>
      <c r="O1784" s="4">
        <f>IF(J1784&lt;=G1784,1,0)</f>
        <v/>
      </c>
      <c r="P1784" s="4">
        <f>MAX(0,I1784-H1784)</f>
        <v/>
      </c>
      <c r="Q1784" s="4">
        <f>MAX(0,J1784-G1784)</f>
        <v/>
      </c>
      <c r="R1784" s="4">
        <f>IF(AND(N1784=1,O1784=1),"On Track",IF(O1784=0,"Customer Delivery Late","Ship Late"))</f>
        <v/>
      </c>
    </row>
    <row r="1785">
      <c r="A1785" s="2" t="inlineStr">
        <is>
          <t>ORD-01784</t>
        </is>
      </c>
      <c r="B1785" s="2" t="inlineStr">
        <is>
          <t>Customer 19</t>
        </is>
      </c>
      <c r="C1785" s="2" t="inlineStr">
        <is>
          <t>Relay</t>
        </is>
      </c>
      <c r="D1785" s="2" t="inlineStr">
        <is>
          <t>Plant C</t>
        </is>
      </c>
      <c r="E1785" s="2" t="inlineStr">
        <is>
          <t>North</t>
        </is>
      </c>
      <c r="F1785" s="12" t="n">
        <v>46046</v>
      </c>
      <c r="G1785" s="12" t="n">
        <v>46067</v>
      </c>
      <c r="H1785" s="12" t="n">
        <v>46062</v>
      </c>
      <c r="I1785" s="12" t="n">
        <v>46061</v>
      </c>
      <c r="J1785" s="12" t="n">
        <v>46067</v>
      </c>
      <c r="K1785" s="2" t="n">
        <v>629</v>
      </c>
      <c r="L1785" s="2" t="inlineStr">
        <is>
          <t>Sea</t>
        </is>
      </c>
      <c r="M1785" s="2" t="inlineStr">
        <is>
          <t>No Delay</t>
        </is>
      </c>
      <c r="N1785" s="4">
        <f>IF(I1785&lt;=H1785,1,0)</f>
        <v/>
      </c>
      <c r="O1785" s="4">
        <f>IF(J1785&lt;=G1785,1,0)</f>
        <v/>
      </c>
      <c r="P1785" s="4">
        <f>MAX(0,I1785-H1785)</f>
        <v/>
      </c>
      <c r="Q1785" s="4">
        <f>MAX(0,J1785-G1785)</f>
        <v/>
      </c>
      <c r="R1785" s="4">
        <f>IF(AND(N1785=1,O1785=1),"On Track",IF(O1785=0,"Customer Delivery Late","Ship Late"))</f>
        <v/>
      </c>
    </row>
    <row r="1786">
      <c r="A1786" s="2" t="inlineStr">
        <is>
          <t>ORD-01785</t>
        </is>
      </c>
      <c r="B1786" s="2" t="inlineStr">
        <is>
          <t>Customer 29</t>
        </is>
      </c>
      <c r="C1786" s="2" t="inlineStr">
        <is>
          <t>PLC</t>
        </is>
      </c>
      <c r="D1786" s="2" t="inlineStr">
        <is>
          <t>Plant A</t>
        </is>
      </c>
      <c r="E1786" s="2" t="inlineStr">
        <is>
          <t>Export</t>
        </is>
      </c>
      <c r="F1786" s="12" t="n">
        <v>46146</v>
      </c>
      <c r="G1786" s="12" t="n">
        <v>46166</v>
      </c>
      <c r="H1786" s="12" t="n">
        <v>46165</v>
      </c>
      <c r="I1786" s="12" t="n">
        <v>46165</v>
      </c>
      <c r="J1786" s="12" t="n">
        <v>46167</v>
      </c>
      <c r="K1786" s="2" t="n">
        <v>735</v>
      </c>
      <c r="L1786" s="2" t="inlineStr">
        <is>
          <t>Road</t>
        </is>
      </c>
      <c r="M1786" s="2" t="inlineStr">
        <is>
          <t>Production Delay</t>
        </is>
      </c>
      <c r="N1786" s="4">
        <f>IF(I1786&lt;=H1786,1,0)</f>
        <v/>
      </c>
      <c r="O1786" s="4">
        <f>IF(J1786&lt;=G1786,1,0)</f>
        <v/>
      </c>
      <c r="P1786" s="4">
        <f>MAX(0,I1786-H1786)</f>
        <v/>
      </c>
      <c r="Q1786" s="4">
        <f>MAX(0,J1786-G1786)</f>
        <v/>
      </c>
      <c r="R1786" s="4">
        <f>IF(AND(N1786=1,O1786=1),"On Track",IF(O1786=0,"Customer Delivery Late","Ship Late"))</f>
        <v/>
      </c>
    </row>
    <row r="1787">
      <c r="A1787" s="2" t="inlineStr">
        <is>
          <t>ORD-01786</t>
        </is>
      </c>
      <c r="B1787" s="2" t="inlineStr">
        <is>
          <t>Customer 29</t>
        </is>
      </c>
      <c r="C1787" s="2" t="inlineStr">
        <is>
          <t>Drive</t>
        </is>
      </c>
      <c r="D1787" s="2" t="inlineStr">
        <is>
          <t>Plant C</t>
        </is>
      </c>
      <c r="E1787" s="2" t="inlineStr">
        <is>
          <t>South</t>
        </is>
      </c>
      <c r="F1787" s="12" t="n">
        <v>46114</v>
      </c>
      <c r="G1787" s="12" t="n">
        <v>46138</v>
      </c>
      <c r="H1787" s="12" t="n">
        <v>46137</v>
      </c>
      <c r="I1787" s="12" t="n">
        <v>46136</v>
      </c>
      <c r="J1787" s="12" t="n">
        <v>46137</v>
      </c>
      <c r="K1787" s="2" t="n">
        <v>1089</v>
      </c>
      <c r="L1787" s="2" t="inlineStr">
        <is>
          <t>Sea</t>
        </is>
      </c>
      <c r="M1787" s="2" t="inlineStr">
        <is>
          <t>No Delay</t>
        </is>
      </c>
      <c r="N1787" s="4">
        <f>IF(I1787&lt;=H1787,1,0)</f>
        <v/>
      </c>
      <c r="O1787" s="4">
        <f>IF(J1787&lt;=G1787,1,0)</f>
        <v/>
      </c>
      <c r="P1787" s="4">
        <f>MAX(0,I1787-H1787)</f>
        <v/>
      </c>
      <c r="Q1787" s="4">
        <f>MAX(0,J1787-G1787)</f>
        <v/>
      </c>
      <c r="R1787" s="4">
        <f>IF(AND(N1787=1,O1787=1),"On Track",IF(O1787=0,"Customer Delivery Late","Ship Late"))</f>
        <v/>
      </c>
    </row>
    <row r="1788">
      <c r="A1788" s="2" t="inlineStr">
        <is>
          <t>ORD-01787</t>
        </is>
      </c>
      <c r="B1788" s="2" t="inlineStr">
        <is>
          <t>Customer 01</t>
        </is>
      </c>
      <c r="C1788" s="2" t="inlineStr">
        <is>
          <t>Sensor</t>
        </is>
      </c>
      <c r="D1788" s="2" t="inlineStr">
        <is>
          <t>Plant B</t>
        </is>
      </c>
      <c r="E1788" s="2" t="inlineStr">
        <is>
          <t>Export</t>
        </is>
      </c>
      <c r="F1788" s="12" t="n">
        <v>46072</v>
      </c>
      <c r="G1788" s="12" t="n">
        <v>46094</v>
      </c>
      <c r="H1788" s="12" t="n">
        <v>46092</v>
      </c>
      <c r="I1788" s="12" t="n">
        <v>46098</v>
      </c>
      <c r="J1788" s="12" t="n">
        <v>46100</v>
      </c>
      <c r="K1788" s="2" t="n">
        <v>266</v>
      </c>
      <c r="L1788" s="2" t="inlineStr">
        <is>
          <t>Sea</t>
        </is>
      </c>
      <c r="M1788" s="2" t="inlineStr">
        <is>
          <t>Production Delay</t>
        </is>
      </c>
      <c r="N1788" s="4">
        <f>IF(I1788&lt;=H1788,1,0)</f>
        <v/>
      </c>
      <c r="O1788" s="4">
        <f>IF(J1788&lt;=G1788,1,0)</f>
        <v/>
      </c>
      <c r="P1788" s="4">
        <f>MAX(0,I1788-H1788)</f>
        <v/>
      </c>
      <c r="Q1788" s="4">
        <f>MAX(0,J1788-G1788)</f>
        <v/>
      </c>
      <c r="R1788" s="4">
        <f>IF(AND(N1788=1,O1788=1),"On Track",IF(O1788=0,"Customer Delivery Late","Ship Late"))</f>
        <v/>
      </c>
    </row>
    <row r="1789">
      <c r="A1789" s="2" t="inlineStr">
        <is>
          <t>ORD-01788</t>
        </is>
      </c>
      <c r="B1789" s="2" t="inlineStr">
        <is>
          <t>Customer 19</t>
        </is>
      </c>
      <c r="C1789" s="2" t="inlineStr">
        <is>
          <t>Power Supply</t>
        </is>
      </c>
      <c r="D1789" s="2" t="inlineStr">
        <is>
          <t>Plant A</t>
        </is>
      </c>
      <c r="E1789" s="2" t="inlineStr">
        <is>
          <t>Central</t>
        </is>
      </c>
      <c r="F1789" s="12" t="n">
        <v>46172</v>
      </c>
      <c r="G1789" s="12" t="n">
        <v>46182</v>
      </c>
      <c r="H1789" s="12" t="n">
        <v>46179</v>
      </c>
      <c r="I1789" s="12" t="n">
        <v>46177</v>
      </c>
      <c r="J1789" s="12" t="n">
        <v>46180</v>
      </c>
      <c r="K1789" s="2" t="n">
        <v>363</v>
      </c>
      <c r="L1789" s="2" t="inlineStr">
        <is>
          <t>Road</t>
        </is>
      </c>
      <c r="M1789" s="2" t="inlineStr">
        <is>
          <t>No Delay</t>
        </is>
      </c>
      <c r="N1789" s="4">
        <f>IF(I1789&lt;=H1789,1,0)</f>
        <v/>
      </c>
      <c r="O1789" s="4">
        <f>IF(J1789&lt;=G1789,1,0)</f>
        <v/>
      </c>
      <c r="P1789" s="4">
        <f>MAX(0,I1789-H1789)</f>
        <v/>
      </c>
      <c r="Q1789" s="4">
        <f>MAX(0,J1789-G1789)</f>
        <v/>
      </c>
      <c r="R1789" s="4">
        <f>IF(AND(N1789=1,O1789=1),"On Track",IF(O1789=0,"Customer Delivery Late","Ship Late"))</f>
        <v/>
      </c>
    </row>
    <row r="1790">
      <c r="A1790" s="2" t="inlineStr">
        <is>
          <t>ORD-01789</t>
        </is>
      </c>
      <c r="B1790" s="2" t="inlineStr">
        <is>
          <t>Customer 10</t>
        </is>
      </c>
      <c r="C1790" s="2" t="inlineStr">
        <is>
          <t>Switchgear</t>
        </is>
      </c>
      <c r="D1790" s="2" t="inlineStr">
        <is>
          <t>Plant A</t>
        </is>
      </c>
      <c r="E1790" s="2" t="inlineStr">
        <is>
          <t>Export</t>
        </is>
      </c>
      <c r="F1790" s="12" t="n">
        <v>46112</v>
      </c>
      <c r="G1790" s="12" t="n">
        <v>46117</v>
      </c>
      <c r="H1790" s="12" t="n">
        <v>46116</v>
      </c>
      <c r="I1790" s="12" t="n">
        <v>46115</v>
      </c>
      <c r="J1790" s="12" t="n">
        <v>46116</v>
      </c>
      <c r="K1790" s="2" t="n">
        <v>396</v>
      </c>
      <c r="L1790" s="2" t="inlineStr">
        <is>
          <t>Sea</t>
        </is>
      </c>
      <c r="M1790" s="2" t="inlineStr">
        <is>
          <t>No Delay</t>
        </is>
      </c>
      <c r="N1790" s="4">
        <f>IF(I1790&lt;=H1790,1,0)</f>
        <v/>
      </c>
      <c r="O1790" s="4">
        <f>IF(J1790&lt;=G1790,1,0)</f>
        <v/>
      </c>
      <c r="P1790" s="4">
        <f>MAX(0,I1790-H1790)</f>
        <v/>
      </c>
      <c r="Q1790" s="4">
        <f>MAX(0,J1790-G1790)</f>
        <v/>
      </c>
      <c r="R1790" s="4">
        <f>IF(AND(N1790=1,O1790=1),"On Track",IF(O1790=0,"Customer Delivery Late","Ship Late"))</f>
        <v/>
      </c>
    </row>
    <row r="1791">
      <c r="A1791" s="2" t="inlineStr">
        <is>
          <t>ORD-01790</t>
        </is>
      </c>
      <c r="B1791" s="2" t="inlineStr">
        <is>
          <t>Customer 03</t>
        </is>
      </c>
      <c r="C1791" s="2" t="inlineStr">
        <is>
          <t>Sensor</t>
        </is>
      </c>
      <c r="D1791" s="2" t="inlineStr">
        <is>
          <t>Plant C</t>
        </is>
      </c>
      <c r="E1791" s="2" t="inlineStr">
        <is>
          <t>Central</t>
        </is>
      </c>
      <c r="F1791" s="12" t="n">
        <v>46087</v>
      </c>
      <c r="G1791" s="12" t="n">
        <v>46097</v>
      </c>
      <c r="H1791" s="12" t="n">
        <v>46096</v>
      </c>
      <c r="I1791" s="12" t="n">
        <v>46094</v>
      </c>
      <c r="J1791" s="12" t="n">
        <v>46095</v>
      </c>
      <c r="K1791" s="2" t="n">
        <v>1226</v>
      </c>
      <c r="L1791" s="2" t="inlineStr">
        <is>
          <t>Road</t>
        </is>
      </c>
      <c r="M1791" s="2" t="inlineStr">
        <is>
          <t>No Delay</t>
        </is>
      </c>
      <c r="N1791" s="4">
        <f>IF(I1791&lt;=H1791,1,0)</f>
        <v/>
      </c>
      <c r="O1791" s="4">
        <f>IF(J1791&lt;=G1791,1,0)</f>
        <v/>
      </c>
      <c r="P1791" s="4">
        <f>MAX(0,I1791-H1791)</f>
        <v/>
      </c>
      <c r="Q1791" s="4">
        <f>MAX(0,J1791-G1791)</f>
        <v/>
      </c>
      <c r="R1791" s="4">
        <f>IF(AND(N1791=1,O1791=1),"On Track",IF(O1791=0,"Customer Delivery Late","Ship Late"))</f>
        <v/>
      </c>
    </row>
    <row r="1792">
      <c r="A1792" s="2" t="inlineStr">
        <is>
          <t>ORD-01791</t>
        </is>
      </c>
      <c r="B1792" s="2" t="inlineStr">
        <is>
          <t>Customer 13</t>
        </is>
      </c>
      <c r="C1792" s="2" t="inlineStr">
        <is>
          <t>Breaker</t>
        </is>
      </c>
      <c r="D1792" s="2" t="inlineStr">
        <is>
          <t>Plant B</t>
        </is>
      </c>
      <c r="E1792" s="2" t="inlineStr">
        <is>
          <t>South</t>
        </is>
      </c>
      <c r="F1792" s="12" t="n">
        <v>46026</v>
      </c>
      <c r="G1792" s="12" t="n">
        <v>46050</v>
      </c>
      <c r="H1792" s="12" t="n">
        <v>46046</v>
      </c>
      <c r="I1792" s="12" t="n">
        <v>46046</v>
      </c>
      <c r="J1792" s="12" t="n">
        <v>46049</v>
      </c>
      <c r="K1792" s="2" t="n">
        <v>117</v>
      </c>
      <c r="L1792" s="2" t="inlineStr">
        <is>
          <t>Sea</t>
        </is>
      </c>
      <c r="M1792" s="2" t="inlineStr">
        <is>
          <t>No Delay</t>
        </is>
      </c>
      <c r="N1792" s="4">
        <f>IF(I1792&lt;=H1792,1,0)</f>
        <v/>
      </c>
      <c r="O1792" s="4">
        <f>IF(J1792&lt;=G1792,1,0)</f>
        <v/>
      </c>
      <c r="P1792" s="4">
        <f>MAX(0,I1792-H1792)</f>
        <v/>
      </c>
      <c r="Q1792" s="4">
        <f>MAX(0,J1792-G1792)</f>
        <v/>
      </c>
      <c r="R1792" s="4">
        <f>IF(AND(N1792=1,O1792=1),"On Track",IF(O1792=0,"Customer Delivery Late","Ship Late"))</f>
        <v/>
      </c>
    </row>
    <row r="1793">
      <c r="A1793" s="2" t="inlineStr">
        <is>
          <t>ORD-01792</t>
        </is>
      </c>
      <c r="B1793" s="2" t="inlineStr">
        <is>
          <t>Customer 08</t>
        </is>
      </c>
      <c r="C1793" s="2" t="inlineStr">
        <is>
          <t>Contactor</t>
        </is>
      </c>
      <c r="D1793" s="2" t="inlineStr">
        <is>
          <t>Plant A</t>
        </is>
      </c>
      <c r="E1793" s="2" t="inlineStr">
        <is>
          <t>North</t>
        </is>
      </c>
      <c r="F1793" s="12" t="n">
        <v>46115</v>
      </c>
      <c r="G1793" s="12" t="n">
        <v>46133</v>
      </c>
      <c r="H1793" s="12" t="n">
        <v>46131</v>
      </c>
      <c r="I1793" s="12" t="n">
        <v>46130</v>
      </c>
      <c r="J1793" s="12" t="n">
        <v>46131</v>
      </c>
      <c r="K1793" s="2" t="n">
        <v>1187</v>
      </c>
      <c r="L1793" s="2" t="inlineStr">
        <is>
          <t>Road</t>
        </is>
      </c>
      <c r="M1793" s="2" t="inlineStr">
        <is>
          <t>No Delay</t>
        </is>
      </c>
      <c r="N1793" s="4">
        <f>IF(I1793&lt;=H1793,1,0)</f>
        <v/>
      </c>
      <c r="O1793" s="4">
        <f>IF(J1793&lt;=G1793,1,0)</f>
        <v/>
      </c>
      <c r="P1793" s="4">
        <f>MAX(0,I1793-H1793)</f>
        <v/>
      </c>
      <c r="Q1793" s="4">
        <f>MAX(0,J1793-G1793)</f>
        <v/>
      </c>
      <c r="R1793" s="4">
        <f>IF(AND(N1793=1,O1793=1),"On Track",IF(O1793=0,"Customer Delivery Late","Ship Late"))</f>
        <v/>
      </c>
    </row>
    <row r="1794">
      <c r="A1794" s="2" t="inlineStr">
        <is>
          <t>ORD-01793</t>
        </is>
      </c>
      <c r="B1794" s="2" t="inlineStr">
        <is>
          <t>Customer 15</t>
        </is>
      </c>
      <c r="C1794" s="2" t="inlineStr">
        <is>
          <t>Contactor</t>
        </is>
      </c>
      <c r="D1794" s="2" t="inlineStr">
        <is>
          <t>Plant A</t>
        </is>
      </c>
      <c r="E1794" s="2" t="inlineStr">
        <is>
          <t>Central</t>
        </is>
      </c>
      <c r="F1794" s="12" t="n">
        <v>46085</v>
      </c>
      <c r="G1794" s="12" t="n">
        <v>46101</v>
      </c>
      <c r="H1794" s="12" t="n">
        <v>46099</v>
      </c>
      <c r="I1794" s="12" t="n">
        <v>46097</v>
      </c>
      <c r="J1794" s="12" t="n">
        <v>46099</v>
      </c>
      <c r="K1794" s="2" t="n">
        <v>792</v>
      </c>
      <c r="L1794" s="2" t="inlineStr">
        <is>
          <t>Road</t>
        </is>
      </c>
      <c r="M1794" s="2" t="inlineStr">
        <is>
          <t>No Delay</t>
        </is>
      </c>
      <c r="N1794" s="4">
        <f>IF(I1794&lt;=H1794,1,0)</f>
        <v/>
      </c>
      <c r="O1794" s="4">
        <f>IF(J1794&lt;=G1794,1,0)</f>
        <v/>
      </c>
      <c r="P1794" s="4">
        <f>MAX(0,I1794-H1794)</f>
        <v/>
      </c>
      <c r="Q1794" s="4">
        <f>MAX(0,J1794-G1794)</f>
        <v/>
      </c>
      <c r="R1794" s="4">
        <f>IF(AND(N1794=1,O1794=1),"On Track",IF(O1794=0,"Customer Delivery Late","Ship Late"))</f>
        <v/>
      </c>
    </row>
    <row r="1795">
      <c r="A1795" s="2" t="inlineStr">
        <is>
          <t>ORD-01794</t>
        </is>
      </c>
      <c r="B1795" s="2" t="inlineStr">
        <is>
          <t>Customer 13</t>
        </is>
      </c>
      <c r="C1795" s="2" t="inlineStr">
        <is>
          <t>Sensor</t>
        </is>
      </c>
      <c r="D1795" s="2" t="inlineStr">
        <is>
          <t>Plant B</t>
        </is>
      </c>
      <c r="E1795" s="2" t="inlineStr">
        <is>
          <t>North</t>
        </is>
      </c>
      <c r="F1795" s="12" t="n">
        <v>46200</v>
      </c>
      <c r="G1795" s="12" t="n">
        <v>46206</v>
      </c>
      <c r="H1795" s="12" t="n">
        <v>46202</v>
      </c>
      <c r="I1795" s="12" t="n">
        <v>46205</v>
      </c>
      <c r="J1795" s="12" t="n">
        <v>46209</v>
      </c>
      <c r="K1795" s="2" t="n">
        <v>1413</v>
      </c>
      <c r="L1795" s="2" t="inlineStr">
        <is>
          <t>Sea</t>
        </is>
      </c>
      <c r="M1795" s="2" t="inlineStr">
        <is>
          <t>Carrier Delay</t>
        </is>
      </c>
      <c r="N1795" s="4">
        <f>IF(I1795&lt;=H1795,1,0)</f>
        <v/>
      </c>
      <c r="O1795" s="4">
        <f>IF(J1795&lt;=G1795,1,0)</f>
        <v/>
      </c>
      <c r="P1795" s="4">
        <f>MAX(0,I1795-H1795)</f>
        <v/>
      </c>
      <c r="Q1795" s="4">
        <f>MAX(0,J1795-G1795)</f>
        <v/>
      </c>
      <c r="R1795" s="4">
        <f>IF(AND(N1795=1,O1795=1),"On Track",IF(O1795=0,"Customer Delivery Late","Ship Late"))</f>
        <v/>
      </c>
    </row>
    <row r="1796">
      <c r="A1796" s="2" t="inlineStr">
        <is>
          <t>ORD-01795</t>
        </is>
      </c>
      <c r="B1796" s="2" t="inlineStr">
        <is>
          <t>Customer 23</t>
        </is>
      </c>
      <c r="C1796" s="2" t="inlineStr">
        <is>
          <t>Drive</t>
        </is>
      </c>
      <c r="D1796" s="2" t="inlineStr">
        <is>
          <t>Plant A</t>
        </is>
      </c>
      <c r="E1796" s="2" t="inlineStr">
        <is>
          <t>North</t>
        </is>
      </c>
      <c r="F1796" s="12" t="n">
        <v>46130</v>
      </c>
      <c r="G1796" s="12" t="n">
        <v>46136</v>
      </c>
      <c r="H1796" s="12" t="n">
        <v>46132</v>
      </c>
      <c r="I1796" s="12" t="n">
        <v>46135</v>
      </c>
      <c r="J1796" s="12" t="n">
        <v>46139</v>
      </c>
      <c r="K1796" s="2" t="n">
        <v>1182</v>
      </c>
      <c r="L1796" s="2" t="inlineStr">
        <is>
          <t>Air</t>
        </is>
      </c>
      <c r="M1796" s="2" t="inlineStr">
        <is>
          <t>Capacity Constraint</t>
        </is>
      </c>
      <c r="N1796" s="4">
        <f>IF(I1796&lt;=H1796,1,0)</f>
        <v/>
      </c>
      <c r="O1796" s="4">
        <f>IF(J1796&lt;=G1796,1,0)</f>
        <v/>
      </c>
      <c r="P1796" s="4">
        <f>MAX(0,I1796-H1796)</f>
        <v/>
      </c>
      <c r="Q1796" s="4">
        <f>MAX(0,J1796-G1796)</f>
        <v/>
      </c>
      <c r="R1796" s="4">
        <f>IF(AND(N1796=1,O1796=1),"On Track",IF(O1796=0,"Customer Delivery Late","Ship Late"))</f>
        <v/>
      </c>
    </row>
    <row r="1797">
      <c r="A1797" s="2" t="inlineStr">
        <is>
          <t>ORD-01796</t>
        </is>
      </c>
      <c r="B1797" s="2" t="inlineStr">
        <is>
          <t>Customer 22</t>
        </is>
      </c>
      <c r="C1797" s="2" t="inlineStr">
        <is>
          <t>Relay</t>
        </is>
      </c>
      <c r="D1797" s="2" t="inlineStr">
        <is>
          <t>Plant A</t>
        </is>
      </c>
      <c r="E1797" s="2" t="inlineStr">
        <is>
          <t>North</t>
        </is>
      </c>
      <c r="F1797" s="12" t="n">
        <v>46081</v>
      </c>
      <c r="G1797" s="12" t="n">
        <v>46100</v>
      </c>
      <c r="H1797" s="12" t="n">
        <v>46098</v>
      </c>
      <c r="I1797" s="12" t="n">
        <v>46097</v>
      </c>
      <c r="J1797" s="12" t="n">
        <v>46099</v>
      </c>
      <c r="K1797" s="2" t="n">
        <v>431</v>
      </c>
      <c r="L1797" s="2" t="inlineStr">
        <is>
          <t>Road</t>
        </is>
      </c>
      <c r="M1797" s="2" t="inlineStr">
        <is>
          <t>No Delay</t>
        </is>
      </c>
      <c r="N1797" s="4">
        <f>IF(I1797&lt;=H1797,1,0)</f>
        <v/>
      </c>
      <c r="O1797" s="4">
        <f>IF(J1797&lt;=G1797,1,0)</f>
        <v/>
      </c>
      <c r="P1797" s="4">
        <f>MAX(0,I1797-H1797)</f>
        <v/>
      </c>
      <c r="Q1797" s="4">
        <f>MAX(0,J1797-G1797)</f>
        <v/>
      </c>
      <c r="R1797" s="4">
        <f>IF(AND(N1797=1,O1797=1),"On Track",IF(O1797=0,"Customer Delivery Late","Ship Late"))</f>
        <v/>
      </c>
    </row>
    <row r="1798">
      <c r="A1798" s="2" t="inlineStr">
        <is>
          <t>ORD-01797</t>
        </is>
      </c>
      <c r="B1798" s="2" t="inlineStr">
        <is>
          <t>Customer 14</t>
        </is>
      </c>
      <c r="C1798" s="2" t="inlineStr">
        <is>
          <t>Sensor</t>
        </is>
      </c>
      <c r="D1798" s="2" t="inlineStr">
        <is>
          <t>Plant A</t>
        </is>
      </c>
      <c r="E1798" s="2" t="inlineStr">
        <is>
          <t>Central</t>
        </is>
      </c>
      <c r="F1798" s="12" t="n">
        <v>46128</v>
      </c>
      <c r="G1798" s="12" t="n">
        <v>46136</v>
      </c>
      <c r="H1798" s="12" t="n">
        <v>46135</v>
      </c>
      <c r="I1798" s="12" t="n">
        <v>46135</v>
      </c>
      <c r="J1798" s="12" t="n">
        <v>46136</v>
      </c>
      <c r="K1798" s="2" t="n">
        <v>1475</v>
      </c>
      <c r="L1798" s="2" t="inlineStr">
        <is>
          <t>Road</t>
        </is>
      </c>
      <c r="M1798" s="2" t="inlineStr">
        <is>
          <t>No Delay</t>
        </is>
      </c>
      <c r="N1798" s="4">
        <f>IF(I1798&lt;=H1798,1,0)</f>
        <v/>
      </c>
      <c r="O1798" s="4">
        <f>IF(J1798&lt;=G1798,1,0)</f>
        <v/>
      </c>
      <c r="P1798" s="4">
        <f>MAX(0,I1798-H1798)</f>
        <v/>
      </c>
      <c r="Q1798" s="4">
        <f>MAX(0,J1798-G1798)</f>
        <v/>
      </c>
      <c r="R1798" s="4">
        <f>IF(AND(N1798=1,O1798=1),"On Track",IF(O1798=0,"Customer Delivery Late","Ship Late"))</f>
        <v/>
      </c>
    </row>
    <row r="1799">
      <c r="A1799" s="2" t="inlineStr">
        <is>
          <t>ORD-01798</t>
        </is>
      </c>
      <c r="B1799" s="2" t="inlineStr">
        <is>
          <t>Customer 15</t>
        </is>
      </c>
      <c r="C1799" s="2" t="inlineStr">
        <is>
          <t>Switchgear</t>
        </is>
      </c>
      <c r="D1799" s="2" t="inlineStr">
        <is>
          <t>Plant C</t>
        </is>
      </c>
      <c r="E1799" s="2" t="inlineStr">
        <is>
          <t>Export</t>
        </is>
      </c>
      <c r="F1799" s="12" t="n">
        <v>46122</v>
      </c>
      <c r="G1799" s="12" t="n">
        <v>46138</v>
      </c>
      <c r="H1799" s="12" t="n">
        <v>46135</v>
      </c>
      <c r="I1799" s="12" t="n">
        <v>46134</v>
      </c>
      <c r="J1799" s="12" t="n">
        <v>46137</v>
      </c>
      <c r="K1799" s="2" t="n">
        <v>1081</v>
      </c>
      <c r="L1799" s="2" t="inlineStr">
        <is>
          <t>Air</t>
        </is>
      </c>
      <c r="M1799" s="2" t="inlineStr">
        <is>
          <t>No Delay</t>
        </is>
      </c>
      <c r="N1799" s="4">
        <f>IF(I1799&lt;=H1799,1,0)</f>
        <v/>
      </c>
      <c r="O1799" s="4">
        <f>IF(J1799&lt;=G1799,1,0)</f>
        <v/>
      </c>
      <c r="P1799" s="4">
        <f>MAX(0,I1799-H1799)</f>
        <v/>
      </c>
      <c r="Q1799" s="4">
        <f>MAX(0,J1799-G1799)</f>
        <v/>
      </c>
      <c r="R1799" s="4">
        <f>IF(AND(N1799=1,O1799=1),"On Track",IF(O1799=0,"Customer Delivery Late","Ship Late"))</f>
        <v/>
      </c>
    </row>
    <row r="1800">
      <c r="A1800" s="2" t="inlineStr">
        <is>
          <t>ORD-01799</t>
        </is>
      </c>
      <c r="B1800" s="2" t="inlineStr">
        <is>
          <t>Customer 06</t>
        </is>
      </c>
      <c r="C1800" s="2" t="inlineStr">
        <is>
          <t>Breaker</t>
        </is>
      </c>
      <c r="D1800" s="2" t="inlineStr">
        <is>
          <t>Plant B</t>
        </is>
      </c>
      <c r="E1800" s="2" t="inlineStr">
        <is>
          <t>Export</t>
        </is>
      </c>
      <c r="F1800" s="12" t="n">
        <v>46145</v>
      </c>
      <c r="G1800" s="12" t="n">
        <v>46163</v>
      </c>
      <c r="H1800" s="12" t="n">
        <v>46162</v>
      </c>
      <c r="I1800" s="12" t="n">
        <v>46162</v>
      </c>
      <c r="J1800" s="12" t="n">
        <v>46163</v>
      </c>
      <c r="K1800" s="2" t="n">
        <v>152</v>
      </c>
      <c r="L1800" s="2" t="inlineStr">
        <is>
          <t>Air</t>
        </is>
      </c>
      <c r="M1800" s="2" t="inlineStr">
        <is>
          <t>No Delay</t>
        </is>
      </c>
      <c r="N1800" s="4">
        <f>IF(I1800&lt;=H1800,1,0)</f>
        <v/>
      </c>
      <c r="O1800" s="4">
        <f>IF(J1800&lt;=G1800,1,0)</f>
        <v/>
      </c>
      <c r="P1800" s="4">
        <f>MAX(0,I1800-H1800)</f>
        <v/>
      </c>
      <c r="Q1800" s="4">
        <f>MAX(0,J1800-G1800)</f>
        <v/>
      </c>
      <c r="R1800" s="4">
        <f>IF(AND(N1800=1,O1800=1),"On Track",IF(O1800=0,"Customer Delivery Late","Ship Late"))</f>
        <v/>
      </c>
    </row>
    <row r="1801">
      <c r="A1801" s="2" t="inlineStr">
        <is>
          <t>ORD-01800</t>
        </is>
      </c>
      <c r="B1801" s="2" t="inlineStr">
        <is>
          <t>Customer 16</t>
        </is>
      </c>
      <c r="C1801" s="2" t="inlineStr">
        <is>
          <t>PLC</t>
        </is>
      </c>
      <c r="D1801" s="2" t="inlineStr">
        <is>
          <t>Plant A</t>
        </is>
      </c>
      <c r="E1801" s="2" t="inlineStr">
        <is>
          <t>South</t>
        </is>
      </c>
      <c r="F1801" s="12" t="n">
        <v>46106</v>
      </c>
      <c r="G1801" s="12" t="n">
        <v>46121</v>
      </c>
      <c r="H1801" s="12" t="n">
        <v>46120</v>
      </c>
      <c r="I1801" s="12" t="n">
        <v>46119</v>
      </c>
      <c r="J1801" s="12" t="n">
        <v>46120</v>
      </c>
      <c r="K1801" s="2" t="n">
        <v>1438</v>
      </c>
      <c r="L1801" s="2" t="inlineStr">
        <is>
          <t>Road</t>
        </is>
      </c>
      <c r="M1801" s="2" t="inlineStr">
        <is>
          <t>No Delay</t>
        </is>
      </c>
      <c r="N1801" s="4">
        <f>IF(I1801&lt;=H1801,1,0)</f>
        <v/>
      </c>
      <c r="O1801" s="4">
        <f>IF(J1801&lt;=G1801,1,0)</f>
        <v/>
      </c>
      <c r="P1801" s="4">
        <f>MAX(0,I1801-H1801)</f>
        <v/>
      </c>
      <c r="Q1801" s="4">
        <f>MAX(0,J1801-G1801)</f>
        <v/>
      </c>
      <c r="R1801" s="4">
        <f>IF(AND(N1801=1,O1801=1),"On Track",IF(O1801=0,"Customer Delivery Late","Ship Late"))</f>
        <v/>
      </c>
    </row>
    <row r="1802">
      <c r="A1802" s="2" t="inlineStr">
        <is>
          <t>ORD-01801</t>
        </is>
      </c>
      <c r="B1802" s="2" t="inlineStr">
        <is>
          <t>Customer 03</t>
        </is>
      </c>
      <c r="C1802" s="2" t="inlineStr">
        <is>
          <t>Switchgear</t>
        </is>
      </c>
      <c r="D1802" s="2" t="inlineStr">
        <is>
          <t>Plant A</t>
        </is>
      </c>
      <c r="E1802" s="2" t="inlineStr">
        <is>
          <t>Central</t>
        </is>
      </c>
      <c r="F1802" s="12" t="n">
        <v>46033</v>
      </c>
      <c r="G1802" s="12" t="n">
        <v>46043</v>
      </c>
      <c r="H1802" s="12" t="n">
        <v>46040</v>
      </c>
      <c r="I1802" s="12" t="n">
        <v>46039</v>
      </c>
      <c r="J1802" s="12" t="n">
        <v>46042</v>
      </c>
      <c r="K1802" s="2" t="n">
        <v>560</v>
      </c>
      <c r="L1802" s="2" t="inlineStr">
        <is>
          <t>Air</t>
        </is>
      </c>
      <c r="M1802" s="2" t="inlineStr">
        <is>
          <t>No Delay</t>
        </is>
      </c>
      <c r="N1802" s="4">
        <f>IF(I1802&lt;=H1802,1,0)</f>
        <v/>
      </c>
      <c r="O1802" s="4">
        <f>IF(J1802&lt;=G1802,1,0)</f>
        <v/>
      </c>
      <c r="P1802" s="4">
        <f>MAX(0,I1802-H1802)</f>
        <v/>
      </c>
      <c r="Q1802" s="4">
        <f>MAX(0,J1802-G1802)</f>
        <v/>
      </c>
      <c r="R1802" s="4">
        <f>IF(AND(N1802=1,O1802=1),"On Track",IF(O1802=0,"Customer Delivery Late","Ship Late"))</f>
        <v/>
      </c>
    </row>
    <row r="1803">
      <c r="A1803" s="2" t="inlineStr">
        <is>
          <t>ORD-01802</t>
        </is>
      </c>
      <c r="B1803" s="2" t="inlineStr">
        <is>
          <t>Customer 01</t>
        </is>
      </c>
      <c r="C1803" s="2" t="inlineStr">
        <is>
          <t>Relay</t>
        </is>
      </c>
      <c r="D1803" s="2" t="inlineStr">
        <is>
          <t>Plant B</t>
        </is>
      </c>
      <c r="E1803" s="2" t="inlineStr">
        <is>
          <t>South</t>
        </is>
      </c>
      <c r="F1803" s="12" t="n">
        <v>46132</v>
      </c>
      <c r="G1803" s="12" t="n">
        <v>46147</v>
      </c>
      <c r="H1803" s="12" t="n">
        <v>46145</v>
      </c>
      <c r="I1803" s="12" t="n">
        <v>46144</v>
      </c>
      <c r="J1803" s="12" t="n">
        <v>46146</v>
      </c>
      <c r="K1803" s="2" t="n">
        <v>1107</v>
      </c>
      <c r="L1803" s="2" t="inlineStr">
        <is>
          <t>Air</t>
        </is>
      </c>
      <c r="M1803" s="2" t="inlineStr">
        <is>
          <t>No Delay</t>
        </is>
      </c>
      <c r="N1803" s="4">
        <f>IF(I1803&lt;=H1803,1,0)</f>
        <v/>
      </c>
      <c r="O1803" s="4">
        <f>IF(J1803&lt;=G1803,1,0)</f>
        <v/>
      </c>
      <c r="P1803" s="4">
        <f>MAX(0,I1803-H1803)</f>
        <v/>
      </c>
      <c r="Q1803" s="4">
        <f>MAX(0,J1803-G1803)</f>
        <v/>
      </c>
      <c r="R1803" s="4">
        <f>IF(AND(N1803=1,O1803=1),"On Track",IF(O1803=0,"Customer Delivery Late","Ship Late"))</f>
        <v/>
      </c>
    </row>
    <row r="1804">
      <c r="A1804" s="2" t="inlineStr">
        <is>
          <t>ORD-01803</t>
        </is>
      </c>
      <c r="B1804" s="2" t="inlineStr">
        <is>
          <t>Customer 06</t>
        </is>
      </c>
      <c r="C1804" s="2" t="inlineStr">
        <is>
          <t>PLC</t>
        </is>
      </c>
      <c r="D1804" s="2" t="inlineStr">
        <is>
          <t>Plant C</t>
        </is>
      </c>
      <c r="E1804" s="2" t="inlineStr">
        <is>
          <t>Export</t>
        </is>
      </c>
      <c r="F1804" s="12" t="n">
        <v>46080</v>
      </c>
      <c r="G1804" s="12" t="n">
        <v>46097</v>
      </c>
      <c r="H1804" s="12" t="n">
        <v>46095</v>
      </c>
      <c r="I1804" s="12" t="n">
        <v>46095</v>
      </c>
      <c r="J1804" s="12" t="n">
        <v>46097</v>
      </c>
      <c r="K1804" s="2" t="n">
        <v>1456</v>
      </c>
      <c r="L1804" s="2" t="inlineStr">
        <is>
          <t>Air</t>
        </is>
      </c>
      <c r="M1804" s="2" t="inlineStr">
        <is>
          <t>No Delay</t>
        </is>
      </c>
      <c r="N1804" s="4">
        <f>IF(I1804&lt;=H1804,1,0)</f>
        <v/>
      </c>
      <c r="O1804" s="4">
        <f>IF(J1804&lt;=G1804,1,0)</f>
        <v/>
      </c>
      <c r="P1804" s="4">
        <f>MAX(0,I1804-H1804)</f>
        <v/>
      </c>
      <c r="Q1804" s="4">
        <f>MAX(0,J1804-G1804)</f>
        <v/>
      </c>
      <c r="R1804" s="4">
        <f>IF(AND(N1804=1,O1804=1),"On Track",IF(O1804=0,"Customer Delivery Late","Ship Late"))</f>
        <v/>
      </c>
    </row>
    <row r="1805">
      <c r="A1805" s="2" t="inlineStr">
        <is>
          <t>ORD-01804</t>
        </is>
      </c>
      <c r="B1805" s="2" t="inlineStr">
        <is>
          <t>Customer 21</t>
        </is>
      </c>
      <c r="C1805" s="2" t="inlineStr">
        <is>
          <t>Drive</t>
        </is>
      </c>
      <c r="D1805" s="2" t="inlineStr">
        <is>
          <t>Plant B</t>
        </is>
      </c>
      <c r="E1805" s="2" t="inlineStr">
        <is>
          <t>South</t>
        </is>
      </c>
      <c r="F1805" s="12" t="n">
        <v>46039</v>
      </c>
      <c r="G1805" s="12" t="n">
        <v>46064</v>
      </c>
      <c r="H1805" s="12" t="n">
        <v>46063</v>
      </c>
      <c r="I1805" s="12" t="n">
        <v>46064</v>
      </c>
      <c r="J1805" s="12" t="n">
        <v>46065</v>
      </c>
      <c r="K1805" s="2" t="n">
        <v>367</v>
      </c>
      <c r="L1805" s="2" t="inlineStr">
        <is>
          <t>Road</t>
        </is>
      </c>
      <c r="M1805" s="2" t="inlineStr">
        <is>
          <t>Carrier Delay</t>
        </is>
      </c>
      <c r="N1805" s="4">
        <f>IF(I1805&lt;=H1805,1,0)</f>
        <v/>
      </c>
      <c r="O1805" s="4">
        <f>IF(J1805&lt;=G1805,1,0)</f>
        <v/>
      </c>
      <c r="P1805" s="4">
        <f>MAX(0,I1805-H1805)</f>
        <v/>
      </c>
      <c r="Q1805" s="4">
        <f>MAX(0,J1805-G1805)</f>
        <v/>
      </c>
      <c r="R1805" s="4">
        <f>IF(AND(N1805=1,O1805=1),"On Track",IF(O1805=0,"Customer Delivery Late","Ship Late"))</f>
        <v/>
      </c>
    </row>
    <row r="1806">
      <c r="A1806" s="2" t="inlineStr">
        <is>
          <t>ORD-01805</t>
        </is>
      </c>
      <c r="B1806" s="2" t="inlineStr">
        <is>
          <t>Customer 08</t>
        </is>
      </c>
      <c r="C1806" s="2" t="inlineStr">
        <is>
          <t>Switchgear</t>
        </is>
      </c>
      <c r="D1806" s="2" t="inlineStr">
        <is>
          <t>Plant C</t>
        </is>
      </c>
      <c r="E1806" s="2" t="inlineStr">
        <is>
          <t>North</t>
        </is>
      </c>
      <c r="F1806" s="12" t="n">
        <v>46123</v>
      </c>
      <c r="G1806" s="12" t="n">
        <v>46136</v>
      </c>
      <c r="H1806" s="12" t="n">
        <v>46134</v>
      </c>
      <c r="I1806" s="12" t="n">
        <v>46134</v>
      </c>
      <c r="J1806" s="12" t="n">
        <v>46135</v>
      </c>
      <c r="K1806" s="2" t="n">
        <v>546</v>
      </c>
      <c r="L1806" s="2" t="inlineStr">
        <is>
          <t>Sea</t>
        </is>
      </c>
      <c r="M1806" s="2" t="inlineStr">
        <is>
          <t>No Delay</t>
        </is>
      </c>
      <c r="N1806" s="4">
        <f>IF(I1806&lt;=H1806,1,0)</f>
        <v/>
      </c>
      <c r="O1806" s="4">
        <f>IF(J1806&lt;=G1806,1,0)</f>
        <v/>
      </c>
      <c r="P1806" s="4">
        <f>MAX(0,I1806-H1806)</f>
        <v/>
      </c>
      <c r="Q1806" s="4">
        <f>MAX(0,J1806-G1806)</f>
        <v/>
      </c>
      <c r="R1806" s="4">
        <f>IF(AND(N1806=1,O1806=1),"On Track",IF(O1806=0,"Customer Delivery Late","Ship Late"))</f>
        <v/>
      </c>
    </row>
    <row r="1807">
      <c r="A1807" s="2" t="inlineStr">
        <is>
          <t>ORD-01806</t>
        </is>
      </c>
      <c r="B1807" s="2" t="inlineStr">
        <is>
          <t>Customer 15</t>
        </is>
      </c>
      <c r="C1807" s="2" t="inlineStr">
        <is>
          <t>Sensor</t>
        </is>
      </c>
      <c r="D1807" s="2" t="inlineStr">
        <is>
          <t>Plant B</t>
        </is>
      </c>
      <c r="E1807" s="2" t="inlineStr">
        <is>
          <t>Central</t>
        </is>
      </c>
      <c r="F1807" s="12" t="n">
        <v>46132</v>
      </c>
      <c r="G1807" s="12" t="n">
        <v>46138</v>
      </c>
      <c r="H1807" s="12" t="n">
        <v>46135</v>
      </c>
      <c r="I1807" s="12" t="n">
        <v>46135</v>
      </c>
      <c r="J1807" s="12" t="n">
        <v>46137</v>
      </c>
      <c r="K1807" s="2" t="n">
        <v>946</v>
      </c>
      <c r="L1807" s="2" t="inlineStr">
        <is>
          <t>Road</t>
        </is>
      </c>
      <c r="M1807" s="2" t="inlineStr">
        <is>
          <t>No Delay</t>
        </is>
      </c>
      <c r="N1807" s="4">
        <f>IF(I1807&lt;=H1807,1,0)</f>
        <v/>
      </c>
      <c r="O1807" s="4">
        <f>IF(J1807&lt;=G1807,1,0)</f>
        <v/>
      </c>
      <c r="P1807" s="4">
        <f>MAX(0,I1807-H1807)</f>
        <v/>
      </c>
      <c r="Q1807" s="4">
        <f>MAX(0,J1807-G1807)</f>
        <v/>
      </c>
      <c r="R1807" s="4">
        <f>IF(AND(N1807=1,O1807=1),"On Track",IF(O1807=0,"Customer Delivery Late","Ship Late"))</f>
        <v/>
      </c>
    </row>
    <row r="1808">
      <c r="A1808" s="2" t="inlineStr">
        <is>
          <t>ORD-01807</t>
        </is>
      </c>
      <c r="B1808" s="2" t="inlineStr">
        <is>
          <t>Customer 14</t>
        </is>
      </c>
      <c r="C1808" s="2" t="inlineStr">
        <is>
          <t>Switchgear</t>
        </is>
      </c>
      <c r="D1808" s="2" t="inlineStr">
        <is>
          <t>Plant A</t>
        </is>
      </c>
      <c r="E1808" s="2" t="inlineStr">
        <is>
          <t>Export</t>
        </is>
      </c>
      <c r="F1808" s="12" t="n">
        <v>46124</v>
      </c>
      <c r="G1808" s="12" t="n">
        <v>46141</v>
      </c>
      <c r="H1808" s="12" t="n">
        <v>46140</v>
      </c>
      <c r="I1808" s="12" t="n">
        <v>46139</v>
      </c>
      <c r="J1808" s="12" t="n">
        <v>46140</v>
      </c>
      <c r="K1808" s="2" t="n">
        <v>488</v>
      </c>
      <c r="L1808" s="2" t="inlineStr">
        <is>
          <t>Air</t>
        </is>
      </c>
      <c r="M1808" s="2" t="inlineStr">
        <is>
          <t>No Delay</t>
        </is>
      </c>
      <c r="N1808" s="4">
        <f>IF(I1808&lt;=H1808,1,0)</f>
        <v/>
      </c>
      <c r="O1808" s="4">
        <f>IF(J1808&lt;=G1808,1,0)</f>
        <v/>
      </c>
      <c r="P1808" s="4">
        <f>MAX(0,I1808-H1808)</f>
        <v/>
      </c>
      <c r="Q1808" s="4">
        <f>MAX(0,J1808-G1808)</f>
        <v/>
      </c>
      <c r="R1808" s="4">
        <f>IF(AND(N1808=1,O1808=1),"On Track",IF(O1808=0,"Customer Delivery Late","Ship Late"))</f>
        <v/>
      </c>
    </row>
    <row r="1809">
      <c r="A1809" s="2" t="inlineStr">
        <is>
          <t>ORD-01808</t>
        </is>
      </c>
      <c r="B1809" s="2" t="inlineStr">
        <is>
          <t>Customer 24</t>
        </is>
      </c>
      <c r="C1809" s="2" t="inlineStr">
        <is>
          <t>Breaker</t>
        </is>
      </c>
      <c r="D1809" s="2" t="inlineStr">
        <is>
          <t>Plant A</t>
        </is>
      </c>
      <c r="E1809" s="2" t="inlineStr">
        <is>
          <t>Central</t>
        </is>
      </c>
      <c r="F1809" s="12" t="n">
        <v>46164</v>
      </c>
      <c r="G1809" s="12" t="n">
        <v>46171</v>
      </c>
      <c r="H1809" s="12" t="n">
        <v>46168</v>
      </c>
      <c r="I1809" s="12" t="n">
        <v>46168</v>
      </c>
      <c r="J1809" s="12" t="n">
        <v>46172</v>
      </c>
      <c r="K1809" s="2" t="n">
        <v>937</v>
      </c>
      <c r="L1809" s="2" t="inlineStr">
        <is>
          <t>Air</t>
        </is>
      </c>
      <c r="M1809" s="2" t="inlineStr">
        <is>
          <t>Capacity Constraint</t>
        </is>
      </c>
      <c r="N1809" s="4">
        <f>IF(I1809&lt;=H1809,1,0)</f>
        <v/>
      </c>
      <c r="O1809" s="4">
        <f>IF(J1809&lt;=G1809,1,0)</f>
        <v/>
      </c>
      <c r="P1809" s="4">
        <f>MAX(0,I1809-H1809)</f>
        <v/>
      </c>
      <c r="Q1809" s="4">
        <f>MAX(0,J1809-G1809)</f>
        <v/>
      </c>
      <c r="R1809" s="4">
        <f>IF(AND(N1809=1,O1809=1),"On Track",IF(O1809=0,"Customer Delivery Late","Ship Late"))</f>
        <v/>
      </c>
    </row>
    <row r="1810">
      <c r="A1810" s="2" t="inlineStr">
        <is>
          <t>ORD-01809</t>
        </is>
      </c>
      <c r="B1810" s="2" t="inlineStr">
        <is>
          <t>Customer 15</t>
        </is>
      </c>
      <c r="C1810" s="2" t="inlineStr">
        <is>
          <t>Power Supply</t>
        </is>
      </c>
      <c r="D1810" s="2" t="inlineStr">
        <is>
          <t>Plant A</t>
        </is>
      </c>
      <c r="E1810" s="2" t="inlineStr">
        <is>
          <t>South</t>
        </is>
      </c>
      <c r="F1810" s="12" t="n">
        <v>46201</v>
      </c>
      <c r="G1810" s="12" t="n">
        <v>46211</v>
      </c>
      <c r="H1810" s="12" t="n">
        <v>46206</v>
      </c>
      <c r="I1810" s="12" t="n">
        <v>46204</v>
      </c>
      <c r="J1810" s="12" t="n">
        <v>46209</v>
      </c>
      <c r="K1810" s="2" t="n">
        <v>493</v>
      </c>
      <c r="L1810" s="2" t="inlineStr">
        <is>
          <t>Air</t>
        </is>
      </c>
      <c r="M1810" s="2" t="inlineStr">
        <is>
          <t>No Delay</t>
        </is>
      </c>
      <c r="N1810" s="4">
        <f>IF(I1810&lt;=H1810,1,0)</f>
        <v/>
      </c>
      <c r="O1810" s="4">
        <f>IF(J1810&lt;=G1810,1,0)</f>
        <v/>
      </c>
      <c r="P1810" s="4">
        <f>MAX(0,I1810-H1810)</f>
        <v/>
      </c>
      <c r="Q1810" s="4">
        <f>MAX(0,J1810-G1810)</f>
        <v/>
      </c>
      <c r="R1810" s="4">
        <f>IF(AND(N1810=1,O1810=1),"On Track",IF(O1810=0,"Customer Delivery Late","Ship Late"))</f>
        <v/>
      </c>
    </row>
    <row r="1811">
      <c r="A1811" s="2" t="inlineStr">
        <is>
          <t>ORD-01810</t>
        </is>
      </c>
      <c r="B1811" s="2" t="inlineStr">
        <is>
          <t>Customer 30</t>
        </is>
      </c>
      <c r="C1811" s="2" t="inlineStr">
        <is>
          <t>Power Supply</t>
        </is>
      </c>
      <c r="D1811" s="2" t="inlineStr">
        <is>
          <t>Plant C</t>
        </is>
      </c>
      <c r="E1811" s="2" t="inlineStr">
        <is>
          <t>Central</t>
        </is>
      </c>
      <c r="F1811" s="12" t="n">
        <v>46128</v>
      </c>
      <c r="G1811" s="12" t="n">
        <v>46146</v>
      </c>
      <c r="H1811" s="12" t="n">
        <v>46145</v>
      </c>
      <c r="I1811" s="12" t="n">
        <v>46143</v>
      </c>
      <c r="J1811" s="12" t="n">
        <v>46144</v>
      </c>
      <c r="K1811" s="2" t="n">
        <v>442</v>
      </c>
      <c r="L1811" s="2" t="inlineStr">
        <is>
          <t>Road</t>
        </is>
      </c>
      <c r="M1811" s="2" t="inlineStr">
        <is>
          <t>No Delay</t>
        </is>
      </c>
      <c r="N1811" s="4">
        <f>IF(I1811&lt;=H1811,1,0)</f>
        <v/>
      </c>
      <c r="O1811" s="4">
        <f>IF(J1811&lt;=G1811,1,0)</f>
        <v/>
      </c>
      <c r="P1811" s="4">
        <f>MAX(0,I1811-H1811)</f>
        <v/>
      </c>
      <c r="Q1811" s="4">
        <f>MAX(0,J1811-G1811)</f>
        <v/>
      </c>
      <c r="R1811" s="4">
        <f>IF(AND(N1811=1,O1811=1),"On Track",IF(O1811=0,"Customer Delivery Late","Ship Late"))</f>
        <v/>
      </c>
    </row>
    <row r="1812">
      <c r="A1812" s="2" t="inlineStr">
        <is>
          <t>ORD-01811</t>
        </is>
      </c>
      <c r="B1812" s="2" t="inlineStr">
        <is>
          <t>Customer 29</t>
        </is>
      </c>
      <c r="C1812" s="2" t="inlineStr">
        <is>
          <t>Contactor</t>
        </is>
      </c>
      <c r="D1812" s="2" t="inlineStr">
        <is>
          <t>Plant C</t>
        </is>
      </c>
      <c r="E1812" s="2" t="inlineStr">
        <is>
          <t>Central</t>
        </is>
      </c>
      <c r="F1812" s="12" t="n">
        <v>46124</v>
      </c>
      <c r="G1812" s="12" t="n">
        <v>46144</v>
      </c>
      <c r="H1812" s="12" t="n">
        <v>46140</v>
      </c>
      <c r="I1812" s="12" t="n">
        <v>46138</v>
      </c>
      <c r="J1812" s="12" t="n">
        <v>46142</v>
      </c>
      <c r="K1812" s="2" t="n">
        <v>384</v>
      </c>
      <c r="L1812" s="2" t="inlineStr">
        <is>
          <t>Sea</t>
        </is>
      </c>
      <c r="M1812" s="2" t="inlineStr">
        <is>
          <t>No Delay</t>
        </is>
      </c>
      <c r="N1812" s="4">
        <f>IF(I1812&lt;=H1812,1,0)</f>
        <v/>
      </c>
      <c r="O1812" s="4">
        <f>IF(J1812&lt;=G1812,1,0)</f>
        <v/>
      </c>
      <c r="P1812" s="4">
        <f>MAX(0,I1812-H1812)</f>
        <v/>
      </c>
      <c r="Q1812" s="4">
        <f>MAX(0,J1812-G1812)</f>
        <v/>
      </c>
      <c r="R1812" s="4">
        <f>IF(AND(N1812=1,O1812=1),"On Track",IF(O1812=0,"Customer Delivery Late","Ship Late"))</f>
        <v/>
      </c>
    </row>
    <row r="1813">
      <c r="A1813" s="2" t="inlineStr">
        <is>
          <t>ORD-01812</t>
        </is>
      </c>
      <c r="B1813" s="2" t="inlineStr">
        <is>
          <t>Customer 25</t>
        </is>
      </c>
      <c r="C1813" s="2" t="inlineStr">
        <is>
          <t>Switchgear</t>
        </is>
      </c>
      <c r="D1813" s="2" t="inlineStr">
        <is>
          <t>Plant C</t>
        </is>
      </c>
      <c r="E1813" s="2" t="inlineStr">
        <is>
          <t>Export</t>
        </is>
      </c>
      <c r="F1813" s="12" t="n">
        <v>46069</v>
      </c>
      <c r="G1813" s="12" t="n">
        <v>46087</v>
      </c>
      <c r="H1813" s="12" t="n">
        <v>46083</v>
      </c>
      <c r="I1813" s="12" t="n">
        <v>46082</v>
      </c>
      <c r="J1813" s="12" t="n">
        <v>46085</v>
      </c>
      <c r="K1813" s="2" t="n">
        <v>683</v>
      </c>
      <c r="L1813" s="2" t="inlineStr">
        <is>
          <t>Road</t>
        </is>
      </c>
      <c r="M1813" s="2" t="inlineStr">
        <is>
          <t>No Delay</t>
        </is>
      </c>
      <c r="N1813" s="4">
        <f>IF(I1813&lt;=H1813,1,0)</f>
        <v/>
      </c>
      <c r="O1813" s="4">
        <f>IF(J1813&lt;=G1813,1,0)</f>
        <v/>
      </c>
      <c r="P1813" s="4">
        <f>MAX(0,I1813-H1813)</f>
        <v/>
      </c>
      <c r="Q1813" s="4">
        <f>MAX(0,J1813-G1813)</f>
        <v/>
      </c>
      <c r="R1813" s="4">
        <f>IF(AND(N1813=1,O1813=1),"On Track",IF(O1813=0,"Customer Delivery Late","Ship Late"))</f>
        <v/>
      </c>
    </row>
    <row r="1814">
      <c r="A1814" s="2" t="inlineStr">
        <is>
          <t>ORD-01813</t>
        </is>
      </c>
      <c r="B1814" s="2" t="inlineStr">
        <is>
          <t>Customer 19</t>
        </is>
      </c>
      <c r="C1814" s="2" t="inlineStr">
        <is>
          <t>Power Supply</t>
        </is>
      </c>
      <c r="D1814" s="2" t="inlineStr">
        <is>
          <t>Plant A</t>
        </is>
      </c>
      <c r="E1814" s="2" t="inlineStr">
        <is>
          <t>South</t>
        </is>
      </c>
      <c r="F1814" s="12" t="n">
        <v>46151</v>
      </c>
      <c r="G1814" s="12" t="n">
        <v>46166</v>
      </c>
      <c r="H1814" s="12" t="n">
        <v>46161</v>
      </c>
      <c r="I1814" s="12" t="n">
        <v>46159</v>
      </c>
      <c r="J1814" s="12" t="n">
        <v>46164</v>
      </c>
      <c r="K1814" s="2" t="n">
        <v>1402</v>
      </c>
      <c r="L1814" s="2" t="inlineStr">
        <is>
          <t>Road</t>
        </is>
      </c>
      <c r="M1814" s="2" t="inlineStr">
        <is>
          <t>No Delay</t>
        </is>
      </c>
      <c r="N1814" s="4">
        <f>IF(I1814&lt;=H1814,1,0)</f>
        <v/>
      </c>
      <c r="O1814" s="4">
        <f>IF(J1814&lt;=G1814,1,0)</f>
        <v/>
      </c>
      <c r="P1814" s="4">
        <f>MAX(0,I1814-H1814)</f>
        <v/>
      </c>
      <c r="Q1814" s="4">
        <f>MAX(0,J1814-G1814)</f>
        <v/>
      </c>
      <c r="R1814" s="4">
        <f>IF(AND(N1814=1,O1814=1),"On Track",IF(O1814=0,"Customer Delivery Late","Ship Late"))</f>
        <v/>
      </c>
    </row>
    <row r="1815">
      <c r="A1815" s="2" t="inlineStr">
        <is>
          <t>ORD-01814</t>
        </is>
      </c>
      <c r="B1815" s="2" t="inlineStr">
        <is>
          <t>Customer 28</t>
        </is>
      </c>
      <c r="C1815" s="2" t="inlineStr">
        <is>
          <t>Drive</t>
        </is>
      </c>
      <c r="D1815" s="2" t="inlineStr">
        <is>
          <t>Plant C</t>
        </is>
      </c>
      <c r="E1815" s="2" t="inlineStr">
        <is>
          <t>South</t>
        </is>
      </c>
      <c r="F1815" s="12" t="n">
        <v>46201</v>
      </c>
      <c r="G1815" s="12" t="n">
        <v>46222</v>
      </c>
      <c r="H1815" s="12" t="n">
        <v>46217</v>
      </c>
      <c r="I1815" s="12" t="n">
        <v>46217</v>
      </c>
      <c r="J1815" s="12" t="n">
        <v>46222</v>
      </c>
      <c r="K1815" s="2" t="n">
        <v>54</v>
      </c>
      <c r="L1815" s="2" t="inlineStr">
        <is>
          <t>Sea</t>
        </is>
      </c>
      <c r="M1815" s="2" t="inlineStr">
        <is>
          <t>No Delay</t>
        </is>
      </c>
      <c r="N1815" s="4">
        <f>IF(I1815&lt;=H1815,1,0)</f>
        <v/>
      </c>
      <c r="O1815" s="4">
        <f>IF(J1815&lt;=G1815,1,0)</f>
        <v/>
      </c>
      <c r="P1815" s="4">
        <f>MAX(0,I1815-H1815)</f>
        <v/>
      </c>
      <c r="Q1815" s="4">
        <f>MAX(0,J1815-G1815)</f>
        <v/>
      </c>
      <c r="R1815" s="4">
        <f>IF(AND(N1815=1,O1815=1),"On Track",IF(O1815=0,"Customer Delivery Late","Ship Late"))</f>
        <v/>
      </c>
    </row>
    <row r="1816">
      <c r="A1816" s="2" t="inlineStr">
        <is>
          <t>ORD-01815</t>
        </is>
      </c>
      <c r="B1816" s="2" t="inlineStr">
        <is>
          <t>Customer 28</t>
        </is>
      </c>
      <c r="C1816" s="2" t="inlineStr">
        <is>
          <t>Power Supply</t>
        </is>
      </c>
      <c r="D1816" s="2" t="inlineStr">
        <is>
          <t>Plant C</t>
        </is>
      </c>
      <c r="E1816" s="2" t="inlineStr">
        <is>
          <t>North</t>
        </is>
      </c>
      <c r="F1816" s="12" t="n">
        <v>46186</v>
      </c>
      <c r="G1816" s="12" t="n">
        <v>46200</v>
      </c>
      <c r="H1816" s="12" t="n">
        <v>46195</v>
      </c>
      <c r="I1816" s="12" t="n">
        <v>46193</v>
      </c>
      <c r="J1816" s="12" t="n">
        <v>46197</v>
      </c>
      <c r="K1816" s="2" t="n">
        <v>1126</v>
      </c>
      <c r="L1816" s="2" t="inlineStr">
        <is>
          <t>Air</t>
        </is>
      </c>
      <c r="M1816" s="2" t="inlineStr">
        <is>
          <t>No Delay</t>
        </is>
      </c>
      <c r="N1816" s="4">
        <f>IF(I1816&lt;=H1816,1,0)</f>
        <v/>
      </c>
      <c r="O1816" s="4">
        <f>IF(J1816&lt;=G1816,1,0)</f>
        <v/>
      </c>
      <c r="P1816" s="4">
        <f>MAX(0,I1816-H1816)</f>
        <v/>
      </c>
      <c r="Q1816" s="4">
        <f>MAX(0,J1816-G1816)</f>
        <v/>
      </c>
      <c r="R1816" s="4">
        <f>IF(AND(N1816=1,O1816=1),"On Track",IF(O1816=0,"Customer Delivery Late","Ship Late"))</f>
        <v/>
      </c>
    </row>
    <row r="1817">
      <c r="A1817" s="2" t="inlineStr">
        <is>
          <t>ORD-01816</t>
        </is>
      </c>
      <c r="B1817" s="2" t="inlineStr">
        <is>
          <t>Customer 13</t>
        </is>
      </c>
      <c r="C1817" s="2" t="inlineStr">
        <is>
          <t>Relay</t>
        </is>
      </c>
      <c r="D1817" s="2" t="inlineStr">
        <is>
          <t>Plant C</t>
        </is>
      </c>
      <c r="E1817" s="2" t="inlineStr">
        <is>
          <t>North</t>
        </is>
      </c>
      <c r="F1817" s="12" t="n">
        <v>46197</v>
      </c>
      <c r="G1817" s="12" t="n">
        <v>46216</v>
      </c>
      <c r="H1817" s="12" t="n">
        <v>46215</v>
      </c>
      <c r="I1817" s="12" t="n">
        <v>46213</v>
      </c>
      <c r="J1817" s="12" t="n">
        <v>46214</v>
      </c>
      <c r="K1817" s="2" t="n">
        <v>981</v>
      </c>
      <c r="L1817" s="2" t="inlineStr">
        <is>
          <t>Road</t>
        </is>
      </c>
      <c r="M1817" s="2" t="inlineStr">
        <is>
          <t>No Delay</t>
        </is>
      </c>
      <c r="N1817" s="4">
        <f>IF(I1817&lt;=H1817,1,0)</f>
        <v/>
      </c>
      <c r="O1817" s="4">
        <f>IF(J1817&lt;=G1817,1,0)</f>
        <v/>
      </c>
      <c r="P1817" s="4">
        <f>MAX(0,I1817-H1817)</f>
        <v/>
      </c>
      <c r="Q1817" s="4">
        <f>MAX(0,J1817-G1817)</f>
        <v/>
      </c>
      <c r="R1817" s="4">
        <f>IF(AND(N1817=1,O1817=1),"On Track",IF(O1817=0,"Customer Delivery Late","Ship Late"))</f>
        <v/>
      </c>
    </row>
    <row r="1818">
      <c r="A1818" s="2" t="inlineStr">
        <is>
          <t>ORD-01817</t>
        </is>
      </c>
      <c r="B1818" s="2" t="inlineStr">
        <is>
          <t>Customer 16</t>
        </is>
      </c>
      <c r="C1818" s="2" t="inlineStr">
        <is>
          <t>Contactor</t>
        </is>
      </c>
      <c r="D1818" s="2" t="inlineStr">
        <is>
          <t>Plant C</t>
        </is>
      </c>
      <c r="E1818" s="2" t="inlineStr">
        <is>
          <t>Central</t>
        </is>
      </c>
      <c r="F1818" s="12" t="n">
        <v>46171</v>
      </c>
      <c r="G1818" s="12" t="n">
        <v>46194</v>
      </c>
      <c r="H1818" s="12" t="n">
        <v>46192</v>
      </c>
      <c r="I1818" s="12" t="n">
        <v>46192</v>
      </c>
      <c r="J1818" s="12" t="n">
        <v>46195</v>
      </c>
      <c r="K1818" s="2" t="n">
        <v>867</v>
      </c>
      <c r="L1818" s="2" t="inlineStr">
        <is>
          <t>Sea</t>
        </is>
      </c>
      <c r="M1818" s="2" t="inlineStr">
        <is>
          <t>Production Delay</t>
        </is>
      </c>
      <c r="N1818" s="4">
        <f>IF(I1818&lt;=H1818,1,0)</f>
        <v/>
      </c>
      <c r="O1818" s="4">
        <f>IF(J1818&lt;=G1818,1,0)</f>
        <v/>
      </c>
      <c r="P1818" s="4">
        <f>MAX(0,I1818-H1818)</f>
        <v/>
      </c>
      <c r="Q1818" s="4">
        <f>MAX(0,J1818-G1818)</f>
        <v/>
      </c>
      <c r="R1818" s="4">
        <f>IF(AND(N1818=1,O1818=1),"On Track",IF(O1818=0,"Customer Delivery Late","Ship Late"))</f>
        <v/>
      </c>
    </row>
    <row r="1819">
      <c r="A1819" s="2" t="inlineStr">
        <is>
          <t>ORD-01818</t>
        </is>
      </c>
      <c r="B1819" s="2" t="inlineStr">
        <is>
          <t>Customer 27</t>
        </is>
      </c>
      <c r="C1819" s="2" t="inlineStr">
        <is>
          <t>Sensor</t>
        </is>
      </c>
      <c r="D1819" s="2" t="inlineStr">
        <is>
          <t>Plant C</t>
        </is>
      </c>
      <c r="E1819" s="2" t="inlineStr">
        <is>
          <t>South</t>
        </is>
      </c>
      <c r="F1819" s="12" t="n">
        <v>46105</v>
      </c>
      <c r="G1819" s="12" t="n">
        <v>46116</v>
      </c>
      <c r="H1819" s="12" t="n">
        <v>46114</v>
      </c>
      <c r="I1819" s="12" t="n">
        <v>46113</v>
      </c>
      <c r="J1819" s="12" t="n">
        <v>46116</v>
      </c>
      <c r="K1819" s="2" t="n">
        <v>361</v>
      </c>
      <c r="L1819" s="2" t="inlineStr">
        <is>
          <t>Air</t>
        </is>
      </c>
      <c r="M1819" s="2" t="inlineStr">
        <is>
          <t>No Delay</t>
        </is>
      </c>
      <c r="N1819" s="4">
        <f>IF(I1819&lt;=H1819,1,0)</f>
        <v/>
      </c>
      <c r="O1819" s="4">
        <f>IF(J1819&lt;=G1819,1,0)</f>
        <v/>
      </c>
      <c r="P1819" s="4">
        <f>MAX(0,I1819-H1819)</f>
        <v/>
      </c>
      <c r="Q1819" s="4">
        <f>MAX(0,J1819-G1819)</f>
        <v/>
      </c>
      <c r="R1819" s="4">
        <f>IF(AND(N1819=1,O1819=1),"On Track",IF(O1819=0,"Customer Delivery Late","Ship Late"))</f>
        <v/>
      </c>
    </row>
    <row r="1820">
      <c r="A1820" s="2" t="inlineStr">
        <is>
          <t>ORD-01819</t>
        </is>
      </c>
      <c r="B1820" s="2" t="inlineStr">
        <is>
          <t>Customer 08</t>
        </is>
      </c>
      <c r="C1820" s="2" t="inlineStr">
        <is>
          <t>Drive</t>
        </is>
      </c>
      <c r="D1820" s="2" t="inlineStr">
        <is>
          <t>Plant B</t>
        </is>
      </c>
      <c r="E1820" s="2" t="inlineStr">
        <is>
          <t>North</t>
        </is>
      </c>
      <c r="F1820" s="12" t="n">
        <v>46173</v>
      </c>
      <c r="G1820" s="12" t="n">
        <v>46187</v>
      </c>
      <c r="H1820" s="12" t="n">
        <v>46185</v>
      </c>
      <c r="I1820" s="12" t="n">
        <v>46185</v>
      </c>
      <c r="J1820" s="12" t="n">
        <v>46186</v>
      </c>
      <c r="K1820" s="2" t="n">
        <v>241</v>
      </c>
      <c r="L1820" s="2" t="inlineStr">
        <is>
          <t>Air</t>
        </is>
      </c>
      <c r="M1820" s="2" t="inlineStr">
        <is>
          <t>No Delay</t>
        </is>
      </c>
      <c r="N1820" s="4">
        <f>IF(I1820&lt;=H1820,1,0)</f>
        <v/>
      </c>
      <c r="O1820" s="4">
        <f>IF(J1820&lt;=G1820,1,0)</f>
        <v/>
      </c>
      <c r="P1820" s="4">
        <f>MAX(0,I1820-H1820)</f>
        <v/>
      </c>
      <c r="Q1820" s="4">
        <f>MAX(0,J1820-G1820)</f>
        <v/>
      </c>
      <c r="R1820" s="4">
        <f>IF(AND(N1820=1,O1820=1),"On Track",IF(O1820=0,"Customer Delivery Late","Ship Late"))</f>
        <v/>
      </c>
    </row>
    <row r="1821">
      <c r="A1821" s="2" t="inlineStr">
        <is>
          <t>ORD-01820</t>
        </is>
      </c>
      <c r="B1821" s="2" t="inlineStr">
        <is>
          <t>Customer 20</t>
        </is>
      </c>
      <c r="C1821" s="2" t="inlineStr">
        <is>
          <t>Drive</t>
        </is>
      </c>
      <c r="D1821" s="2" t="inlineStr">
        <is>
          <t>Plant C</t>
        </is>
      </c>
      <c r="E1821" s="2" t="inlineStr">
        <is>
          <t>Export</t>
        </is>
      </c>
      <c r="F1821" s="12" t="n">
        <v>46114</v>
      </c>
      <c r="G1821" s="12" t="n">
        <v>46137</v>
      </c>
      <c r="H1821" s="12" t="n">
        <v>46132</v>
      </c>
      <c r="I1821" s="12" t="n">
        <v>46140</v>
      </c>
      <c r="J1821" s="12" t="n">
        <v>46145</v>
      </c>
      <c r="K1821" s="2" t="n">
        <v>398</v>
      </c>
      <c r="L1821" s="2" t="inlineStr">
        <is>
          <t>Road</t>
        </is>
      </c>
      <c r="M1821" s="2" t="inlineStr">
        <is>
          <t>Material Shortage</t>
        </is>
      </c>
      <c r="N1821" s="4">
        <f>IF(I1821&lt;=H1821,1,0)</f>
        <v/>
      </c>
      <c r="O1821" s="4">
        <f>IF(J1821&lt;=G1821,1,0)</f>
        <v/>
      </c>
      <c r="P1821" s="4">
        <f>MAX(0,I1821-H1821)</f>
        <v/>
      </c>
      <c r="Q1821" s="4">
        <f>MAX(0,J1821-G1821)</f>
        <v/>
      </c>
      <c r="R1821" s="4">
        <f>IF(AND(N1821=1,O1821=1),"On Track",IF(O1821=0,"Customer Delivery Late","Ship Late"))</f>
        <v/>
      </c>
    </row>
    <row r="1822">
      <c r="A1822" s="2" t="inlineStr">
        <is>
          <t>ORD-01821</t>
        </is>
      </c>
      <c r="B1822" s="2" t="inlineStr">
        <is>
          <t>Customer 24</t>
        </is>
      </c>
      <c r="C1822" s="2" t="inlineStr">
        <is>
          <t>Sensor</t>
        </is>
      </c>
      <c r="D1822" s="2" t="inlineStr">
        <is>
          <t>Plant C</t>
        </is>
      </c>
      <c r="E1822" s="2" t="inlineStr">
        <is>
          <t>Central</t>
        </is>
      </c>
      <c r="F1822" s="12" t="n">
        <v>46117</v>
      </c>
      <c r="G1822" s="12" t="n">
        <v>46130</v>
      </c>
      <c r="H1822" s="12" t="n">
        <v>46125</v>
      </c>
      <c r="I1822" s="12" t="n">
        <v>46124</v>
      </c>
      <c r="J1822" s="12" t="n">
        <v>46130</v>
      </c>
      <c r="K1822" s="2" t="n">
        <v>121</v>
      </c>
      <c r="L1822" s="2" t="inlineStr">
        <is>
          <t>Sea</t>
        </is>
      </c>
      <c r="M1822" s="2" t="inlineStr">
        <is>
          <t>No Delay</t>
        </is>
      </c>
      <c r="N1822" s="4">
        <f>IF(I1822&lt;=H1822,1,0)</f>
        <v/>
      </c>
      <c r="O1822" s="4">
        <f>IF(J1822&lt;=G1822,1,0)</f>
        <v/>
      </c>
      <c r="P1822" s="4">
        <f>MAX(0,I1822-H1822)</f>
        <v/>
      </c>
      <c r="Q1822" s="4">
        <f>MAX(0,J1822-G1822)</f>
        <v/>
      </c>
      <c r="R1822" s="4">
        <f>IF(AND(N1822=1,O1822=1),"On Track",IF(O1822=0,"Customer Delivery Late","Ship Late"))</f>
        <v/>
      </c>
    </row>
    <row r="1823">
      <c r="A1823" s="2" t="inlineStr">
        <is>
          <t>ORD-01822</t>
        </is>
      </c>
      <c r="B1823" s="2" t="inlineStr">
        <is>
          <t>Customer 30</t>
        </is>
      </c>
      <c r="C1823" s="2" t="inlineStr">
        <is>
          <t>Breaker</t>
        </is>
      </c>
      <c r="D1823" s="2" t="inlineStr">
        <is>
          <t>Plant B</t>
        </is>
      </c>
      <c r="E1823" s="2" t="inlineStr">
        <is>
          <t>Export</t>
        </is>
      </c>
      <c r="F1823" s="12" t="n">
        <v>46060</v>
      </c>
      <c r="G1823" s="12" t="n">
        <v>46067</v>
      </c>
      <c r="H1823" s="12" t="n">
        <v>46063</v>
      </c>
      <c r="I1823" s="12" t="n">
        <v>46061</v>
      </c>
      <c r="J1823" s="12" t="n">
        <v>46065</v>
      </c>
      <c r="K1823" s="2" t="n">
        <v>1322</v>
      </c>
      <c r="L1823" s="2" t="inlineStr">
        <is>
          <t>Air</t>
        </is>
      </c>
      <c r="M1823" s="2" t="inlineStr">
        <is>
          <t>No Delay</t>
        </is>
      </c>
      <c r="N1823" s="4">
        <f>IF(I1823&lt;=H1823,1,0)</f>
        <v/>
      </c>
      <c r="O1823" s="4">
        <f>IF(J1823&lt;=G1823,1,0)</f>
        <v/>
      </c>
      <c r="P1823" s="4">
        <f>MAX(0,I1823-H1823)</f>
        <v/>
      </c>
      <c r="Q1823" s="4">
        <f>MAX(0,J1823-G1823)</f>
        <v/>
      </c>
      <c r="R1823" s="4">
        <f>IF(AND(N1823=1,O1823=1),"On Track",IF(O1823=0,"Customer Delivery Late","Ship Late"))</f>
        <v/>
      </c>
    </row>
    <row r="1824">
      <c r="A1824" s="2" t="inlineStr">
        <is>
          <t>ORD-01823</t>
        </is>
      </c>
      <c r="B1824" s="2" t="inlineStr">
        <is>
          <t>Customer 28</t>
        </is>
      </c>
      <c r="C1824" s="2" t="inlineStr">
        <is>
          <t>Sensor</t>
        </is>
      </c>
      <c r="D1824" s="2" t="inlineStr">
        <is>
          <t>Plant C</t>
        </is>
      </c>
      <c r="E1824" s="2" t="inlineStr">
        <is>
          <t>Central</t>
        </is>
      </c>
      <c r="F1824" s="12" t="n">
        <v>46192</v>
      </c>
      <c r="G1824" s="12" t="n">
        <v>46204</v>
      </c>
      <c r="H1824" s="12" t="n">
        <v>46203</v>
      </c>
      <c r="I1824" s="12" t="n">
        <v>46203</v>
      </c>
      <c r="J1824" s="12" t="n">
        <v>46204</v>
      </c>
      <c r="K1824" s="2" t="n">
        <v>1349</v>
      </c>
      <c r="L1824" s="2" t="inlineStr">
        <is>
          <t>Sea</t>
        </is>
      </c>
      <c r="M1824" s="2" t="inlineStr">
        <is>
          <t>No Delay</t>
        </is>
      </c>
      <c r="N1824" s="4">
        <f>IF(I1824&lt;=H1824,1,0)</f>
        <v/>
      </c>
      <c r="O1824" s="4">
        <f>IF(J1824&lt;=G1824,1,0)</f>
        <v/>
      </c>
      <c r="P1824" s="4">
        <f>MAX(0,I1824-H1824)</f>
        <v/>
      </c>
      <c r="Q1824" s="4">
        <f>MAX(0,J1824-G1824)</f>
        <v/>
      </c>
      <c r="R1824" s="4">
        <f>IF(AND(N1824=1,O1824=1),"On Track",IF(O1824=0,"Customer Delivery Late","Ship Late"))</f>
        <v/>
      </c>
    </row>
    <row r="1825">
      <c r="A1825" s="2" t="inlineStr">
        <is>
          <t>ORD-01824</t>
        </is>
      </c>
      <c r="B1825" s="2" t="inlineStr">
        <is>
          <t>Customer 30</t>
        </is>
      </c>
      <c r="C1825" s="2" t="inlineStr">
        <is>
          <t>Relay</t>
        </is>
      </c>
      <c r="D1825" s="2" t="inlineStr">
        <is>
          <t>Plant B</t>
        </is>
      </c>
      <c r="E1825" s="2" t="inlineStr">
        <is>
          <t>South</t>
        </is>
      </c>
      <c r="F1825" s="12" t="n">
        <v>46046</v>
      </c>
      <c r="G1825" s="12" t="n">
        <v>46061</v>
      </c>
      <c r="H1825" s="12" t="n">
        <v>46060</v>
      </c>
      <c r="I1825" s="12" t="n">
        <v>46059</v>
      </c>
      <c r="J1825" s="12" t="n">
        <v>46060</v>
      </c>
      <c r="K1825" s="2" t="n">
        <v>97</v>
      </c>
      <c r="L1825" s="2" t="inlineStr">
        <is>
          <t>Air</t>
        </is>
      </c>
      <c r="M1825" s="2" t="inlineStr">
        <is>
          <t>No Delay</t>
        </is>
      </c>
      <c r="N1825" s="4">
        <f>IF(I1825&lt;=H1825,1,0)</f>
        <v/>
      </c>
      <c r="O1825" s="4">
        <f>IF(J1825&lt;=G1825,1,0)</f>
        <v/>
      </c>
      <c r="P1825" s="4">
        <f>MAX(0,I1825-H1825)</f>
        <v/>
      </c>
      <c r="Q1825" s="4">
        <f>MAX(0,J1825-G1825)</f>
        <v/>
      </c>
      <c r="R1825" s="4">
        <f>IF(AND(N1825=1,O1825=1),"On Track",IF(O1825=0,"Customer Delivery Late","Ship Late"))</f>
        <v/>
      </c>
    </row>
    <row r="1826">
      <c r="A1826" s="2" t="inlineStr">
        <is>
          <t>ORD-01825</t>
        </is>
      </c>
      <c r="B1826" s="2" t="inlineStr">
        <is>
          <t>Customer 15</t>
        </is>
      </c>
      <c r="C1826" s="2" t="inlineStr">
        <is>
          <t>Relay</t>
        </is>
      </c>
      <c r="D1826" s="2" t="inlineStr">
        <is>
          <t>Plant B</t>
        </is>
      </c>
      <c r="E1826" s="2" t="inlineStr">
        <is>
          <t>Central</t>
        </is>
      </c>
      <c r="F1826" s="12" t="n">
        <v>46035</v>
      </c>
      <c r="G1826" s="12" t="n">
        <v>46046</v>
      </c>
      <c r="H1826" s="12" t="n">
        <v>46045</v>
      </c>
      <c r="I1826" s="12" t="n">
        <v>46045</v>
      </c>
      <c r="J1826" s="12" t="n">
        <v>46047</v>
      </c>
      <c r="K1826" s="2" t="n">
        <v>1092</v>
      </c>
      <c r="L1826" s="2" t="inlineStr">
        <is>
          <t>Road</t>
        </is>
      </c>
      <c r="M1826" s="2" t="inlineStr">
        <is>
          <t>Material Shortage</t>
        </is>
      </c>
      <c r="N1826" s="4">
        <f>IF(I1826&lt;=H1826,1,0)</f>
        <v/>
      </c>
      <c r="O1826" s="4">
        <f>IF(J1826&lt;=G1826,1,0)</f>
        <v/>
      </c>
      <c r="P1826" s="4">
        <f>MAX(0,I1826-H1826)</f>
        <v/>
      </c>
      <c r="Q1826" s="4">
        <f>MAX(0,J1826-G1826)</f>
        <v/>
      </c>
      <c r="R1826" s="4">
        <f>IF(AND(N1826=1,O1826=1),"On Track",IF(O1826=0,"Customer Delivery Late","Ship Late"))</f>
        <v/>
      </c>
    </row>
    <row r="1827">
      <c r="A1827" s="2" t="inlineStr">
        <is>
          <t>ORD-01826</t>
        </is>
      </c>
      <c r="B1827" s="2" t="inlineStr">
        <is>
          <t>Customer 01</t>
        </is>
      </c>
      <c r="C1827" s="2" t="inlineStr">
        <is>
          <t>Breaker</t>
        </is>
      </c>
      <c r="D1827" s="2" t="inlineStr">
        <is>
          <t>Plant B</t>
        </is>
      </c>
      <c r="E1827" s="2" t="inlineStr">
        <is>
          <t>Central</t>
        </is>
      </c>
      <c r="F1827" s="12" t="n">
        <v>46176</v>
      </c>
      <c r="G1827" s="12" t="n">
        <v>46194</v>
      </c>
      <c r="H1827" s="12" t="n">
        <v>46189</v>
      </c>
      <c r="I1827" s="12" t="n">
        <v>46188</v>
      </c>
      <c r="J1827" s="12" t="n">
        <v>46194</v>
      </c>
      <c r="K1827" s="2" t="n">
        <v>1067</v>
      </c>
      <c r="L1827" s="2" t="inlineStr">
        <is>
          <t>Sea</t>
        </is>
      </c>
      <c r="M1827" s="2" t="inlineStr">
        <is>
          <t>No Delay</t>
        </is>
      </c>
      <c r="N1827" s="4">
        <f>IF(I1827&lt;=H1827,1,0)</f>
        <v/>
      </c>
      <c r="O1827" s="4">
        <f>IF(J1827&lt;=G1827,1,0)</f>
        <v/>
      </c>
      <c r="P1827" s="4">
        <f>MAX(0,I1827-H1827)</f>
        <v/>
      </c>
      <c r="Q1827" s="4">
        <f>MAX(0,J1827-G1827)</f>
        <v/>
      </c>
      <c r="R1827" s="4">
        <f>IF(AND(N1827=1,O1827=1),"On Track",IF(O1827=0,"Customer Delivery Late","Ship Late"))</f>
        <v/>
      </c>
    </row>
    <row r="1828">
      <c r="A1828" s="2" t="inlineStr">
        <is>
          <t>ORD-01827</t>
        </is>
      </c>
      <c r="B1828" s="2" t="inlineStr">
        <is>
          <t>Customer 14</t>
        </is>
      </c>
      <c r="C1828" s="2" t="inlineStr">
        <is>
          <t>Breaker</t>
        </is>
      </c>
      <c r="D1828" s="2" t="inlineStr">
        <is>
          <t>Plant B</t>
        </is>
      </c>
      <c r="E1828" s="2" t="inlineStr">
        <is>
          <t>North</t>
        </is>
      </c>
      <c r="F1828" s="12" t="n">
        <v>46191</v>
      </c>
      <c r="G1828" s="12" t="n">
        <v>46214</v>
      </c>
      <c r="H1828" s="12" t="n">
        <v>46211</v>
      </c>
      <c r="I1828" s="12" t="n">
        <v>46209</v>
      </c>
      <c r="J1828" s="12" t="n">
        <v>46212</v>
      </c>
      <c r="K1828" s="2" t="n">
        <v>1482</v>
      </c>
      <c r="L1828" s="2" t="inlineStr">
        <is>
          <t>Sea</t>
        </is>
      </c>
      <c r="M1828" s="2" t="inlineStr">
        <is>
          <t>No Delay</t>
        </is>
      </c>
      <c r="N1828" s="4">
        <f>IF(I1828&lt;=H1828,1,0)</f>
        <v/>
      </c>
      <c r="O1828" s="4">
        <f>IF(J1828&lt;=G1828,1,0)</f>
        <v/>
      </c>
      <c r="P1828" s="4">
        <f>MAX(0,I1828-H1828)</f>
        <v/>
      </c>
      <c r="Q1828" s="4">
        <f>MAX(0,J1828-G1828)</f>
        <v/>
      </c>
      <c r="R1828" s="4">
        <f>IF(AND(N1828=1,O1828=1),"On Track",IF(O1828=0,"Customer Delivery Late","Ship Late"))</f>
        <v/>
      </c>
    </row>
    <row r="1829">
      <c r="A1829" s="2" t="inlineStr">
        <is>
          <t>ORD-01828</t>
        </is>
      </c>
      <c r="B1829" s="2" t="inlineStr">
        <is>
          <t>Customer 05</t>
        </is>
      </c>
      <c r="C1829" s="2" t="inlineStr">
        <is>
          <t>Breaker</t>
        </is>
      </c>
      <c r="D1829" s="2" t="inlineStr">
        <is>
          <t>Plant A</t>
        </is>
      </c>
      <c r="E1829" s="2" t="inlineStr">
        <is>
          <t>North</t>
        </is>
      </c>
      <c r="F1829" s="12" t="n">
        <v>46121</v>
      </c>
      <c r="G1829" s="12" t="n">
        <v>46129</v>
      </c>
      <c r="H1829" s="12" t="n">
        <v>46127</v>
      </c>
      <c r="I1829" s="12" t="n">
        <v>46126</v>
      </c>
      <c r="J1829" s="12" t="n">
        <v>46130</v>
      </c>
      <c r="K1829" s="2" t="n">
        <v>944</v>
      </c>
      <c r="L1829" s="2" t="inlineStr">
        <is>
          <t>Road</t>
        </is>
      </c>
      <c r="M1829" s="2" t="inlineStr">
        <is>
          <t>Capacity Constraint</t>
        </is>
      </c>
      <c r="N1829" s="4">
        <f>IF(I1829&lt;=H1829,1,0)</f>
        <v/>
      </c>
      <c r="O1829" s="4">
        <f>IF(J1829&lt;=G1829,1,0)</f>
        <v/>
      </c>
      <c r="P1829" s="4">
        <f>MAX(0,I1829-H1829)</f>
        <v/>
      </c>
      <c r="Q1829" s="4">
        <f>MAX(0,J1829-G1829)</f>
        <v/>
      </c>
      <c r="R1829" s="4">
        <f>IF(AND(N1829=1,O1829=1),"On Track",IF(O1829=0,"Customer Delivery Late","Ship Late"))</f>
        <v/>
      </c>
    </row>
    <row r="1830">
      <c r="A1830" s="2" t="inlineStr">
        <is>
          <t>ORD-01829</t>
        </is>
      </c>
      <c r="B1830" s="2" t="inlineStr">
        <is>
          <t>Customer 26</t>
        </is>
      </c>
      <c r="C1830" s="2" t="inlineStr">
        <is>
          <t>Power Supply</t>
        </is>
      </c>
      <c r="D1830" s="2" t="inlineStr">
        <is>
          <t>Plant C</t>
        </is>
      </c>
      <c r="E1830" s="2" t="inlineStr">
        <is>
          <t>Central</t>
        </is>
      </c>
      <c r="F1830" s="12" t="n">
        <v>46185</v>
      </c>
      <c r="G1830" s="12" t="n">
        <v>46195</v>
      </c>
      <c r="H1830" s="12" t="n">
        <v>46191</v>
      </c>
      <c r="I1830" s="12" t="n">
        <v>46190</v>
      </c>
      <c r="J1830" s="12" t="n">
        <v>46194</v>
      </c>
      <c r="K1830" s="2" t="n">
        <v>1324</v>
      </c>
      <c r="L1830" s="2" t="inlineStr">
        <is>
          <t>Air</t>
        </is>
      </c>
      <c r="M1830" s="2" t="inlineStr">
        <is>
          <t>No Delay</t>
        </is>
      </c>
      <c r="N1830" s="4">
        <f>IF(I1830&lt;=H1830,1,0)</f>
        <v/>
      </c>
      <c r="O1830" s="4">
        <f>IF(J1830&lt;=G1830,1,0)</f>
        <v/>
      </c>
      <c r="P1830" s="4">
        <f>MAX(0,I1830-H1830)</f>
        <v/>
      </c>
      <c r="Q1830" s="4">
        <f>MAX(0,J1830-G1830)</f>
        <v/>
      </c>
      <c r="R1830" s="4">
        <f>IF(AND(N1830=1,O1830=1),"On Track",IF(O1830=0,"Customer Delivery Late","Ship Late"))</f>
        <v/>
      </c>
    </row>
    <row r="1831">
      <c r="A1831" s="2" t="inlineStr">
        <is>
          <t>ORD-01830</t>
        </is>
      </c>
      <c r="B1831" s="2" t="inlineStr">
        <is>
          <t>Customer 10</t>
        </is>
      </c>
      <c r="C1831" s="2" t="inlineStr">
        <is>
          <t>Relay</t>
        </is>
      </c>
      <c r="D1831" s="2" t="inlineStr">
        <is>
          <t>Plant B</t>
        </is>
      </c>
      <c r="E1831" s="2" t="inlineStr">
        <is>
          <t>Central</t>
        </is>
      </c>
      <c r="F1831" s="12" t="n">
        <v>46108</v>
      </c>
      <c r="G1831" s="12" t="n">
        <v>46129</v>
      </c>
      <c r="H1831" s="12" t="n">
        <v>46125</v>
      </c>
      <c r="I1831" s="12" t="n">
        <v>46123</v>
      </c>
      <c r="J1831" s="12" t="n">
        <v>46126</v>
      </c>
      <c r="K1831" s="2" t="n">
        <v>1356</v>
      </c>
      <c r="L1831" s="2" t="inlineStr">
        <is>
          <t>Air</t>
        </is>
      </c>
      <c r="M1831" s="2" t="inlineStr">
        <is>
          <t>No Delay</t>
        </is>
      </c>
      <c r="N1831" s="4">
        <f>IF(I1831&lt;=H1831,1,0)</f>
        <v/>
      </c>
      <c r="O1831" s="4">
        <f>IF(J1831&lt;=G1831,1,0)</f>
        <v/>
      </c>
      <c r="P1831" s="4">
        <f>MAX(0,I1831-H1831)</f>
        <v/>
      </c>
      <c r="Q1831" s="4">
        <f>MAX(0,J1831-G1831)</f>
        <v/>
      </c>
      <c r="R1831" s="4">
        <f>IF(AND(N1831=1,O1831=1),"On Track",IF(O1831=0,"Customer Delivery Late","Ship Late"))</f>
        <v/>
      </c>
    </row>
    <row r="1832">
      <c r="A1832" s="2" t="inlineStr">
        <is>
          <t>ORD-01831</t>
        </is>
      </c>
      <c r="B1832" s="2" t="inlineStr">
        <is>
          <t>Customer 08</t>
        </is>
      </c>
      <c r="C1832" s="2" t="inlineStr">
        <is>
          <t>Breaker</t>
        </is>
      </c>
      <c r="D1832" s="2" t="inlineStr">
        <is>
          <t>Plant A</t>
        </is>
      </c>
      <c r="E1832" s="2" t="inlineStr">
        <is>
          <t>South</t>
        </is>
      </c>
      <c r="F1832" s="12" t="n">
        <v>46078</v>
      </c>
      <c r="G1832" s="12" t="n">
        <v>46096</v>
      </c>
      <c r="H1832" s="12" t="n">
        <v>46091</v>
      </c>
      <c r="I1832" s="12" t="n">
        <v>46089</v>
      </c>
      <c r="J1832" s="12" t="n">
        <v>46094</v>
      </c>
      <c r="K1832" s="2" t="n">
        <v>1177</v>
      </c>
      <c r="L1832" s="2" t="inlineStr">
        <is>
          <t>Air</t>
        </is>
      </c>
      <c r="M1832" s="2" t="inlineStr">
        <is>
          <t>No Delay</t>
        </is>
      </c>
      <c r="N1832" s="4">
        <f>IF(I1832&lt;=H1832,1,0)</f>
        <v/>
      </c>
      <c r="O1832" s="4">
        <f>IF(J1832&lt;=G1832,1,0)</f>
        <v/>
      </c>
      <c r="P1832" s="4">
        <f>MAX(0,I1832-H1832)</f>
        <v/>
      </c>
      <c r="Q1832" s="4">
        <f>MAX(0,J1832-G1832)</f>
        <v/>
      </c>
      <c r="R1832" s="4">
        <f>IF(AND(N1832=1,O1832=1),"On Track",IF(O1832=0,"Customer Delivery Late","Ship Late"))</f>
        <v/>
      </c>
    </row>
    <row r="1833">
      <c r="A1833" s="2" t="inlineStr">
        <is>
          <t>ORD-01832</t>
        </is>
      </c>
      <c r="B1833" s="2" t="inlineStr">
        <is>
          <t>Customer 25</t>
        </is>
      </c>
      <c r="C1833" s="2" t="inlineStr">
        <is>
          <t>Sensor</t>
        </is>
      </c>
      <c r="D1833" s="2" t="inlineStr">
        <is>
          <t>Plant A</t>
        </is>
      </c>
      <c r="E1833" s="2" t="inlineStr">
        <is>
          <t>Export</t>
        </is>
      </c>
      <c r="F1833" s="12" t="n">
        <v>46126</v>
      </c>
      <c r="G1833" s="12" t="n">
        <v>46132</v>
      </c>
      <c r="H1833" s="12" t="n">
        <v>46130</v>
      </c>
      <c r="I1833" s="12" t="n">
        <v>46130</v>
      </c>
      <c r="J1833" s="12" t="n">
        <v>46131</v>
      </c>
      <c r="K1833" s="2" t="n">
        <v>661</v>
      </c>
      <c r="L1833" s="2" t="inlineStr">
        <is>
          <t>Road</t>
        </is>
      </c>
      <c r="M1833" s="2" t="inlineStr">
        <is>
          <t>No Delay</t>
        </is>
      </c>
      <c r="N1833" s="4">
        <f>IF(I1833&lt;=H1833,1,0)</f>
        <v/>
      </c>
      <c r="O1833" s="4">
        <f>IF(J1833&lt;=G1833,1,0)</f>
        <v/>
      </c>
      <c r="P1833" s="4">
        <f>MAX(0,I1833-H1833)</f>
        <v/>
      </c>
      <c r="Q1833" s="4">
        <f>MAX(0,J1833-G1833)</f>
        <v/>
      </c>
      <c r="R1833" s="4">
        <f>IF(AND(N1833=1,O1833=1),"On Track",IF(O1833=0,"Customer Delivery Late","Ship Late"))</f>
        <v/>
      </c>
    </row>
    <row r="1834">
      <c r="A1834" s="2" t="inlineStr">
        <is>
          <t>ORD-01833</t>
        </is>
      </c>
      <c r="B1834" s="2" t="inlineStr">
        <is>
          <t>Customer 03</t>
        </is>
      </c>
      <c r="C1834" s="2" t="inlineStr">
        <is>
          <t>Switchgear</t>
        </is>
      </c>
      <c r="D1834" s="2" t="inlineStr">
        <is>
          <t>Plant B</t>
        </is>
      </c>
      <c r="E1834" s="2" t="inlineStr">
        <is>
          <t>South</t>
        </is>
      </c>
      <c r="F1834" s="12" t="n">
        <v>46199</v>
      </c>
      <c r="G1834" s="12" t="n">
        <v>46213</v>
      </c>
      <c r="H1834" s="12" t="n">
        <v>46212</v>
      </c>
      <c r="I1834" s="12" t="n">
        <v>46210</v>
      </c>
      <c r="J1834" s="12" t="n">
        <v>46211</v>
      </c>
      <c r="K1834" s="2" t="n">
        <v>1401</v>
      </c>
      <c r="L1834" s="2" t="inlineStr">
        <is>
          <t>Road</t>
        </is>
      </c>
      <c r="M1834" s="2" t="inlineStr">
        <is>
          <t>No Delay</t>
        </is>
      </c>
      <c r="N1834" s="4">
        <f>IF(I1834&lt;=H1834,1,0)</f>
        <v/>
      </c>
      <c r="O1834" s="4">
        <f>IF(J1834&lt;=G1834,1,0)</f>
        <v/>
      </c>
      <c r="P1834" s="4">
        <f>MAX(0,I1834-H1834)</f>
        <v/>
      </c>
      <c r="Q1834" s="4">
        <f>MAX(0,J1834-G1834)</f>
        <v/>
      </c>
      <c r="R1834" s="4">
        <f>IF(AND(N1834=1,O1834=1),"On Track",IF(O1834=0,"Customer Delivery Late","Ship Late"))</f>
        <v/>
      </c>
    </row>
    <row r="1835">
      <c r="A1835" s="2" t="inlineStr">
        <is>
          <t>ORD-01834</t>
        </is>
      </c>
      <c r="B1835" s="2" t="inlineStr">
        <is>
          <t>Customer 23</t>
        </is>
      </c>
      <c r="C1835" s="2" t="inlineStr">
        <is>
          <t>Switchgear</t>
        </is>
      </c>
      <c r="D1835" s="2" t="inlineStr">
        <is>
          <t>Plant B</t>
        </is>
      </c>
      <c r="E1835" s="2" t="inlineStr">
        <is>
          <t>Central</t>
        </is>
      </c>
      <c r="F1835" s="12" t="n">
        <v>46085</v>
      </c>
      <c r="G1835" s="12" t="n">
        <v>46102</v>
      </c>
      <c r="H1835" s="12" t="n">
        <v>46099</v>
      </c>
      <c r="I1835" s="12" t="n">
        <v>46099</v>
      </c>
      <c r="J1835" s="12" t="n">
        <v>46101</v>
      </c>
      <c r="K1835" s="2" t="n">
        <v>1070</v>
      </c>
      <c r="L1835" s="2" t="inlineStr">
        <is>
          <t>Air</t>
        </is>
      </c>
      <c r="M1835" s="2" t="inlineStr">
        <is>
          <t>No Delay</t>
        </is>
      </c>
      <c r="N1835" s="4">
        <f>IF(I1835&lt;=H1835,1,0)</f>
        <v/>
      </c>
      <c r="O1835" s="4">
        <f>IF(J1835&lt;=G1835,1,0)</f>
        <v/>
      </c>
      <c r="P1835" s="4">
        <f>MAX(0,I1835-H1835)</f>
        <v/>
      </c>
      <c r="Q1835" s="4">
        <f>MAX(0,J1835-G1835)</f>
        <v/>
      </c>
      <c r="R1835" s="4">
        <f>IF(AND(N1835=1,O1835=1),"On Track",IF(O1835=0,"Customer Delivery Late","Ship Late"))</f>
        <v/>
      </c>
    </row>
    <row r="1836">
      <c r="A1836" s="2" t="inlineStr">
        <is>
          <t>ORD-01835</t>
        </is>
      </c>
      <c r="B1836" s="2" t="inlineStr">
        <is>
          <t>Customer 13</t>
        </is>
      </c>
      <c r="C1836" s="2" t="inlineStr">
        <is>
          <t>Power Supply</t>
        </is>
      </c>
      <c r="D1836" s="2" t="inlineStr">
        <is>
          <t>Plant B</t>
        </is>
      </c>
      <c r="E1836" s="2" t="inlineStr">
        <is>
          <t>Export</t>
        </is>
      </c>
      <c r="F1836" s="12" t="n">
        <v>46093</v>
      </c>
      <c r="G1836" s="12" t="n">
        <v>46110</v>
      </c>
      <c r="H1836" s="12" t="n">
        <v>46106</v>
      </c>
      <c r="I1836" s="12" t="n">
        <v>46104</v>
      </c>
      <c r="J1836" s="12" t="n">
        <v>46108</v>
      </c>
      <c r="K1836" s="2" t="n">
        <v>591</v>
      </c>
      <c r="L1836" s="2" t="inlineStr">
        <is>
          <t>Sea</t>
        </is>
      </c>
      <c r="M1836" s="2" t="inlineStr">
        <is>
          <t>No Delay</t>
        </is>
      </c>
      <c r="N1836" s="4">
        <f>IF(I1836&lt;=H1836,1,0)</f>
        <v/>
      </c>
      <c r="O1836" s="4">
        <f>IF(J1836&lt;=G1836,1,0)</f>
        <v/>
      </c>
      <c r="P1836" s="4">
        <f>MAX(0,I1836-H1836)</f>
        <v/>
      </c>
      <c r="Q1836" s="4">
        <f>MAX(0,J1836-G1836)</f>
        <v/>
      </c>
      <c r="R1836" s="4">
        <f>IF(AND(N1836=1,O1836=1),"On Track",IF(O1836=0,"Customer Delivery Late","Ship Late"))</f>
        <v/>
      </c>
    </row>
    <row r="1837">
      <c r="A1837" s="2" t="inlineStr">
        <is>
          <t>ORD-01836</t>
        </is>
      </c>
      <c r="B1837" s="2" t="inlineStr">
        <is>
          <t>Customer 02</t>
        </is>
      </c>
      <c r="C1837" s="2" t="inlineStr">
        <is>
          <t>Sensor</t>
        </is>
      </c>
      <c r="D1837" s="2" t="inlineStr">
        <is>
          <t>Plant A</t>
        </is>
      </c>
      <c r="E1837" s="2" t="inlineStr">
        <is>
          <t>Export</t>
        </is>
      </c>
      <c r="F1837" s="12" t="n">
        <v>46041</v>
      </c>
      <c r="G1837" s="12" t="n">
        <v>46050</v>
      </c>
      <c r="H1837" s="12" t="n">
        <v>46047</v>
      </c>
      <c r="I1837" s="12" t="n">
        <v>46047</v>
      </c>
      <c r="J1837" s="12" t="n">
        <v>46050</v>
      </c>
      <c r="K1837" s="2" t="n">
        <v>387</v>
      </c>
      <c r="L1837" s="2" t="inlineStr">
        <is>
          <t>Road</t>
        </is>
      </c>
      <c r="M1837" s="2" t="inlineStr">
        <is>
          <t>No Delay</t>
        </is>
      </c>
      <c r="N1837" s="4">
        <f>IF(I1837&lt;=H1837,1,0)</f>
        <v/>
      </c>
      <c r="O1837" s="4">
        <f>IF(J1837&lt;=G1837,1,0)</f>
        <v/>
      </c>
      <c r="P1837" s="4">
        <f>MAX(0,I1837-H1837)</f>
        <v/>
      </c>
      <c r="Q1837" s="4">
        <f>MAX(0,J1837-G1837)</f>
        <v/>
      </c>
      <c r="R1837" s="4">
        <f>IF(AND(N1837=1,O1837=1),"On Track",IF(O1837=0,"Customer Delivery Late","Ship Late"))</f>
        <v/>
      </c>
    </row>
    <row r="1838">
      <c r="A1838" s="2" t="inlineStr">
        <is>
          <t>ORD-01837</t>
        </is>
      </c>
      <c r="B1838" s="2" t="inlineStr">
        <is>
          <t>Customer 15</t>
        </is>
      </c>
      <c r="C1838" s="2" t="inlineStr">
        <is>
          <t>Power Supply</t>
        </is>
      </c>
      <c r="D1838" s="2" t="inlineStr">
        <is>
          <t>Plant A</t>
        </is>
      </c>
      <c r="E1838" s="2" t="inlineStr">
        <is>
          <t>Central</t>
        </is>
      </c>
      <c r="F1838" s="12" t="n">
        <v>46128</v>
      </c>
      <c r="G1838" s="12" t="n">
        <v>46151</v>
      </c>
      <c r="H1838" s="12" t="n">
        <v>46146</v>
      </c>
      <c r="I1838" s="12" t="n">
        <v>46145</v>
      </c>
      <c r="J1838" s="12" t="n">
        <v>46150</v>
      </c>
      <c r="K1838" s="2" t="n">
        <v>716</v>
      </c>
      <c r="L1838" s="2" t="inlineStr">
        <is>
          <t>Air</t>
        </is>
      </c>
      <c r="M1838" s="2" t="inlineStr">
        <is>
          <t>No Delay</t>
        </is>
      </c>
      <c r="N1838" s="4">
        <f>IF(I1838&lt;=H1838,1,0)</f>
        <v/>
      </c>
      <c r="O1838" s="4">
        <f>IF(J1838&lt;=G1838,1,0)</f>
        <v/>
      </c>
      <c r="P1838" s="4">
        <f>MAX(0,I1838-H1838)</f>
        <v/>
      </c>
      <c r="Q1838" s="4">
        <f>MAX(0,J1838-G1838)</f>
        <v/>
      </c>
      <c r="R1838" s="4">
        <f>IF(AND(N1838=1,O1838=1),"On Track",IF(O1838=0,"Customer Delivery Late","Ship Late"))</f>
        <v/>
      </c>
    </row>
    <row r="1839">
      <c r="A1839" s="2" t="inlineStr">
        <is>
          <t>ORD-01838</t>
        </is>
      </c>
      <c r="B1839" s="2" t="inlineStr">
        <is>
          <t>Customer 18</t>
        </is>
      </c>
      <c r="C1839" s="2" t="inlineStr">
        <is>
          <t>Switchgear</t>
        </is>
      </c>
      <c r="D1839" s="2" t="inlineStr">
        <is>
          <t>Plant B</t>
        </is>
      </c>
      <c r="E1839" s="2" t="inlineStr">
        <is>
          <t>Export</t>
        </is>
      </c>
      <c r="F1839" s="12" t="n">
        <v>46179</v>
      </c>
      <c r="G1839" s="12" t="n">
        <v>46202</v>
      </c>
      <c r="H1839" s="12" t="n">
        <v>46197</v>
      </c>
      <c r="I1839" s="12" t="n">
        <v>46195</v>
      </c>
      <c r="J1839" s="12" t="n">
        <v>46200</v>
      </c>
      <c r="K1839" s="2" t="n">
        <v>1464</v>
      </c>
      <c r="L1839" s="2" t="inlineStr">
        <is>
          <t>Air</t>
        </is>
      </c>
      <c r="M1839" s="2" t="inlineStr">
        <is>
          <t>No Delay</t>
        </is>
      </c>
      <c r="N1839" s="4">
        <f>IF(I1839&lt;=H1839,1,0)</f>
        <v/>
      </c>
      <c r="O1839" s="4">
        <f>IF(J1839&lt;=G1839,1,0)</f>
        <v/>
      </c>
      <c r="P1839" s="4">
        <f>MAX(0,I1839-H1839)</f>
        <v/>
      </c>
      <c r="Q1839" s="4">
        <f>MAX(0,J1839-G1839)</f>
        <v/>
      </c>
      <c r="R1839" s="4">
        <f>IF(AND(N1839=1,O1839=1),"On Track",IF(O1839=0,"Customer Delivery Late","Ship Late"))</f>
        <v/>
      </c>
    </row>
    <row r="1840">
      <c r="A1840" s="2" t="inlineStr">
        <is>
          <t>ORD-01839</t>
        </is>
      </c>
      <c r="B1840" s="2" t="inlineStr">
        <is>
          <t>Customer 09</t>
        </is>
      </c>
      <c r="C1840" s="2" t="inlineStr">
        <is>
          <t>Relay</t>
        </is>
      </c>
      <c r="D1840" s="2" t="inlineStr">
        <is>
          <t>Plant A</t>
        </is>
      </c>
      <c r="E1840" s="2" t="inlineStr">
        <is>
          <t>South</t>
        </is>
      </c>
      <c r="F1840" s="12" t="n">
        <v>46138</v>
      </c>
      <c r="G1840" s="12" t="n">
        <v>46162</v>
      </c>
      <c r="H1840" s="12" t="n">
        <v>46160</v>
      </c>
      <c r="I1840" s="12" t="n">
        <v>46159</v>
      </c>
      <c r="J1840" s="12" t="n">
        <v>46161</v>
      </c>
      <c r="K1840" s="2" t="n">
        <v>1255</v>
      </c>
      <c r="L1840" s="2" t="inlineStr">
        <is>
          <t>Road</t>
        </is>
      </c>
      <c r="M1840" s="2" t="inlineStr">
        <is>
          <t>No Delay</t>
        </is>
      </c>
      <c r="N1840" s="4">
        <f>IF(I1840&lt;=H1840,1,0)</f>
        <v/>
      </c>
      <c r="O1840" s="4">
        <f>IF(J1840&lt;=G1840,1,0)</f>
        <v/>
      </c>
      <c r="P1840" s="4">
        <f>MAX(0,I1840-H1840)</f>
        <v/>
      </c>
      <c r="Q1840" s="4">
        <f>MAX(0,J1840-G1840)</f>
        <v/>
      </c>
      <c r="R1840" s="4">
        <f>IF(AND(N1840=1,O1840=1),"On Track",IF(O1840=0,"Customer Delivery Late","Ship Late"))</f>
        <v/>
      </c>
    </row>
    <row r="1841">
      <c r="A1841" s="2" t="inlineStr">
        <is>
          <t>ORD-01840</t>
        </is>
      </c>
      <c r="B1841" s="2" t="inlineStr">
        <is>
          <t>Customer 13</t>
        </is>
      </c>
      <c r="C1841" s="2" t="inlineStr">
        <is>
          <t>Breaker</t>
        </is>
      </c>
      <c r="D1841" s="2" t="inlineStr">
        <is>
          <t>Plant A</t>
        </is>
      </c>
      <c r="E1841" s="2" t="inlineStr">
        <is>
          <t>North</t>
        </is>
      </c>
      <c r="F1841" s="12" t="n">
        <v>46047</v>
      </c>
      <c r="G1841" s="12" t="n">
        <v>46062</v>
      </c>
      <c r="H1841" s="12" t="n">
        <v>46060</v>
      </c>
      <c r="I1841" s="12" t="n">
        <v>46060</v>
      </c>
      <c r="J1841" s="12" t="n">
        <v>46063</v>
      </c>
      <c r="K1841" s="2" t="n">
        <v>146</v>
      </c>
      <c r="L1841" s="2" t="inlineStr">
        <is>
          <t>Air</t>
        </is>
      </c>
      <c r="M1841" s="2" t="inlineStr">
        <is>
          <t>Production Delay</t>
        </is>
      </c>
      <c r="N1841" s="4">
        <f>IF(I1841&lt;=H1841,1,0)</f>
        <v/>
      </c>
      <c r="O1841" s="4">
        <f>IF(J1841&lt;=G1841,1,0)</f>
        <v/>
      </c>
      <c r="P1841" s="4">
        <f>MAX(0,I1841-H1841)</f>
        <v/>
      </c>
      <c r="Q1841" s="4">
        <f>MAX(0,J1841-G1841)</f>
        <v/>
      </c>
      <c r="R1841" s="4">
        <f>IF(AND(N1841=1,O1841=1),"On Track",IF(O1841=0,"Customer Delivery Late","Ship Late"))</f>
        <v/>
      </c>
    </row>
    <row r="1842">
      <c r="A1842" s="2" t="inlineStr">
        <is>
          <t>ORD-01841</t>
        </is>
      </c>
      <c r="B1842" s="2" t="inlineStr">
        <is>
          <t>Customer 22</t>
        </is>
      </c>
      <c r="C1842" s="2" t="inlineStr">
        <is>
          <t>PLC</t>
        </is>
      </c>
      <c r="D1842" s="2" t="inlineStr">
        <is>
          <t>Plant A</t>
        </is>
      </c>
      <c r="E1842" s="2" t="inlineStr">
        <is>
          <t>South</t>
        </is>
      </c>
      <c r="F1842" s="12" t="n">
        <v>46099</v>
      </c>
      <c r="G1842" s="12" t="n">
        <v>46105</v>
      </c>
      <c r="H1842" s="12" t="n">
        <v>46101</v>
      </c>
      <c r="I1842" s="12" t="n">
        <v>46099</v>
      </c>
      <c r="J1842" s="12" t="n">
        <v>46103</v>
      </c>
      <c r="K1842" s="2" t="n">
        <v>1165</v>
      </c>
      <c r="L1842" s="2" t="inlineStr">
        <is>
          <t>Road</t>
        </is>
      </c>
      <c r="M1842" s="2" t="inlineStr">
        <is>
          <t>No Delay</t>
        </is>
      </c>
      <c r="N1842" s="4">
        <f>IF(I1842&lt;=H1842,1,0)</f>
        <v/>
      </c>
      <c r="O1842" s="4">
        <f>IF(J1842&lt;=G1842,1,0)</f>
        <v/>
      </c>
      <c r="P1842" s="4">
        <f>MAX(0,I1842-H1842)</f>
        <v/>
      </c>
      <c r="Q1842" s="4">
        <f>MAX(0,J1842-G1842)</f>
        <v/>
      </c>
      <c r="R1842" s="4">
        <f>IF(AND(N1842=1,O1842=1),"On Track",IF(O1842=0,"Customer Delivery Late","Ship Late"))</f>
        <v/>
      </c>
    </row>
    <row r="1843">
      <c r="A1843" s="2" t="inlineStr">
        <is>
          <t>ORD-01842</t>
        </is>
      </c>
      <c r="B1843" s="2" t="inlineStr">
        <is>
          <t>Customer 21</t>
        </is>
      </c>
      <c r="C1843" s="2" t="inlineStr">
        <is>
          <t>Switchgear</t>
        </is>
      </c>
      <c r="D1843" s="2" t="inlineStr">
        <is>
          <t>Plant A</t>
        </is>
      </c>
      <c r="E1843" s="2" t="inlineStr">
        <is>
          <t>North</t>
        </is>
      </c>
      <c r="F1843" s="12" t="n">
        <v>46078</v>
      </c>
      <c r="G1843" s="12" t="n">
        <v>46092</v>
      </c>
      <c r="H1843" s="12" t="n">
        <v>46091</v>
      </c>
      <c r="I1843" s="12" t="n">
        <v>46091</v>
      </c>
      <c r="J1843" s="12" t="n">
        <v>46092</v>
      </c>
      <c r="K1843" s="2" t="n">
        <v>1221</v>
      </c>
      <c r="L1843" s="2" t="inlineStr">
        <is>
          <t>Sea</t>
        </is>
      </c>
      <c r="M1843" s="2" t="inlineStr">
        <is>
          <t>No Delay</t>
        </is>
      </c>
      <c r="N1843" s="4">
        <f>IF(I1843&lt;=H1843,1,0)</f>
        <v/>
      </c>
      <c r="O1843" s="4">
        <f>IF(J1843&lt;=G1843,1,0)</f>
        <v/>
      </c>
      <c r="P1843" s="4">
        <f>MAX(0,I1843-H1843)</f>
        <v/>
      </c>
      <c r="Q1843" s="4">
        <f>MAX(0,J1843-G1843)</f>
        <v/>
      </c>
      <c r="R1843" s="4">
        <f>IF(AND(N1843=1,O1843=1),"On Track",IF(O1843=0,"Customer Delivery Late","Ship Late"))</f>
        <v/>
      </c>
    </row>
    <row r="1844">
      <c r="A1844" s="2" t="inlineStr">
        <is>
          <t>ORD-01843</t>
        </is>
      </c>
      <c r="B1844" s="2" t="inlineStr">
        <is>
          <t>Customer 22</t>
        </is>
      </c>
      <c r="C1844" s="2" t="inlineStr">
        <is>
          <t>Relay</t>
        </is>
      </c>
      <c r="D1844" s="2" t="inlineStr">
        <is>
          <t>Plant B</t>
        </is>
      </c>
      <c r="E1844" s="2" t="inlineStr">
        <is>
          <t>North</t>
        </is>
      </c>
      <c r="F1844" s="12" t="n">
        <v>46161</v>
      </c>
      <c r="G1844" s="12" t="n">
        <v>46179</v>
      </c>
      <c r="H1844" s="12" t="n">
        <v>46176</v>
      </c>
      <c r="I1844" s="12" t="n">
        <v>46175</v>
      </c>
      <c r="J1844" s="12" t="n">
        <v>46178</v>
      </c>
      <c r="K1844" s="2" t="n">
        <v>684</v>
      </c>
      <c r="L1844" s="2" t="inlineStr">
        <is>
          <t>Sea</t>
        </is>
      </c>
      <c r="M1844" s="2" t="inlineStr">
        <is>
          <t>No Delay</t>
        </is>
      </c>
      <c r="N1844" s="4">
        <f>IF(I1844&lt;=H1844,1,0)</f>
        <v/>
      </c>
      <c r="O1844" s="4">
        <f>IF(J1844&lt;=G1844,1,0)</f>
        <v/>
      </c>
      <c r="P1844" s="4">
        <f>MAX(0,I1844-H1844)</f>
        <v/>
      </c>
      <c r="Q1844" s="4">
        <f>MAX(0,J1844-G1844)</f>
        <v/>
      </c>
      <c r="R1844" s="4">
        <f>IF(AND(N1844=1,O1844=1),"On Track",IF(O1844=0,"Customer Delivery Late","Ship Late"))</f>
        <v/>
      </c>
    </row>
    <row r="1845">
      <c r="A1845" s="2" t="inlineStr">
        <is>
          <t>ORD-01844</t>
        </is>
      </c>
      <c r="B1845" s="2" t="inlineStr">
        <is>
          <t>Customer 30</t>
        </is>
      </c>
      <c r="C1845" s="2" t="inlineStr">
        <is>
          <t>Switchgear</t>
        </is>
      </c>
      <c r="D1845" s="2" t="inlineStr">
        <is>
          <t>Plant B</t>
        </is>
      </c>
      <c r="E1845" s="2" t="inlineStr">
        <is>
          <t>Export</t>
        </is>
      </c>
      <c r="F1845" s="12" t="n">
        <v>46189</v>
      </c>
      <c r="G1845" s="12" t="n">
        <v>46198</v>
      </c>
      <c r="H1845" s="12" t="n">
        <v>46197</v>
      </c>
      <c r="I1845" s="12" t="n">
        <v>46195</v>
      </c>
      <c r="J1845" s="12" t="n">
        <v>46196</v>
      </c>
      <c r="K1845" s="2" t="n">
        <v>1256</v>
      </c>
      <c r="L1845" s="2" t="inlineStr">
        <is>
          <t>Road</t>
        </is>
      </c>
      <c r="M1845" s="2" t="inlineStr">
        <is>
          <t>No Delay</t>
        </is>
      </c>
      <c r="N1845" s="4">
        <f>IF(I1845&lt;=H1845,1,0)</f>
        <v/>
      </c>
      <c r="O1845" s="4">
        <f>IF(J1845&lt;=G1845,1,0)</f>
        <v/>
      </c>
      <c r="P1845" s="4">
        <f>MAX(0,I1845-H1845)</f>
        <v/>
      </c>
      <c r="Q1845" s="4">
        <f>MAX(0,J1845-G1845)</f>
        <v/>
      </c>
      <c r="R1845" s="4">
        <f>IF(AND(N1845=1,O1845=1),"On Track",IF(O1845=0,"Customer Delivery Late","Ship Late"))</f>
        <v/>
      </c>
    </row>
    <row r="1846">
      <c r="A1846" s="2" t="inlineStr">
        <is>
          <t>ORD-01845</t>
        </is>
      </c>
      <c r="B1846" s="2" t="inlineStr">
        <is>
          <t>Customer 27</t>
        </is>
      </c>
      <c r="C1846" s="2" t="inlineStr">
        <is>
          <t>Breaker</t>
        </is>
      </c>
      <c r="D1846" s="2" t="inlineStr">
        <is>
          <t>Plant C</t>
        </is>
      </c>
      <c r="E1846" s="2" t="inlineStr">
        <is>
          <t>South</t>
        </is>
      </c>
      <c r="F1846" s="12" t="n">
        <v>46182</v>
      </c>
      <c r="G1846" s="12" t="n">
        <v>46195</v>
      </c>
      <c r="H1846" s="12" t="n">
        <v>46190</v>
      </c>
      <c r="I1846" s="12" t="n">
        <v>46189</v>
      </c>
      <c r="J1846" s="12" t="n">
        <v>46195</v>
      </c>
      <c r="K1846" s="2" t="n">
        <v>833</v>
      </c>
      <c r="L1846" s="2" t="inlineStr">
        <is>
          <t>Sea</t>
        </is>
      </c>
      <c r="M1846" s="2" t="inlineStr">
        <is>
          <t>No Delay</t>
        </is>
      </c>
      <c r="N1846" s="4">
        <f>IF(I1846&lt;=H1846,1,0)</f>
        <v/>
      </c>
      <c r="O1846" s="4">
        <f>IF(J1846&lt;=G1846,1,0)</f>
        <v/>
      </c>
      <c r="P1846" s="4">
        <f>MAX(0,I1846-H1846)</f>
        <v/>
      </c>
      <c r="Q1846" s="4">
        <f>MAX(0,J1846-G1846)</f>
        <v/>
      </c>
      <c r="R1846" s="4">
        <f>IF(AND(N1846=1,O1846=1),"On Track",IF(O1846=0,"Customer Delivery Late","Ship Late"))</f>
        <v/>
      </c>
    </row>
    <row r="1847">
      <c r="A1847" s="2" t="inlineStr">
        <is>
          <t>ORD-01846</t>
        </is>
      </c>
      <c r="B1847" s="2" t="inlineStr">
        <is>
          <t>Customer 14</t>
        </is>
      </c>
      <c r="C1847" s="2" t="inlineStr">
        <is>
          <t>Power Supply</t>
        </is>
      </c>
      <c r="D1847" s="2" t="inlineStr">
        <is>
          <t>Plant A</t>
        </is>
      </c>
      <c r="E1847" s="2" t="inlineStr">
        <is>
          <t>Export</t>
        </is>
      </c>
      <c r="F1847" s="12" t="n">
        <v>46056</v>
      </c>
      <c r="G1847" s="12" t="n">
        <v>46061</v>
      </c>
      <c r="H1847" s="12" t="n">
        <v>46060</v>
      </c>
      <c r="I1847" s="12" t="n">
        <v>46059</v>
      </c>
      <c r="J1847" s="12" t="n">
        <v>46060</v>
      </c>
      <c r="K1847" s="2" t="n">
        <v>1181</v>
      </c>
      <c r="L1847" s="2" t="inlineStr">
        <is>
          <t>Air</t>
        </is>
      </c>
      <c r="M1847" s="2" t="inlineStr">
        <is>
          <t>No Delay</t>
        </is>
      </c>
      <c r="N1847" s="4">
        <f>IF(I1847&lt;=H1847,1,0)</f>
        <v/>
      </c>
      <c r="O1847" s="4">
        <f>IF(J1847&lt;=G1847,1,0)</f>
        <v/>
      </c>
      <c r="P1847" s="4">
        <f>MAX(0,I1847-H1847)</f>
        <v/>
      </c>
      <c r="Q1847" s="4">
        <f>MAX(0,J1847-G1847)</f>
        <v/>
      </c>
      <c r="R1847" s="4">
        <f>IF(AND(N1847=1,O1847=1),"On Track",IF(O1847=0,"Customer Delivery Late","Ship Late"))</f>
        <v/>
      </c>
    </row>
    <row r="1848">
      <c r="A1848" s="2" t="inlineStr">
        <is>
          <t>ORD-01847</t>
        </is>
      </c>
      <c r="B1848" s="2" t="inlineStr">
        <is>
          <t>Customer 10</t>
        </is>
      </c>
      <c r="C1848" s="2" t="inlineStr">
        <is>
          <t>Switchgear</t>
        </is>
      </c>
      <c r="D1848" s="2" t="inlineStr">
        <is>
          <t>Plant B</t>
        </is>
      </c>
      <c r="E1848" s="2" t="inlineStr">
        <is>
          <t>North</t>
        </is>
      </c>
      <c r="F1848" s="12" t="n">
        <v>46145</v>
      </c>
      <c r="G1848" s="12" t="n">
        <v>46154</v>
      </c>
      <c r="H1848" s="12" t="n">
        <v>46151</v>
      </c>
      <c r="I1848" s="12" t="n">
        <v>46149</v>
      </c>
      <c r="J1848" s="12" t="n">
        <v>46152</v>
      </c>
      <c r="K1848" s="2" t="n">
        <v>1465</v>
      </c>
      <c r="L1848" s="2" t="inlineStr">
        <is>
          <t>Road</t>
        </is>
      </c>
      <c r="M1848" s="2" t="inlineStr">
        <is>
          <t>No Delay</t>
        </is>
      </c>
      <c r="N1848" s="4">
        <f>IF(I1848&lt;=H1848,1,0)</f>
        <v/>
      </c>
      <c r="O1848" s="4">
        <f>IF(J1848&lt;=G1848,1,0)</f>
        <v/>
      </c>
      <c r="P1848" s="4">
        <f>MAX(0,I1848-H1848)</f>
        <v/>
      </c>
      <c r="Q1848" s="4">
        <f>MAX(0,J1848-G1848)</f>
        <v/>
      </c>
      <c r="R1848" s="4">
        <f>IF(AND(N1848=1,O1848=1),"On Track",IF(O1848=0,"Customer Delivery Late","Ship Late"))</f>
        <v/>
      </c>
    </row>
    <row r="1849">
      <c r="A1849" s="2" t="inlineStr">
        <is>
          <t>ORD-01848</t>
        </is>
      </c>
      <c r="B1849" s="2" t="inlineStr">
        <is>
          <t>Customer 02</t>
        </is>
      </c>
      <c r="C1849" s="2" t="inlineStr">
        <is>
          <t>Switchgear</t>
        </is>
      </c>
      <c r="D1849" s="2" t="inlineStr">
        <is>
          <t>Plant B</t>
        </is>
      </c>
      <c r="E1849" s="2" t="inlineStr">
        <is>
          <t>Export</t>
        </is>
      </c>
      <c r="F1849" s="12" t="n">
        <v>46104</v>
      </c>
      <c r="G1849" s="12" t="n">
        <v>46116</v>
      </c>
      <c r="H1849" s="12" t="n">
        <v>46115</v>
      </c>
      <c r="I1849" s="12" t="n">
        <v>46114</v>
      </c>
      <c r="J1849" s="12" t="n">
        <v>46115</v>
      </c>
      <c r="K1849" s="2" t="n">
        <v>412</v>
      </c>
      <c r="L1849" s="2" t="inlineStr">
        <is>
          <t>Sea</t>
        </is>
      </c>
      <c r="M1849" s="2" t="inlineStr">
        <is>
          <t>No Delay</t>
        </is>
      </c>
      <c r="N1849" s="4">
        <f>IF(I1849&lt;=H1849,1,0)</f>
        <v/>
      </c>
      <c r="O1849" s="4">
        <f>IF(J1849&lt;=G1849,1,0)</f>
        <v/>
      </c>
      <c r="P1849" s="4">
        <f>MAX(0,I1849-H1849)</f>
        <v/>
      </c>
      <c r="Q1849" s="4">
        <f>MAX(0,J1849-G1849)</f>
        <v/>
      </c>
      <c r="R1849" s="4">
        <f>IF(AND(N1849=1,O1849=1),"On Track",IF(O1849=0,"Customer Delivery Late","Ship Late"))</f>
        <v/>
      </c>
    </row>
    <row r="1850">
      <c r="A1850" s="2" t="inlineStr">
        <is>
          <t>ORD-01849</t>
        </is>
      </c>
      <c r="B1850" s="2" t="inlineStr">
        <is>
          <t>Customer 25</t>
        </is>
      </c>
      <c r="C1850" s="2" t="inlineStr">
        <is>
          <t>Relay</t>
        </is>
      </c>
      <c r="D1850" s="2" t="inlineStr">
        <is>
          <t>Plant A</t>
        </is>
      </c>
      <c r="E1850" s="2" t="inlineStr">
        <is>
          <t>Central</t>
        </is>
      </c>
      <c r="F1850" s="12" t="n">
        <v>46066</v>
      </c>
      <c r="G1850" s="12" t="n">
        <v>46073</v>
      </c>
      <c r="H1850" s="12" t="n">
        <v>46069</v>
      </c>
      <c r="I1850" s="12" t="n">
        <v>46075</v>
      </c>
      <c r="J1850" s="12" t="n">
        <v>46079</v>
      </c>
      <c r="K1850" s="2" t="n">
        <v>1433</v>
      </c>
      <c r="L1850" s="2" t="inlineStr">
        <is>
          <t>Air</t>
        </is>
      </c>
      <c r="M1850" s="2" t="inlineStr">
        <is>
          <t>Capacity Constraint</t>
        </is>
      </c>
      <c r="N1850" s="4">
        <f>IF(I1850&lt;=H1850,1,0)</f>
        <v/>
      </c>
      <c r="O1850" s="4">
        <f>IF(J1850&lt;=G1850,1,0)</f>
        <v/>
      </c>
      <c r="P1850" s="4">
        <f>MAX(0,I1850-H1850)</f>
        <v/>
      </c>
      <c r="Q1850" s="4">
        <f>MAX(0,J1850-G1850)</f>
        <v/>
      </c>
      <c r="R1850" s="4">
        <f>IF(AND(N1850=1,O1850=1),"On Track",IF(O1850=0,"Customer Delivery Late","Ship Late"))</f>
        <v/>
      </c>
    </row>
    <row r="1851">
      <c r="A1851" s="2" t="inlineStr">
        <is>
          <t>ORD-01850</t>
        </is>
      </c>
      <c r="B1851" s="2" t="inlineStr">
        <is>
          <t>Customer 15</t>
        </is>
      </c>
      <c r="C1851" s="2" t="inlineStr">
        <is>
          <t>Breaker</t>
        </is>
      </c>
      <c r="D1851" s="2" t="inlineStr">
        <is>
          <t>Plant A</t>
        </is>
      </c>
      <c r="E1851" s="2" t="inlineStr">
        <is>
          <t>South</t>
        </is>
      </c>
      <c r="F1851" s="12" t="n">
        <v>46182</v>
      </c>
      <c r="G1851" s="12" t="n">
        <v>46205</v>
      </c>
      <c r="H1851" s="12" t="n">
        <v>46200</v>
      </c>
      <c r="I1851" s="12" t="n">
        <v>46200</v>
      </c>
      <c r="J1851" s="12" t="n">
        <v>46206</v>
      </c>
      <c r="K1851" s="2" t="n">
        <v>386</v>
      </c>
      <c r="L1851" s="2" t="inlineStr">
        <is>
          <t>Air</t>
        </is>
      </c>
      <c r="M1851" s="2" t="inlineStr">
        <is>
          <t>Production Delay</t>
        </is>
      </c>
      <c r="N1851" s="4">
        <f>IF(I1851&lt;=H1851,1,0)</f>
        <v/>
      </c>
      <c r="O1851" s="4">
        <f>IF(J1851&lt;=G1851,1,0)</f>
        <v/>
      </c>
      <c r="P1851" s="4">
        <f>MAX(0,I1851-H1851)</f>
        <v/>
      </c>
      <c r="Q1851" s="4">
        <f>MAX(0,J1851-G1851)</f>
        <v/>
      </c>
      <c r="R1851" s="4">
        <f>IF(AND(N1851=1,O1851=1),"On Track",IF(O1851=0,"Customer Delivery Late","Ship Late"))</f>
        <v/>
      </c>
    </row>
    <row r="1852">
      <c r="A1852" s="2" t="inlineStr">
        <is>
          <t>ORD-01851</t>
        </is>
      </c>
      <c r="B1852" s="2" t="inlineStr">
        <is>
          <t>Customer 01</t>
        </is>
      </c>
      <c r="C1852" s="2" t="inlineStr">
        <is>
          <t>Switchgear</t>
        </is>
      </c>
      <c r="D1852" s="2" t="inlineStr">
        <is>
          <t>Plant C</t>
        </is>
      </c>
      <c r="E1852" s="2" t="inlineStr">
        <is>
          <t>Export</t>
        </is>
      </c>
      <c r="F1852" s="12" t="n">
        <v>46102</v>
      </c>
      <c r="G1852" s="12" t="n">
        <v>46115</v>
      </c>
      <c r="H1852" s="12" t="n">
        <v>46111</v>
      </c>
      <c r="I1852" s="12" t="n">
        <v>46111</v>
      </c>
      <c r="J1852" s="12" t="n">
        <v>46115</v>
      </c>
      <c r="K1852" s="2" t="n">
        <v>273</v>
      </c>
      <c r="L1852" s="2" t="inlineStr">
        <is>
          <t>Road</t>
        </is>
      </c>
      <c r="M1852" s="2" t="inlineStr">
        <is>
          <t>No Delay</t>
        </is>
      </c>
      <c r="N1852" s="4">
        <f>IF(I1852&lt;=H1852,1,0)</f>
        <v/>
      </c>
      <c r="O1852" s="4">
        <f>IF(J1852&lt;=G1852,1,0)</f>
        <v/>
      </c>
      <c r="P1852" s="4">
        <f>MAX(0,I1852-H1852)</f>
        <v/>
      </c>
      <c r="Q1852" s="4">
        <f>MAX(0,J1852-G1852)</f>
        <v/>
      </c>
      <c r="R1852" s="4">
        <f>IF(AND(N1852=1,O1852=1),"On Track",IF(O1852=0,"Customer Delivery Late","Ship Late"))</f>
        <v/>
      </c>
    </row>
    <row r="1853">
      <c r="A1853" s="2" t="inlineStr">
        <is>
          <t>ORD-01852</t>
        </is>
      </c>
      <c r="B1853" s="2" t="inlineStr">
        <is>
          <t>Customer 25</t>
        </is>
      </c>
      <c r="C1853" s="2" t="inlineStr">
        <is>
          <t>Contactor</t>
        </is>
      </c>
      <c r="D1853" s="2" t="inlineStr">
        <is>
          <t>Plant B</t>
        </is>
      </c>
      <c r="E1853" s="2" t="inlineStr">
        <is>
          <t>North</t>
        </is>
      </c>
      <c r="F1853" s="12" t="n">
        <v>46103</v>
      </c>
      <c r="G1853" s="12" t="n">
        <v>46110</v>
      </c>
      <c r="H1853" s="12" t="n">
        <v>46109</v>
      </c>
      <c r="I1853" s="12" t="n">
        <v>46108</v>
      </c>
      <c r="J1853" s="12" t="n">
        <v>46109</v>
      </c>
      <c r="K1853" s="2" t="n">
        <v>1419</v>
      </c>
      <c r="L1853" s="2" t="inlineStr">
        <is>
          <t>Sea</t>
        </is>
      </c>
      <c r="M1853" s="2" t="inlineStr">
        <is>
          <t>No Delay</t>
        </is>
      </c>
      <c r="N1853" s="4">
        <f>IF(I1853&lt;=H1853,1,0)</f>
        <v/>
      </c>
      <c r="O1853" s="4">
        <f>IF(J1853&lt;=G1853,1,0)</f>
        <v/>
      </c>
      <c r="P1853" s="4">
        <f>MAX(0,I1853-H1853)</f>
        <v/>
      </c>
      <c r="Q1853" s="4">
        <f>MAX(0,J1853-G1853)</f>
        <v/>
      </c>
      <c r="R1853" s="4">
        <f>IF(AND(N1853=1,O1853=1),"On Track",IF(O1853=0,"Customer Delivery Late","Ship Late"))</f>
        <v/>
      </c>
    </row>
    <row r="1854">
      <c r="A1854" s="2" t="inlineStr">
        <is>
          <t>ORD-01853</t>
        </is>
      </c>
      <c r="B1854" s="2" t="inlineStr">
        <is>
          <t>Customer 09</t>
        </is>
      </c>
      <c r="C1854" s="2" t="inlineStr">
        <is>
          <t>Drive</t>
        </is>
      </c>
      <c r="D1854" s="2" t="inlineStr">
        <is>
          <t>Plant B</t>
        </is>
      </c>
      <c r="E1854" s="2" t="inlineStr">
        <is>
          <t>Central</t>
        </is>
      </c>
      <c r="F1854" s="12" t="n">
        <v>46114</v>
      </c>
      <c r="G1854" s="12" t="n">
        <v>46121</v>
      </c>
      <c r="H1854" s="12" t="n">
        <v>46117</v>
      </c>
      <c r="I1854" s="12" t="n">
        <v>46117</v>
      </c>
      <c r="J1854" s="12" t="n">
        <v>46122</v>
      </c>
      <c r="K1854" s="2" t="n">
        <v>533</v>
      </c>
      <c r="L1854" s="2" t="inlineStr">
        <is>
          <t>Road</t>
        </is>
      </c>
      <c r="M1854" s="2" t="inlineStr">
        <is>
          <t>Material Shortage</t>
        </is>
      </c>
      <c r="N1854" s="4">
        <f>IF(I1854&lt;=H1854,1,0)</f>
        <v/>
      </c>
      <c r="O1854" s="4">
        <f>IF(J1854&lt;=G1854,1,0)</f>
        <v/>
      </c>
      <c r="P1854" s="4">
        <f>MAX(0,I1854-H1854)</f>
        <v/>
      </c>
      <c r="Q1854" s="4">
        <f>MAX(0,J1854-G1854)</f>
        <v/>
      </c>
      <c r="R1854" s="4">
        <f>IF(AND(N1854=1,O1854=1),"On Track",IF(O1854=0,"Customer Delivery Late","Ship Late"))</f>
        <v/>
      </c>
    </row>
    <row r="1855">
      <c r="A1855" s="2" t="inlineStr">
        <is>
          <t>ORD-01854</t>
        </is>
      </c>
      <c r="B1855" s="2" t="inlineStr">
        <is>
          <t>Customer 24</t>
        </is>
      </c>
      <c r="C1855" s="2" t="inlineStr">
        <is>
          <t>Contactor</t>
        </is>
      </c>
      <c r="D1855" s="2" t="inlineStr">
        <is>
          <t>Plant C</t>
        </is>
      </c>
      <c r="E1855" s="2" t="inlineStr">
        <is>
          <t>North</t>
        </is>
      </c>
      <c r="F1855" s="12" t="n">
        <v>46177</v>
      </c>
      <c r="G1855" s="12" t="n">
        <v>46184</v>
      </c>
      <c r="H1855" s="12" t="n">
        <v>46179</v>
      </c>
      <c r="I1855" s="12" t="n">
        <v>46179</v>
      </c>
      <c r="J1855" s="12" t="n">
        <v>46184</v>
      </c>
      <c r="K1855" s="2" t="n">
        <v>667</v>
      </c>
      <c r="L1855" s="2" t="inlineStr">
        <is>
          <t>Air</t>
        </is>
      </c>
      <c r="M1855" s="2" t="inlineStr">
        <is>
          <t>No Delay</t>
        </is>
      </c>
      <c r="N1855" s="4">
        <f>IF(I1855&lt;=H1855,1,0)</f>
        <v/>
      </c>
      <c r="O1855" s="4">
        <f>IF(J1855&lt;=G1855,1,0)</f>
        <v/>
      </c>
      <c r="P1855" s="4">
        <f>MAX(0,I1855-H1855)</f>
        <v/>
      </c>
      <c r="Q1855" s="4">
        <f>MAX(0,J1855-G1855)</f>
        <v/>
      </c>
      <c r="R1855" s="4">
        <f>IF(AND(N1855=1,O1855=1),"On Track",IF(O1855=0,"Customer Delivery Late","Ship Late"))</f>
        <v/>
      </c>
    </row>
    <row r="1856">
      <c r="A1856" s="2" t="inlineStr">
        <is>
          <t>ORD-01855</t>
        </is>
      </c>
      <c r="B1856" s="2" t="inlineStr">
        <is>
          <t>Customer 30</t>
        </is>
      </c>
      <c r="C1856" s="2" t="inlineStr">
        <is>
          <t>Power Supply</t>
        </is>
      </c>
      <c r="D1856" s="2" t="inlineStr">
        <is>
          <t>Plant A</t>
        </is>
      </c>
      <c r="E1856" s="2" t="inlineStr">
        <is>
          <t>Export</t>
        </is>
      </c>
      <c r="F1856" s="12" t="n">
        <v>46089</v>
      </c>
      <c r="G1856" s="12" t="n">
        <v>46102</v>
      </c>
      <c r="H1856" s="12" t="n">
        <v>46097</v>
      </c>
      <c r="I1856" s="12" t="n">
        <v>46096</v>
      </c>
      <c r="J1856" s="12" t="n">
        <v>46102</v>
      </c>
      <c r="K1856" s="2" t="n">
        <v>978</v>
      </c>
      <c r="L1856" s="2" t="inlineStr">
        <is>
          <t>Road</t>
        </is>
      </c>
      <c r="M1856" s="2" t="inlineStr">
        <is>
          <t>No Delay</t>
        </is>
      </c>
      <c r="N1856" s="4">
        <f>IF(I1856&lt;=H1856,1,0)</f>
        <v/>
      </c>
      <c r="O1856" s="4">
        <f>IF(J1856&lt;=G1856,1,0)</f>
        <v/>
      </c>
      <c r="P1856" s="4">
        <f>MAX(0,I1856-H1856)</f>
        <v/>
      </c>
      <c r="Q1856" s="4">
        <f>MAX(0,J1856-G1856)</f>
        <v/>
      </c>
      <c r="R1856" s="4">
        <f>IF(AND(N1856=1,O1856=1),"On Track",IF(O1856=0,"Customer Delivery Late","Ship Late"))</f>
        <v/>
      </c>
    </row>
    <row r="1857">
      <c r="A1857" s="2" t="inlineStr">
        <is>
          <t>ORD-01856</t>
        </is>
      </c>
      <c r="B1857" s="2" t="inlineStr">
        <is>
          <t>Customer 04</t>
        </is>
      </c>
      <c r="C1857" s="2" t="inlineStr">
        <is>
          <t>Sensor</t>
        </is>
      </c>
      <c r="D1857" s="2" t="inlineStr">
        <is>
          <t>Plant A</t>
        </is>
      </c>
      <c r="E1857" s="2" t="inlineStr">
        <is>
          <t>Central</t>
        </is>
      </c>
      <c r="F1857" s="12" t="n">
        <v>46035</v>
      </c>
      <c r="G1857" s="12" t="n">
        <v>46049</v>
      </c>
      <c r="H1857" s="12" t="n">
        <v>46048</v>
      </c>
      <c r="I1857" s="12" t="n">
        <v>46046</v>
      </c>
      <c r="J1857" s="12" t="n">
        <v>46047</v>
      </c>
      <c r="K1857" s="2" t="n">
        <v>1247</v>
      </c>
      <c r="L1857" s="2" t="inlineStr">
        <is>
          <t>Sea</t>
        </is>
      </c>
      <c r="M1857" s="2" t="inlineStr">
        <is>
          <t>No Delay</t>
        </is>
      </c>
      <c r="N1857" s="4">
        <f>IF(I1857&lt;=H1857,1,0)</f>
        <v/>
      </c>
      <c r="O1857" s="4">
        <f>IF(J1857&lt;=G1857,1,0)</f>
        <v/>
      </c>
      <c r="P1857" s="4">
        <f>MAX(0,I1857-H1857)</f>
        <v/>
      </c>
      <c r="Q1857" s="4">
        <f>MAX(0,J1857-G1857)</f>
        <v/>
      </c>
      <c r="R1857" s="4">
        <f>IF(AND(N1857=1,O1857=1),"On Track",IF(O1857=0,"Customer Delivery Late","Ship Late"))</f>
        <v/>
      </c>
    </row>
    <row r="1858">
      <c r="A1858" s="2" t="inlineStr">
        <is>
          <t>ORD-01857</t>
        </is>
      </c>
      <c r="B1858" s="2" t="inlineStr">
        <is>
          <t>Customer 13</t>
        </is>
      </c>
      <c r="C1858" s="2" t="inlineStr">
        <is>
          <t>Relay</t>
        </is>
      </c>
      <c r="D1858" s="2" t="inlineStr">
        <is>
          <t>Plant C</t>
        </is>
      </c>
      <c r="E1858" s="2" t="inlineStr">
        <is>
          <t>North</t>
        </is>
      </c>
      <c r="F1858" s="12" t="n">
        <v>46162</v>
      </c>
      <c r="G1858" s="12" t="n">
        <v>46171</v>
      </c>
      <c r="H1858" s="12" t="n">
        <v>46169</v>
      </c>
      <c r="I1858" s="12" t="n">
        <v>46169</v>
      </c>
      <c r="J1858" s="12" t="n">
        <v>46171</v>
      </c>
      <c r="K1858" s="2" t="n">
        <v>498</v>
      </c>
      <c r="L1858" s="2" t="inlineStr">
        <is>
          <t>Sea</t>
        </is>
      </c>
      <c r="M1858" s="2" t="inlineStr">
        <is>
          <t>No Delay</t>
        </is>
      </c>
      <c r="N1858" s="4">
        <f>IF(I1858&lt;=H1858,1,0)</f>
        <v/>
      </c>
      <c r="O1858" s="4">
        <f>IF(J1858&lt;=G1858,1,0)</f>
        <v/>
      </c>
      <c r="P1858" s="4">
        <f>MAX(0,I1858-H1858)</f>
        <v/>
      </c>
      <c r="Q1858" s="4">
        <f>MAX(0,J1858-G1858)</f>
        <v/>
      </c>
      <c r="R1858" s="4">
        <f>IF(AND(N1858=1,O1858=1),"On Track",IF(O1858=0,"Customer Delivery Late","Ship Late"))</f>
        <v/>
      </c>
    </row>
    <row r="1859">
      <c r="A1859" s="2" t="inlineStr">
        <is>
          <t>ORD-01858</t>
        </is>
      </c>
      <c r="B1859" s="2" t="inlineStr">
        <is>
          <t>Customer 01</t>
        </is>
      </c>
      <c r="C1859" s="2" t="inlineStr">
        <is>
          <t>Relay</t>
        </is>
      </c>
      <c r="D1859" s="2" t="inlineStr">
        <is>
          <t>Plant B</t>
        </is>
      </c>
      <c r="E1859" s="2" t="inlineStr">
        <is>
          <t>South</t>
        </is>
      </c>
      <c r="F1859" s="12" t="n">
        <v>46118</v>
      </c>
      <c r="G1859" s="12" t="n">
        <v>46140</v>
      </c>
      <c r="H1859" s="12" t="n">
        <v>46135</v>
      </c>
      <c r="I1859" s="12" t="n">
        <v>46134</v>
      </c>
      <c r="J1859" s="12" t="n">
        <v>46139</v>
      </c>
      <c r="K1859" s="2" t="n">
        <v>332</v>
      </c>
      <c r="L1859" s="2" t="inlineStr">
        <is>
          <t>Sea</t>
        </is>
      </c>
      <c r="M1859" s="2" t="inlineStr">
        <is>
          <t>No Delay</t>
        </is>
      </c>
      <c r="N1859" s="4">
        <f>IF(I1859&lt;=H1859,1,0)</f>
        <v/>
      </c>
      <c r="O1859" s="4">
        <f>IF(J1859&lt;=G1859,1,0)</f>
        <v/>
      </c>
      <c r="P1859" s="4">
        <f>MAX(0,I1859-H1859)</f>
        <v/>
      </c>
      <c r="Q1859" s="4">
        <f>MAX(0,J1859-G1859)</f>
        <v/>
      </c>
      <c r="R1859" s="4">
        <f>IF(AND(N1859=1,O1859=1),"On Track",IF(O1859=0,"Customer Delivery Late","Ship Late"))</f>
        <v/>
      </c>
    </row>
    <row r="1860">
      <c r="A1860" s="2" t="inlineStr">
        <is>
          <t>ORD-01859</t>
        </is>
      </c>
      <c r="B1860" s="2" t="inlineStr">
        <is>
          <t>Customer 28</t>
        </is>
      </c>
      <c r="C1860" s="2" t="inlineStr">
        <is>
          <t>PLC</t>
        </is>
      </c>
      <c r="D1860" s="2" t="inlineStr">
        <is>
          <t>Plant C</t>
        </is>
      </c>
      <c r="E1860" s="2" t="inlineStr">
        <is>
          <t>Central</t>
        </is>
      </c>
      <c r="F1860" s="12" t="n">
        <v>46201</v>
      </c>
      <c r="G1860" s="12" t="n">
        <v>46216</v>
      </c>
      <c r="H1860" s="12" t="n">
        <v>46215</v>
      </c>
      <c r="I1860" s="12" t="n">
        <v>46222</v>
      </c>
      <c r="J1860" s="12" t="n">
        <v>46223</v>
      </c>
      <c r="K1860" s="2" t="n">
        <v>711</v>
      </c>
      <c r="L1860" s="2" t="inlineStr">
        <is>
          <t>Sea</t>
        </is>
      </c>
      <c r="M1860" s="2" t="inlineStr">
        <is>
          <t>Production Delay</t>
        </is>
      </c>
      <c r="N1860" s="4">
        <f>IF(I1860&lt;=H1860,1,0)</f>
        <v/>
      </c>
      <c r="O1860" s="4">
        <f>IF(J1860&lt;=G1860,1,0)</f>
        <v/>
      </c>
      <c r="P1860" s="4">
        <f>MAX(0,I1860-H1860)</f>
        <v/>
      </c>
      <c r="Q1860" s="4">
        <f>MAX(0,J1860-G1860)</f>
        <v/>
      </c>
      <c r="R1860" s="4">
        <f>IF(AND(N1860=1,O1860=1),"On Track",IF(O1860=0,"Customer Delivery Late","Ship Late"))</f>
        <v/>
      </c>
    </row>
    <row r="1861">
      <c r="A1861" s="2" t="inlineStr">
        <is>
          <t>ORD-01860</t>
        </is>
      </c>
      <c r="B1861" s="2" t="inlineStr">
        <is>
          <t>Customer 01</t>
        </is>
      </c>
      <c r="C1861" s="2" t="inlineStr">
        <is>
          <t>Breaker</t>
        </is>
      </c>
      <c r="D1861" s="2" t="inlineStr">
        <is>
          <t>Plant B</t>
        </is>
      </c>
      <c r="E1861" s="2" t="inlineStr">
        <is>
          <t>Export</t>
        </is>
      </c>
      <c r="F1861" s="12" t="n">
        <v>46129</v>
      </c>
      <c r="G1861" s="12" t="n">
        <v>46138</v>
      </c>
      <c r="H1861" s="12" t="n">
        <v>46136</v>
      </c>
      <c r="I1861" s="12" t="n">
        <v>46134</v>
      </c>
      <c r="J1861" s="12" t="n">
        <v>46136</v>
      </c>
      <c r="K1861" s="2" t="n">
        <v>97</v>
      </c>
      <c r="L1861" s="2" t="inlineStr">
        <is>
          <t>Sea</t>
        </is>
      </c>
      <c r="M1861" s="2" t="inlineStr">
        <is>
          <t>No Delay</t>
        </is>
      </c>
      <c r="N1861" s="4">
        <f>IF(I1861&lt;=H1861,1,0)</f>
        <v/>
      </c>
      <c r="O1861" s="4">
        <f>IF(J1861&lt;=G1861,1,0)</f>
        <v/>
      </c>
      <c r="P1861" s="4">
        <f>MAX(0,I1861-H1861)</f>
        <v/>
      </c>
      <c r="Q1861" s="4">
        <f>MAX(0,J1861-G1861)</f>
        <v/>
      </c>
      <c r="R1861" s="4">
        <f>IF(AND(N1861=1,O1861=1),"On Track",IF(O1861=0,"Customer Delivery Late","Ship Late"))</f>
        <v/>
      </c>
    </row>
    <row r="1862">
      <c r="A1862" s="2" t="inlineStr">
        <is>
          <t>ORD-01861</t>
        </is>
      </c>
      <c r="B1862" s="2" t="inlineStr">
        <is>
          <t>Customer 04</t>
        </is>
      </c>
      <c r="C1862" s="2" t="inlineStr">
        <is>
          <t>Contactor</t>
        </is>
      </c>
      <c r="D1862" s="2" t="inlineStr">
        <is>
          <t>Plant C</t>
        </is>
      </c>
      <c r="E1862" s="2" t="inlineStr">
        <is>
          <t>South</t>
        </is>
      </c>
      <c r="F1862" s="12" t="n">
        <v>46177</v>
      </c>
      <c r="G1862" s="12" t="n">
        <v>46199</v>
      </c>
      <c r="H1862" s="12" t="n">
        <v>46195</v>
      </c>
      <c r="I1862" s="12" t="n">
        <v>46196</v>
      </c>
      <c r="J1862" s="12" t="n">
        <v>46199</v>
      </c>
      <c r="K1862" s="2" t="n">
        <v>465</v>
      </c>
      <c r="L1862" s="2" t="inlineStr">
        <is>
          <t>Road</t>
        </is>
      </c>
      <c r="M1862" s="2" t="inlineStr">
        <is>
          <t>Customer Change</t>
        </is>
      </c>
      <c r="N1862" s="4">
        <f>IF(I1862&lt;=H1862,1,0)</f>
        <v/>
      </c>
      <c r="O1862" s="4">
        <f>IF(J1862&lt;=G1862,1,0)</f>
        <v/>
      </c>
      <c r="P1862" s="4">
        <f>MAX(0,I1862-H1862)</f>
        <v/>
      </c>
      <c r="Q1862" s="4">
        <f>MAX(0,J1862-G1862)</f>
        <v/>
      </c>
      <c r="R1862" s="4">
        <f>IF(AND(N1862=1,O1862=1),"On Track",IF(O1862=0,"Customer Delivery Late","Ship Late"))</f>
        <v/>
      </c>
    </row>
    <row r="1863">
      <c r="A1863" s="2" t="inlineStr">
        <is>
          <t>ORD-01862</t>
        </is>
      </c>
      <c r="B1863" s="2" t="inlineStr">
        <is>
          <t>Customer 09</t>
        </is>
      </c>
      <c r="C1863" s="2" t="inlineStr">
        <is>
          <t>Drive</t>
        </is>
      </c>
      <c r="D1863" s="2" t="inlineStr">
        <is>
          <t>Plant C</t>
        </is>
      </c>
      <c r="E1863" s="2" t="inlineStr">
        <is>
          <t>North</t>
        </is>
      </c>
      <c r="F1863" s="12" t="n">
        <v>46046</v>
      </c>
      <c r="G1863" s="12" t="n">
        <v>46057</v>
      </c>
      <c r="H1863" s="12" t="n">
        <v>46055</v>
      </c>
      <c r="I1863" s="12" t="n">
        <v>46054</v>
      </c>
      <c r="J1863" s="12" t="n">
        <v>46055</v>
      </c>
      <c r="K1863" s="2" t="n">
        <v>712</v>
      </c>
      <c r="L1863" s="2" t="inlineStr">
        <is>
          <t>Road</t>
        </is>
      </c>
      <c r="M1863" s="2" t="inlineStr">
        <is>
          <t>No Delay</t>
        </is>
      </c>
      <c r="N1863" s="4">
        <f>IF(I1863&lt;=H1863,1,0)</f>
        <v/>
      </c>
      <c r="O1863" s="4">
        <f>IF(J1863&lt;=G1863,1,0)</f>
        <v/>
      </c>
      <c r="P1863" s="4">
        <f>MAX(0,I1863-H1863)</f>
        <v/>
      </c>
      <c r="Q1863" s="4">
        <f>MAX(0,J1863-G1863)</f>
        <v/>
      </c>
      <c r="R1863" s="4">
        <f>IF(AND(N1863=1,O1863=1),"On Track",IF(O1863=0,"Customer Delivery Late","Ship Late"))</f>
        <v/>
      </c>
    </row>
    <row r="1864">
      <c r="A1864" s="2" t="inlineStr">
        <is>
          <t>ORD-01863</t>
        </is>
      </c>
      <c r="B1864" s="2" t="inlineStr">
        <is>
          <t>Customer 15</t>
        </is>
      </c>
      <c r="C1864" s="2" t="inlineStr">
        <is>
          <t>Relay</t>
        </is>
      </c>
      <c r="D1864" s="2" t="inlineStr">
        <is>
          <t>Plant A</t>
        </is>
      </c>
      <c r="E1864" s="2" t="inlineStr">
        <is>
          <t>North</t>
        </is>
      </c>
      <c r="F1864" s="12" t="n">
        <v>46125</v>
      </c>
      <c r="G1864" s="12" t="n">
        <v>46137</v>
      </c>
      <c r="H1864" s="12" t="n">
        <v>46135</v>
      </c>
      <c r="I1864" s="12" t="n">
        <v>46133</v>
      </c>
      <c r="J1864" s="12" t="n">
        <v>46134</v>
      </c>
      <c r="K1864" s="2" t="n">
        <v>652</v>
      </c>
      <c r="L1864" s="2" t="inlineStr">
        <is>
          <t>Road</t>
        </is>
      </c>
      <c r="M1864" s="2" t="inlineStr">
        <is>
          <t>No Delay</t>
        </is>
      </c>
      <c r="N1864" s="4">
        <f>IF(I1864&lt;=H1864,1,0)</f>
        <v/>
      </c>
      <c r="O1864" s="4">
        <f>IF(J1864&lt;=G1864,1,0)</f>
        <v/>
      </c>
      <c r="P1864" s="4">
        <f>MAX(0,I1864-H1864)</f>
        <v/>
      </c>
      <c r="Q1864" s="4">
        <f>MAX(0,J1864-G1864)</f>
        <v/>
      </c>
      <c r="R1864" s="4">
        <f>IF(AND(N1864=1,O1864=1),"On Track",IF(O1864=0,"Customer Delivery Late","Ship Late"))</f>
        <v/>
      </c>
    </row>
    <row r="1865">
      <c r="A1865" s="2" t="inlineStr">
        <is>
          <t>ORD-01864</t>
        </is>
      </c>
      <c r="B1865" s="2" t="inlineStr">
        <is>
          <t>Customer 24</t>
        </is>
      </c>
      <c r="C1865" s="2" t="inlineStr">
        <is>
          <t>Breaker</t>
        </is>
      </c>
      <c r="D1865" s="2" t="inlineStr">
        <is>
          <t>Plant C</t>
        </is>
      </c>
      <c r="E1865" s="2" t="inlineStr">
        <is>
          <t>Central</t>
        </is>
      </c>
      <c r="F1865" s="12" t="n">
        <v>46176</v>
      </c>
      <c r="G1865" s="12" t="n">
        <v>46196</v>
      </c>
      <c r="H1865" s="12" t="n">
        <v>46195</v>
      </c>
      <c r="I1865" s="12" t="n">
        <v>46194</v>
      </c>
      <c r="J1865" s="12" t="n">
        <v>46195</v>
      </c>
      <c r="K1865" s="2" t="n">
        <v>1321</v>
      </c>
      <c r="L1865" s="2" t="inlineStr">
        <is>
          <t>Road</t>
        </is>
      </c>
      <c r="M1865" s="2" t="inlineStr">
        <is>
          <t>No Delay</t>
        </is>
      </c>
      <c r="N1865" s="4">
        <f>IF(I1865&lt;=H1865,1,0)</f>
        <v/>
      </c>
      <c r="O1865" s="4">
        <f>IF(J1865&lt;=G1865,1,0)</f>
        <v/>
      </c>
      <c r="P1865" s="4">
        <f>MAX(0,I1865-H1865)</f>
        <v/>
      </c>
      <c r="Q1865" s="4">
        <f>MAX(0,J1865-G1865)</f>
        <v/>
      </c>
      <c r="R1865" s="4">
        <f>IF(AND(N1865=1,O1865=1),"On Track",IF(O1865=0,"Customer Delivery Late","Ship Late"))</f>
        <v/>
      </c>
    </row>
    <row r="1866">
      <c r="A1866" s="2" t="inlineStr">
        <is>
          <t>ORD-01865</t>
        </is>
      </c>
      <c r="B1866" s="2" t="inlineStr">
        <is>
          <t>Customer 08</t>
        </is>
      </c>
      <c r="C1866" s="2" t="inlineStr">
        <is>
          <t>Sensor</t>
        </is>
      </c>
      <c r="D1866" s="2" t="inlineStr">
        <is>
          <t>Plant B</t>
        </is>
      </c>
      <c r="E1866" s="2" t="inlineStr">
        <is>
          <t>Export</t>
        </is>
      </c>
      <c r="F1866" s="12" t="n">
        <v>46043</v>
      </c>
      <c r="G1866" s="12" t="n">
        <v>46062</v>
      </c>
      <c r="H1866" s="12" t="n">
        <v>46061</v>
      </c>
      <c r="I1866" s="12" t="n">
        <v>46061</v>
      </c>
      <c r="J1866" s="12" t="n">
        <v>46063</v>
      </c>
      <c r="K1866" s="2" t="n">
        <v>803</v>
      </c>
      <c r="L1866" s="2" t="inlineStr">
        <is>
          <t>Air</t>
        </is>
      </c>
      <c r="M1866" s="2" t="inlineStr">
        <is>
          <t>Customer Change</t>
        </is>
      </c>
      <c r="N1866" s="4">
        <f>IF(I1866&lt;=H1866,1,0)</f>
        <v/>
      </c>
      <c r="O1866" s="4">
        <f>IF(J1866&lt;=G1866,1,0)</f>
        <v/>
      </c>
      <c r="P1866" s="4">
        <f>MAX(0,I1866-H1866)</f>
        <v/>
      </c>
      <c r="Q1866" s="4">
        <f>MAX(0,J1866-G1866)</f>
        <v/>
      </c>
      <c r="R1866" s="4">
        <f>IF(AND(N1866=1,O1866=1),"On Track",IF(O1866=0,"Customer Delivery Late","Ship Late"))</f>
        <v/>
      </c>
    </row>
    <row r="1867">
      <c r="A1867" s="2" t="inlineStr">
        <is>
          <t>ORD-01866</t>
        </is>
      </c>
      <c r="B1867" s="2" t="inlineStr">
        <is>
          <t>Customer 01</t>
        </is>
      </c>
      <c r="C1867" s="2" t="inlineStr">
        <is>
          <t>Relay</t>
        </is>
      </c>
      <c r="D1867" s="2" t="inlineStr">
        <is>
          <t>Plant C</t>
        </is>
      </c>
      <c r="E1867" s="2" t="inlineStr">
        <is>
          <t>Export</t>
        </is>
      </c>
      <c r="F1867" s="12" t="n">
        <v>46056</v>
      </c>
      <c r="G1867" s="12" t="n">
        <v>46074</v>
      </c>
      <c r="H1867" s="12" t="n">
        <v>46072</v>
      </c>
      <c r="I1867" s="12" t="n">
        <v>46072</v>
      </c>
      <c r="J1867" s="12" t="n">
        <v>46073</v>
      </c>
      <c r="K1867" s="2" t="n">
        <v>160</v>
      </c>
      <c r="L1867" s="2" t="inlineStr">
        <is>
          <t>Sea</t>
        </is>
      </c>
      <c r="M1867" s="2" t="inlineStr">
        <is>
          <t>No Delay</t>
        </is>
      </c>
      <c r="N1867" s="4">
        <f>IF(I1867&lt;=H1867,1,0)</f>
        <v/>
      </c>
      <c r="O1867" s="4">
        <f>IF(J1867&lt;=G1867,1,0)</f>
        <v/>
      </c>
      <c r="P1867" s="4">
        <f>MAX(0,I1867-H1867)</f>
        <v/>
      </c>
      <c r="Q1867" s="4">
        <f>MAX(0,J1867-G1867)</f>
        <v/>
      </c>
      <c r="R1867" s="4">
        <f>IF(AND(N1867=1,O1867=1),"On Track",IF(O1867=0,"Customer Delivery Late","Ship Late"))</f>
        <v/>
      </c>
    </row>
    <row r="1868">
      <c r="A1868" s="2" t="inlineStr">
        <is>
          <t>ORD-01867</t>
        </is>
      </c>
      <c r="B1868" s="2" t="inlineStr">
        <is>
          <t>Customer 13</t>
        </is>
      </c>
      <c r="C1868" s="2" t="inlineStr">
        <is>
          <t>Power Supply</t>
        </is>
      </c>
      <c r="D1868" s="2" t="inlineStr">
        <is>
          <t>Plant A</t>
        </is>
      </c>
      <c r="E1868" s="2" t="inlineStr">
        <is>
          <t>South</t>
        </is>
      </c>
      <c r="F1868" s="12" t="n">
        <v>46159</v>
      </c>
      <c r="G1868" s="12" t="n">
        <v>46173</v>
      </c>
      <c r="H1868" s="12" t="n">
        <v>46172</v>
      </c>
      <c r="I1868" s="12" t="n">
        <v>46171</v>
      </c>
      <c r="J1868" s="12" t="n">
        <v>46172</v>
      </c>
      <c r="K1868" s="2" t="n">
        <v>116</v>
      </c>
      <c r="L1868" s="2" t="inlineStr">
        <is>
          <t>Air</t>
        </is>
      </c>
      <c r="M1868" s="2" t="inlineStr">
        <is>
          <t>No Delay</t>
        </is>
      </c>
      <c r="N1868" s="4">
        <f>IF(I1868&lt;=H1868,1,0)</f>
        <v/>
      </c>
      <c r="O1868" s="4">
        <f>IF(J1868&lt;=G1868,1,0)</f>
        <v/>
      </c>
      <c r="P1868" s="4">
        <f>MAX(0,I1868-H1868)</f>
        <v/>
      </c>
      <c r="Q1868" s="4">
        <f>MAX(0,J1868-G1868)</f>
        <v/>
      </c>
      <c r="R1868" s="4">
        <f>IF(AND(N1868=1,O1868=1),"On Track",IF(O1868=0,"Customer Delivery Late","Ship Late"))</f>
        <v/>
      </c>
    </row>
    <row r="1869">
      <c r="A1869" s="2" t="inlineStr">
        <is>
          <t>ORD-01868</t>
        </is>
      </c>
      <c r="B1869" s="2" t="inlineStr">
        <is>
          <t>Customer 24</t>
        </is>
      </c>
      <c r="C1869" s="2" t="inlineStr">
        <is>
          <t>Contactor</t>
        </is>
      </c>
      <c r="D1869" s="2" t="inlineStr">
        <is>
          <t>Plant C</t>
        </is>
      </c>
      <c r="E1869" s="2" t="inlineStr">
        <is>
          <t>Export</t>
        </is>
      </c>
      <c r="F1869" s="12" t="n">
        <v>46083</v>
      </c>
      <c r="G1869" s="12" t="n">
        <v>46089</v>
      </c>
      <c r="H1869" s="12" t="n">
        <v>46085</v>
      </c>
      <c r="I1869" s="12" t="n">
        <v>46084</v>
      </c>
      <c r="J1869" s="12" t="n">
        <v>46088</v>
      </c>
      <c r="K1869" s="2" t="n">
        <v>554</v>
      </c>
      <c r="L1869" s="2" t="inlineStr">
        <is>
          <t>Road</t>
        </is>
      </c>
      <c r="M1869" s="2" t="inlineStr">
        <is>
          <t>No Delay</t>
        </is>
      </c>
      <c r="N1869" s="4">
        <f>IF(I1869&lt;=H1869,1,0)</f>
        <v/>
      </c>
      <c r="O1869" s="4">
        <f>IF(J1869&lt;=G1869,1,0)</f>
        <v/>
      </c>
      <c r="P1869" s="4">
        <f>MAX(0,I1869-H1869)</f>
        <v/>
      </c>
      <c r="Q1869" s="4">
        <f>MAX(0,J1869-G1869)</f>
        <v/>
      </c>
      <c r="R1869" s="4">
        <f>IF(AND(N1869=1,O1869=1),"On Track",IF(O1869=0,"Customer Delivery Late","Ship Late"))</f>
        <v/>
      </c>
    </row>
    <row r="1870">
      <c r="A1870" s="2" t="inlineStr">
        <is>
          <t>ORD-01869</t>
        </is>
      </c>
      <c r="B1870" s="2" t="inlineStr">
        <is>
          <t>Customer 06</t>
        </is>
      </c>
      <c r="C1870" s="2" t="inlineStr">
        <is>
          <t>Breaker</t>
        </is>
      </c>
      <c r="D1870" s="2" t="inlineStr">
        <is>
          <t>Plant C</t>
        </is>
      </c>
      <c r="E1870" s="2" t="inlineStr">
        <is>
          <t>Central</t>
        </is>
      </c>
      <c r="F1870" s="12" t="n">
        <v>46182</v>
      </c>
      <c r="G1870" s="12" t="n">
        <v>46204</v>
      </c>
      <c r="H1870" s="12" t="n">
        <v>46199</v>
      </c>
      <c r="I1870" s="12" t="n">
        <v>46197</v>
      </c>
      <c r="J1870" s="12" t="n">
        <v>46203</v>
      </c>
      <c r="K1870" s="2" t="n">
        <v>1318</v>
      </c>
      <c r="L1870" s="2" t="inlineStr">
        <is>
          <t>Road</t>
        </is>
      </c>
      <c r="M1870" s="2" t="inlineStr">
        <is>
          <t>No Delay</t>
        </is>
      </c>
      <c r="N1870" s="4">
        <f>IF(I1870&lt;=H1870,1,0)</f>
        <v/>
      </c>
      <c r="O1870" s="4">
        <f>IF(J1870&lt;=G1870,1,0)</f>
        <v/>
      </c>
      <c r="P1870" s="4">
        <f>MAX(0,I1870-H1870)</f>
        <v/>
      </c>
      <c r="Q1870" s="4">
        <f>MAX(0,J1870-G1870)</f>
        <v/>
      </c>
      <c r="R1870" s="4">
        <f>IF(AND(N1870=1,O1870=1),"On Track",IF(O1870=0,"Customer Delivery Late","Ship Late"))</f>
        <v/>
      </c>
    </row>
    <row r="1871">
      <c r="A1871" s="2" t="inlineStr">
        <is>
          <t>ORD-01870</t>
        </is>
      </c>
      <c r="B1871" s="2" t="inlineStr">
        <is>
          <t>Customer 25</t>
        </is>
      </c>
      <c r="C1871" s="2" t="inlineStr">
        <is>
          <t>Switchgear</t>
        </is>
      </c>
      <c r="D1871" s="2" t="inlineStr">
        <is>
          <t>Plant B</t>
        </is>
      </c>
      <c r="E1871" s="2" t="inlineStr">
        <is>
          <t>Export</t>
        </is>
      </c>
      <c r="F1871" s="12" t="n">
        <v>46059</v>
      </c>
      <c r="G1871" s="12" t="n">
        <v>46075</v>
      </c>
      <c r="H1871" s="12" t="n">
        <v>46073</v>
      </c>
      <c r="I1871" s="12" t="n">
        <v>46072</v>
      </c>
      <c r="J1871" s="12" t="n">
        <v>46074</v>
      </c>
      <c r="K1871" s="2" t="n">
        <v>1435</v>
      </c>
      <c r="L1871" s="2" t="inlineStr">
        <is>
          <t>Sea</t>
        </is>
      </c>
      <c r="M1871" s="2" t="inlineStr">
        <is>
          <t>No Delay</t>
        </is>
      </c>
      <c r="N1871" s="4">
        <f>IF(I1871&lt;=H1871,1,0)</f>
        <v/>
      </c>
      <c r="O1871" s="4">
        <f>IF(J1871&lt;=G1871,1,0)</f>
        <v/>
      </c>
      <c r="P1871" s="4">
        <f>MAX(0,I1871-H1871)</f>
        <v/>
      </c>
      <c r="Q1871" s="4">
        <f>MAX(0,J1871-G1871)</f>
        <v/>
      </c>
      <c r="R1871" s="4">
        <f>IF(AND(N1871=1,O1871=1),"On Track",IF(O1871=0,"Customer Delivery Late","Ship Late"))</f>
        <v/>
      </c>
    </row>
    <row r="1872">
      <c r="A1872" s="2" t="inlineStr">
        <is>
          <t>ORD-01871</t>
        </is>
      </c>
      <c r="B1872" s="2" t="inlineStr">
        <is>
          <t>Customer 23</t>
        </is>
      </c>
      <c r="C1872" s="2" t="inlineStr">
        <is>
          <t>Power Supply</t>
        </is>
      </c>
      <c r="D1872" s="2" t="inlineStr">
        <is>
          <t>Plant A</t>
        </is>
      </c>
      <c r="E1872" s="2" t="inlineStr">
        <is>
          <t>Central</t>
        </is>
      </c>
      <c r="F1872" s="12" t="n">
        <v>46116</v>
      </c>
      <c r="G1872" s="12" t="n">
        <v>46128</v>
      </c>
      <c r="H1872" s="12" t="n">
        <v>46127</v>
      </c>
      <c r="I1872" s="12" t="n">
        <v>46125</v>
      </c>
      <c r="J1872" s="12" t="n">
        <v>46126</v>
      </c>
      <c r="K1872" s="2" t="n">
        <v>959</v>
      </c>
      <c r="L1872" s="2" t="inlineStr">
        <is>
          <t>Air</t>
        </is>
      </c>
      <c r="M1872" s="2" t="inlineStr">
        <is>
          <t>No Delay</t>
        </is>
      </c>
      <c r="N1872" s="4">
        <f>IF(I1872&lt;=H1872,1,0)</f>
        <v/>
      </c>
      <c r="O1872" s="4">
        <f>IF(J1872&lt;=G1872,1,0)</f>
        <v/>
      </c>
      <c r="P1872" s="4">
        <f>MAX(0,I1872-H1872)</f>
        <v/>
      </c>
      <c r="Q1872" s="4">
        <f>MAX(0,J1872-G1872)</f>
        <v/>
      </c>
      <c r="R1872" s="4">
        <f>IF(AND(N1872=1,O1872=1),"On Track",IF(O1872=0,"Customer Delivery Late","Ship Late"))</f>
        <v/>
      </c>
    </row>
    <row r="1873">
      <c r="A1873" s="2" t="inlineStr">
        <is>
          <t>ORD-01872</t>
        </is>
      </c>
      <c r="B1873" s="2" t="inlineStr">
        <is>
          <t>Customer 24</t>
        </is>
      </c>
      <c r="C1873" s="2" t="inlineStr">
        <is>
          <t>Sensor</t>
        </is>
      </c>
      <c r="D1873" s="2" t="inlineStr">
        <is>
          <t>Plant C</t>
        </is>
      </c>
      <c r="E1873" s="2" t="inlineStr">
        <is>
          <t>South</t>
        </is>
      </c>
      <c r="F1873" s="12" t="n">
        <v>46149</v>
      </c>
      <c r="G1873" s="12" t="n">
        <v>46163</v>
      </c>
      <c r="H1873" s="12" t="n">
        <v>46160</v>
      </c>
      <c r="I1873" s="12" t="n">
        <v>46159</v>
      </c>
      <c r="J1873" s="12" t="n">
        <v>46161</v>
      </c>
      <c r="K1873" s="2" t="n">
        <v>684</v>
      </c>
      <c r="L1873" s="2" t="inlineStr">
        <is>
          <t>Road</t>
        </is>
      </c>
      <c r="M1873" s="2" t="inlineStr">
        <is>
          <t>No Delay</t>
        </is>
      </c>
      <c r="N1873" s="4">
        <f>IF(I1873&lt;=H1873,1,0)</f>
        <v/>
      </c>
      <c r="O1873" s="4">
        <f>IF(J1873&lt;=G1873,1,0)</f>
        <v/>
      </c>
      <c r="P1873" s="4">
        <f>MAX(0,I1873-H1873)</f>
        <v/>
      </c>
      <c r="Q1873" s="4">
        <f>MAX(0,J1873-G1873)</f>
        <v/>
      </c>
      <c r="R1873" s="4">
        <f>IF(AND(N1873=1,O1873=1),"On Track",IF(O1873=0,"Customer Delivery Late","Ship Late"))</f>
        <v/>
      </c>
    </row>
    <row r="1874">
      <c r="A1874" s="2" t="inlineStr">
        <is>
          <t>ORD-01873</t>
        </is>
      </c>
      <c r="B1874" s="2" t="inlineStr">
        <is>
          <t>Customer 21</t>
        </is>
      </c>
      <c r="C1874" s="2" t="inlineStr">
        <is>
          <t>Drive</t>
        </is>
      </c>
      <c r="D1874" s="2" t="inlineStr">
        <is>
          <t>Plant C</t>
        </is>
      </c>
      <c r="E1874" s="2" t="inlineStr">
        <is>
          <t>Central</t>
        </is>
      </c>
      <c r="F1874" s="12" t="n">
        <v>46154</v>
      </c>
      <c r="G1874" s="12" t="n">
        <v>46161</v>
      </c>
      <c r="H1874" s="12" t="n">
        <v>46160</v>
      </c>
      <c r="I1874" s="12" t="n">
        <v>46160</v>
      </c>
      <c r="J1874" s="12" t="n">
        <v>46162</v>
      </c>
      <c r="K1874" s="2" t="n">
        <v>590</v>
      </c>
      <c r="L1874" s="2" t="inlineStr">
        <is>
          <t>Air</t>
        </is>
      </c>
      <c r="M1874" s="2" t="inlineStr">
        <is>
          <t>Carrier Delay</t>
        </is>
      </c>
      <c r="N1874" s="4">
        <f>IF(I1874&lt;=H1874,1,0)</f>
        <v/>
      </c>
      <c r="O1874" s="4">
        <f>IF(J1874&lt;=G1874,1,0)</f>
        <v/>
      </c>
      <c r="P1874" s="4">
        <f>MAX(0,I1874-H1874)</f>
        <v/>
      </c>
      <c r="Q1874" s="4">
        <f>MAX(0,J1874-G1874)</f>
        <v/>
      </c>
      <c r="R1874" s="4">
        <f>IF(AND(N1874=1,O1874=1),"On Track",IF(O1874=0,"Customer Delivery Late","Ship Late"))</f>
        <v/>
      </c>
    </row>
    <row r="1875">
      <c r="A1875" s="2" t="inlineStr">
        <is>
          <t>ORD-01874</t>
        </is>
      </c>
      <c r="B1875" s="2" t="inlineStr">
        <is>
          <t>Customer 20</t>
        </is>
      </c>
      <c r="C1875" s="2" t="inlineStr">
        <is>
          <t>Switchgear</t>
        </is>
      </c>
      <c r="D1875" s="2" t="inlineStr">
        <is>
          <t>Plant A</t>
        </is>
      </c>
      <c r="E1875" s="2" t="inlineStr">
        <is>
          <t>South</t>
        </is>
      </c>
      <c r="F1875" s="12" t="n">
        <v>46107</v>
      </c>
      <c r="G1875" s="12" t="n">
        <v>46124</v>
      </c>
      <c r="H1875" s="12" t="n">
        <v>46120</v>
      </c>
      <c r="I1875" s="12" t="n">
        <v>46118</v>
      </c>
      <c r="J1875" s="12" t="n">
        <v>46122</v>
      </c>
      <c r="K1875" s="2" t="n">
        <v>1442</v>
      </c>
      <c r="L1875" s="2" t="inlineStr">
        <is>
          <t>Air</t>
        </is>
      </c>
      <c r="M1875" s="2" t="inlineStr">
        <is>
          <t>No Delay</t>
        </is>
      </c>
      <c r="N1875" s="4">
        <f>IF(I1875&lt;=H1875,1,0)</f>
        <v/>
      </c>
      <c r="O1875" s="4">
        <f>IF(J1875&lt;=G1875,1,0)</f>
        <v/>
      </c>
      <c r="P1875" s="4">
        <f>MAX(0,I1875-H1875)</f>
        <v/>
      </c>
      <c r="Q1875" s="4">
        <f>MAX(0,J1875-G1875)</f>
        <v/>
      </c>
      <c r="R1875" s="4">
        <f>IF(AND(N1875=1,O1875=1),"On Track",IF(O1875=0,"Customer Delivery Late","Ship Late"))</f>
        <v/>
      </c>
    </row>
    <row r="1876">
      <c r="A1876" s="2" t="inlineStr">
        <is>
          <t>ORD-01875</t>
        </is>
      </c>
      <c r="B1876" s="2" t="inlineStr">
        <is>
          <t>Customer 18</t>
        </is>
      </c>
      <c r="C1876" s="2" t="inlineStr">
        <is>
          <t>Power Supply</t>
        </is>
      </c>
      <c r="D1876" s="2" t="inlineStr">
        <is>
          <t>Plant A</t>
        </is>
      </c>
      <c r="E1876" s="2" t="inlineStr">
        <is>
          <t>Export</t>
        </is>
      </c>
      <c r="F1876" s="12" t="n">
        <v>46120</v>
      </c>
      <c r="G1876" s="12" t="n">
        <v>46125</v>
      </c>
      <c r="H1876" s="12" t="n">
        <v>46123</v>
      </c>
      <c r="I1876" s="12" t="n">
        <v>46130</v>
      </c>
      <c r="J1876" s="12" t="n">
        <v>46132</v>
      </c>
      <c r="K1876" s="2" t="n">
        <v>31</v>
      </c>
      <c r="L1876" s="2" t="inlineStr">
        <is>
          <t>Air</t>
        </is>
      </c>
      <c r="M1876" s="2" t="inlineStr">
        <is>
          <t>Carrier Delay</t>
        </is>
      </c>
      <c r="N1876" s="4">
        <f>IF(I1876&lt;=H1876,1,0)</f>
        <v/>
      </c>
      <c r="O1876" s="4">
        <f>IF(J1876&lt;=G1876,1,0)</f>
        <v/>
      </c>
      <c r="P1876" s="4">
        <f>MAX(0,I1876-H1876)</f>
        <v/>
      </c>
      <c r="Q1876" s="4">
        <f>MAX(0,J1876-G1876)</f>
        <v/>
      </c>
      <c r="R1876" s="4">
        <f>IF(AND(N1876=1,O1876=1),"On Track",IF(O1876=0,"Customer Delivery Late","Ship Late"))</f>
        <v/>
      </c>
    </row>
    <row r="1877">
      <c r="A1877" s="2" t="inlineStr">
        <is>
          <t>ORD-01876</t>
        </is>
      </c>
      <c r="B1877" s="2" t="inlineStr">
        <is>
          <t>Customer 26</t>
        </is>
      </c>
      <c r="C1877" s="2" t="inlineStr">
        <is>
          <t>Contactor</t>
        </is>
      </c>
      <c r="D1877" s="2" t="inlineStr">
        <is>
          <t>Plant B</t>
        </is>
      </c>
      <c r="E1877" s="2" t="inlineStr">
        <is>
          <t>South</t>
        </is>
      </c>
      <c r="F1877" s="12" t="n">
        <v>46137</v>
      </c>
      <c r="G1877" s="12" t="n">
        <v>46162</v>
      </c>
      <c r="H1877" s="12" t="n">
        <v>46160</v>
      </c>
      <c r="I1877" s="12" t="n">
        <v>46159</v>
      </c>
      <c r="J1877" s="12" t="n">
        <v>46161</v>
      </c>
      <c r="K1877" s="2" t="n">
        <v>65</v>
      </c>
      <c r="L1877" s="2" t="inlineStr">
        <is>
          <t>Road</t>
        </is>
      </c>
      <c r="M1877" s="2" t="inlineStr">
        <is>
          <t>No Delay</t>
        </is>
      </c>
      <c r="N1877" s="4">
        <f>IF(I1877&lt;=H1877,1,0)</f>
        <v/>
      </c>
      <c r="O1877" s="4">
        <f>IF(J1877&lt;=G1877,1,0)</f>
        <v/>
      </c>
      <c r="P1877" s="4">
        <f>MAX(0,I1877-H1877)</f>
        <v/>
      </c>
      <c r="Q1877" s="4">
        <f>MAX(0,J1877-G1877)</f>
        <v/>
      </c>
      <c r="R1877" s="4">
        <f>IF(AND(N1877=1,O1877=1),"On Track",IF(O1877=0,"Customer Delivery Late","Ship Late"))</f>
        <v/>
      </c>
    </row>
    <row r="1878">
      <c r="A1878" s="2" t="inlineStr">
        <is>
          <t>ORD-01877</t>
        </is>
      </c>
      <c r="B1878" s="2" t="inlineStr">
        <is>
          <t>Customer 04</t>
        </is>
      </c>
      <c r="C1878" s="2" t="inlineStr">
        <is>
          <t>Drive</t>
        </is>
      </c>
      <c r="D1878" s="2" t="inlineStr">
        <is>
          <t>Plant B</t>
        </is>
      </c>
      <c r="E1878" s="2" t="inlineStr">
        <is>
          <t>North</t>
        </is>
      </c>
      <c r="F1878" s="12" t="n">
        <v>46118</v>
      </c>
      <c r="G1878" s="12" t="n">
        <v>46129</v>
      </c>
      <c r="H1878" s="12" t="n">
        <v>46128</v>
      </c>
      <c r="I1878" s="12" t="n">
        <v>46126</v>
      </c>
      <c r="J1878" s="12" t="n">
        <v>46127</v>
      </c>
      <c r="K1878" s="2" t="n">
        <v>720</v>
      </c>
      <c r="L1878" s="2" t="inlineStr">
        <is>
          <t>Sea</t>
        </is>
      </c>
      <c r="M1878" s="2" t="inlineStr">
        <is>
          <t>No Delay</t>
        </is>
      </c>
      <c r="N1878" s="4">
        <f>IF(I1878&lt;=H1878,1,0)</f>
        <v/>
      </c>
      <c r="O1878" s="4">
        <f>IF(J1878&lt;=G1878,1,0)</f>
        <v/>
      </c>
      <c r="P1878" s="4">
        <f>MAX(0,I1878-H1878)</f>
        <v/>
      </c>
      <c r="Q1878" s="4">
        <f>MAX(0,J1878-G1878)</f>
        <v/>
      </c>
      <c r="R1878" s="4">
        <f>IF(AND(N1878=1,O1878=1),"On Track",IF(O1878=0,"Customer Delivery Late","Ship Late"))</f>
        <v/>
      </c>
    </row>
    <row r="1879">
      <c r="A1879" s="2" t="inlineStr">
        <is>
          <t>ORD-01878</t>
        </is>
      </c>
      <c r="B1879" s="2" t="inlineStr">
        <is>
          <t>Customer 08</t>
        </is>
      </c>
      <c r="C1879" s="2" t="inlineStr">
        <is>
          <t>Drive</t>
        </is>
      </c>
      <c r="D1879" s="2" t="inlineStr">
        <is>
          <t>Plant B</t>
        </is>
      </c>
      <c r="E1879" s="2" t="inlineStr">
        <is>
          <t>Export</t>
        </is>
      </c>
      <c r="F1879" s="12" t="n">
        <v>46135</v>
      </c>
      <c r="G1879" s="12" t="n">
        <v>46158</v>
      </c>
      <c r="H1879" s="12" t="n">
        <v>46157</v>
      </c>
      <c r="I1879" s="12" t="n">
        <v>46155</v>
      </c>
      <c r="J1879" s="12" t="n">
        <v>46156</v>
      </c>
      <c r="K1879" s="2" t="n">
        <v>1171</v>
      </c>
      <c r="L1879" s="2" t="inlineStr">
        <is>
          <t>Air</t>
        </is>
      </c>
      <c r="M1879" s="2" t="inlineStr">
        <is>
          <t>No Delay</t>
        </is>
      </c>
      <c r="N1879" s="4">
        <f>IF(I1879&lt;=H1879,1,0)</f>
        <v/>
      </c>
      <c r="O1879" s="4">
        <f>IF(J1879&lt;=G1879,1,0)</f>
        <v/>
      </c>
      <c r="P1879" s="4">
        <f>MAX(0,I1879-H1879)</f>
        <v/>
      </c>
      <c r="Q1879" s="4">
        <f>MAX(0,J1879-G1879)</f>
        <v/>
      </c>
      <c r="R1879" s="4">
        <f>IF(AND(N1879=1,O1879=1),"On Track",IF(O1879=0,"Customer Delivery Late","Ship Late"))</f>
        <v/>
      </c>
    </row>
    <row r="1880">
      <c r="A1880" s="2" t="inlineStr">
        <is>
          <t>ORD-01879</t>
        </is>
      </c>
      <c r="B1880" s="2" t="inlineStr">
        <is>
          <t>Customer 11</t>
        </is>
      </c>
      <c r="C1880" s="2" t="inlineStr">
        <is>
          <t>Switchgear</t>
        </is>
      </c>
      <c r="D1880" s="2" t="inlineStr">
        <is>
          <t>Plant C</t>
        </is>
      </c>
      <c r="E1880" s="2" t="inlineStr">
        <is>
          <t>North</t>
        </is>
      </c>
      <c r="F1880" s="12" t="n">
        <v>46037</v>
      </c>
      <c r="G1880" s="12" t="n">
        <v>46054</v>
      </c>
      <c r="H1880" s="12" t="n">
        <v>46051</v>
      </c>
      <c r="I1880" s="12" t="n">
        <v>46050</v>
      </c>
      <c r="J1880" s="12" t="n">
        <v>46052</v>
      </c>
      <c r="K1880" s="2" t="n">
        <v>663</v>
      </c>
      <c r="L1880" s="2" t="inlineStr">
        <is>
          <t>Sea</t>
        </is>
      </c>
      <c r="M1880" s="2" t="inlineStr">
        <is>
          <t>No Delay</t>
        </is>
      </c>
      <c r="N1880" s="4">
        <f>IF(I1880&lt;=H1880,1,0)</f>
        <v/>
      </c>
      <c r="O1880" s="4">
        <f>IF(J1880&lt;=G1880,1,0)</f>
        <v/>
      </c>
      <c r="P1880" s="4">
        <f>MAX(0,I1880-H1880)</f>
        <v/>
      </c>
      <c r="Q1880" s="4">
        <f>MAX(0,J1880-G1880)</f>
        <v/>
      </c>
      <c r="R1880" s="4">
        <f>IF(AND(N1880=1,O1880=1),"On Track",IF(O1880=0,"Customer Delivery Late","Ship Late"))</f>
        <v/>
      </c>
    </row>
    <row r="1881">
      <c r="A1881" s="2" t="inlineStr">
        <is>
          <t>ORD-01880</t>
        </is>
      </c>
      <c r="B1881" s="2" t="inlineStr">
        <is>
          <t>Customer 30</t>
        </is>
      </c>
      <c r="C1881" s="2" t="inlineStr">
        <is>
          <t>Sensor</t>
        </is>
      </c>
      <c r="D1881" s="2" t="inlineStr">
        <is>
          <t>Plant C</t>
        </is>
      </c>
      <c r="E1881" s="2" t="inlineStr">
        <is>
          <t>Export</t>
        </is>
      </c>
      <c r="F1881" s="12" t="n">
        <v>46140</v>
      </c>
      <c r="G1881" s="12" t="n">
        <v>46148</v>
      </c>
      <c r="H1881" s="12" t="n">
        <v>46143</v>
      </c>
      <c r="I1881" s="12" t="n">
        <v>46141</v>
      </c>
      <c r="J1881" s="12" t="n">
        <v>46146</v>
      </c>
      <c r="K1881" s="2" t="n">
        <v>1199</v>
      </c>
      <c r="L1881" s="2" t="inlineStr">
        <is>
          <t>Road</t>
        </is>
      </c>
      <c r="M1881" s="2" t="inlineStr">
        <is>
          <t>No Delay</t>
        </is>
      </c>
      <c r="N1881" s="4">
        <f>IF(I1881&lt;=H1881,1,0)</f>
        <v/>
      </c>
      <c r="O1881" s="4">
        <f>IF(J1881&lt;=G1881,1,0)</f>
        <v/>
      </c>
      <c r="P1881" s="4">
        <f>MAX(0,I1881-H1881)</f>
        <v/>
      </c>
      <c r="Q1881" s="4">
        <f>MAX(0,J1881-G1881)</f>
        <v/>
      </c>
      <c r="R1881" s="4">
        <f>IF(AND(N1881=1,O1881=1),"On Track",IF(O1881=0,"Customer Delivery Late","Ship Late"))</f>
        <v/>
      </c>
    </row>
    <row r="1882">
      <c r="A1882" s="2" t="inlineStr">
        <is>
          <t>ORD-01881</t>
        </is>
      </c>
      <c r="B1882" s="2" t="inlineStr">
        <is>
          <t>Customer 23</t>
        </is>
      </c>
      <c r="C1882" s="2" t="inlineStr">
        <is>
          <t>Switchgear</t>
        </is>
      </c>
      <c r="D1882" s="2" t="inlineStr">
        <is>
          <t>Plant B</t>
        </is>
      </c>
      <c r="E1882" s="2" t="inlineStr">
        <is>
          <t>Export</t>
        </is>
      </c>
      <c r="F1882" s="12" t="n">
        <v>46132</v>
      </c>
      <c r="G1882" s="12" t="n">
        <v>46147</v>
      </c>
      <c r="H1882" s="12" t="n">
        <v>46143</v>
      </c>
      <c r="I1882" s="12" t="n">
        <v>46143</v>
      </c>
      <c r="J1882" s="12" t="n">
        <v>46147</v>
      </c>
      <c r="K1882" s="2" t="n">
        <v>820</v>
      </c>
      <c r="L1882" s="2" t="inlineStr">
        <is>
          <t>Sea</t>
        </is>
      </c>
      <c r="M1882" s="2" t="inlineStr">
        <is>
          <t>No Delay</t>
        </is>
      </c>
      <c r="N1882" s="4">
        <f>IF(I1882&lt;=H1882,1,0)</f>
        <v/>
      </c>
      <c r="O1882" s="4">
        <f>IF(J1882&lt;=G1882,1,0)</f>
        <v/>
      </c>
      <c r="P1882" s="4">
        <f>MAX(0,I1882-H1882)</f>
        <v/>
      </c>
      <c r="Q1882" s="4">
        <f>MAX(0,J1882-G1882)</f>
        <v/>
      </c>
      <c r="R1882" s="4">
        <f>IF(AND(N1882=1,O1882=1),"On Track",IF(O1882=0,"Customer Delivery Late","Ship Late"))</f>
        <v/>
      </c>
    </row>
    <row r="1883">
      <c r="A1883" s="2" t="inlineStr">
        <is>
          <t>ORD-01882</t>
        </is>
      </c>
      <c r="B1883" s="2" t="inlineStr">
        <is>
          <t>Customer 26</t>
        </is>
      </c>
      <c r="C1883" s="2" t="inlineStr">
        <is>
          <t>Contactor</t>
        </is>
      </c>
      <c r="D1883" s="2" t="inlineStr">
        <is>
          <t>Plant C</t>
        </is>
      </c>
      <c r="E1883" s="2" t="inlineStr">
        <is>
          <t>South</t>
        </is>
      </c>
      <c r="F1883" s="12" t="n">
        <v>46024</v>
      </c>
      <c r="G1883" s="12" t="n">
        <v>46040</v>
      </c>
      <c r="H1883" s="12" t="n">
        <v>46036</v>
      </c>
      <c r="I1883" s="12" t="n">
        <v>46034</v>
      </c>
      <c r="J1883" s="12" t="n">
        <v>46038</v>
      </c>
      <c r="K1883" s="2" t="n">
        <v>510</v>
      </c>
      <c r="L1883" s="2" t="inlineStr">
        <is>
          <t>Road</t>
        </is>
      </c>
      <c r="M1883" s="2" t="inlineStr">
        <is>
          <t>No Delay</t>
        </is>
      </c>
      <c r="N1883" s="4">
        <f>IF(I1883&lt;=H1883,1,0)</f>
        <v/>
      </c>
      <c r="O1883" s="4">
        <f>IF(J1883&lt;=G1883,1,0)</f>
        <v/>
      </c>
      <c r="P1883" s="4">
        <f>MAX(0,I1883-H1883)</f>
        <v/>
      </c>
      <c r="Q1883" s="4">
        <f>MAX(0,J1883-G1883)</f>
        <v/>
      </c>
      <c r="R1883" s="4">
        <f>IF(AND(N1883=1,O1883=1),"On Track",IF(O1883=0,"Customer Delivery Late","Ship Late"))</f>
        <v/>
      </c>
    </row>
    <row r="1884">
      <c r="A1884" s="2" t="inlineStr">
        <is>
          <t>ORD-01883</t>
        </is>
      </c>
      <c r="B1884" s="2" t="inlineStr">
        <is>
          <t>Customer 07</t>
        </is>
      </c>
      <c r="C1884" s="2" t="inlineStr">
        <is>
          <t>PLC</t>
        </is>
      </c>
      <c r="D1884" s="2" t="inlineStr">
        <is>
          <t>Plant A</t>
        </is>
      </c>
      <c r="E1884" s="2" t="inlineStr">
        <is>
          <t>Export</t>
        </is>
      </c>
      <c r="F1884" s="12" t="n">
        <v>46187</v>
      </c>
      <c r="G1884" s="12" t="n">
        <v>46195</v>
      </c>
      <c r="H1884" s="12" t="n">
        <v>46190</v>
      </c>
      <c r="I1884" s="12" t="n">
        <v>46188</v>
      </c>
      <c r="J1884" s="12" t="n">
        <v>46193</v>
      </c>
      <c r="K1884" s="2" t="n">
        <v>445</v>
      </c>
      <c r="L1884" s="2" t="inlineStr">
        <is>
          <t>Sea</t>
        </is>
      </c>
      <c r="M1884" s="2" t="inlineStr">
        <is>
          <t>No Delay</t>
        </is>
      </c>
      <c r="N1884" s="4">
        <f>IF(I1884&lt;=H1884,1,0)</f>
        <v/>
      </c>
      <c r="O1884" s="4">
        <f>IF(J1884&lt;=G1884,1,0)</f>
        <v/>
      </c>
      <c r="P1884" s="4">
        <f>MAX(0,I1884-H1884)</f>
        <v/>
      </c>
      <c r="Q1884" s="4">
        <f>MAX(0,J1884-G1884)</f>
        <v/>
      </c>
      <c r="R1884" s="4">
        <f>IF(AND(N1884=1,O1884=1),"On Track",IF(O1884=0,"Customer Delivery Late","Ship Late"))</f>
        <v/>
      </c>
    </row>
    <row r="1885">
      <c r="A1885" s="2" t="inlineStr">
        <is>
          <t>ORD-01884</t>
        </is>
      </c>
      <c r="B1885" s="2" t="inlineStr">
        <is>
          <t>Customer 30</t>
        </is>
      </c>
      <c r="C1885" s="2" t="inlineStr">
        <is>
          <t>Relay</t>
        </is>
      </c>
      <c r="D1885" s="2" t="inlineStr">
        <is>
          <t>Plant B</t>
        </is>
      </c>
      <c r="E1885" s="2" t="inlineStr">
        <is>
          <t>Central</t>
        </is>
      </c>
      <c r="F1885" s="12" t="n">
        <v>46057</v>
      </c>
      <c r="G1885" s="12" t="n">
        <v>46068</v>
      </c>
      <c r="H1885" s="12" t="n">
        <v>46063</v>
      </c>
      <c r="I1885" s="12" t="n">
        <v>46070</v>
      </c>
      <c r="J1885" s="12" t="n">
        <v>46075</v>
      </c>
      <c r="K1885" s="2" t="n">
        <v>345</v>
      </c>
      <c r="L1885" s="2" t="inlineStr">
        <is>
          <t>Air</t>
        </is>
      </c>
      <c r="M1885" s="2" t="inlineStr">
        <is>
          <t>Capacity Constraint</t>
        </is>
      </c>
      <c r="N1885" s="4">
        <f>IF(I1885&lt;=H1885,1,0)</f>
        <v/>
      </c>
      <c r="O1885" s="4">
        <f>IF(J1885&lt;=G1885,1,0)</f>
        <v/>
      </c>
      <c r="P1885" s="4">
        <f>MAX(0,I1885-H1885)</f>
        <v/>
      </c>
      <c r="Q1885" s="4">
        <f>MAX(0,J1885-G1885)</f>
        <v/>
      </c>
      <c r="R1885" s="4">
        <f>IF(AND(N1885=1,O1885=1),"On Track",IF(O1885=0,"Customer Delivery Late","Ship Late"))</f>
        <v/>
      </c>
    </row>
    <row r="1886">
      <c r="A1886" s="2" t="inlineStr">
        <is>
          <t>ORD-01885</t>
        </is>
      </c>
      <c r="B1886" s="2" t="inlineStr">
        <is>
          <t>Customer 16</t>
        </is>
      </c>
      <c r="C1886" s="2" t="inlineStr">
        <is>
          <t>PLC</t>
        </is>
      </c>
      <c r="D1886" s="2" t="inlineStr">
        <is>
          <t>Plant C</t>
        </is>
      </c>
      <c r="E1886" s="2" t="inlineStr">
        <is>
          <t>Central</t>
        </is>
      </c>
      <c r="F1886" s="12" t="n">
        <v>46140</v>
      </c>
      <c r="G1886" s="12" t="n">
        <v>46157</v>
      </c>
      <c r="H1886" s="12" t="n">
        <v>46152</v>
      </c>
      <c r="I1886" s="12" t="n">
        <v>46152</v>
      </c>
      <c r="J1886" s="12" t="n">
        <v>46157</v>
      </c>
      <c r="K1886" s="2" t="n">
        <v>468</v>
      </c>
      <c r="L1886" s="2" t="inlineStr">
        <is>
          <t>Sea</t>
        </is>
      </c>
      <c r="M1886" s="2" t="inlineStr">
        <is>
          <t>No Delay</t>
        </is>
      </c>
      <c r="N1886" s="4">
        <f>IF(I1886&lt;=H1886,1,0)</f>
        <v/>
      </c>
      <c r="O1886" s="4">
        <f>IF(J1886&lt;=G1886,1,0)</f>
        <v/>
      </c>
      <c r="P1886" s="4">
        <f>MAX(0,I1886-H1886)</f>
        <v/>
      </c>
      <c r="Q1886" s="4">
        <f>MAX(0,J1886-G1886)</f>
        <v/>
      </c>
      <c r="R1886" s="4">
        <f>IF(AND(N1886=1,O1886=1),"On Track",IF(O1886=0,"Customer Delivery Late","Ship Late"))</f>
        <v/>
      </c>
    </row>
    <row r="1887">
      <c r="A1887" s="2" t="inlineStr">
        <is>
          <t>ORD-01886</t>
        </is>
      </c>
      <c r="B1887" s="2" t="inlineStr">
        <is>
          <t>Customer 09</t>
        </is>
      </c>
      <c r="C1887" s="2" t="inlineStr">
        <is>
          <t>Breaker</t>
        </is>
      </c>
      <c r="D1887" s="2" t="inlineStr">
        <is>
          <t>Plant A</t>
        </is>
      </c>
      <c r="E1887" s="2" t="inlineStr">
        <is>
          <t>Export</t>
        </is>
      </c>
      <c r="F1887" s="12" t="n">
        <v>46159</v>
      </c>
      <c r="G1887" s="12" t="n">
        <v>46174</v>
      </c>
      <c r="H1887" s="12" t="n">
        <v>46172</v>
      </c>
      <c r="I1887" s="12" t="n">
        <v>46170</v>
      </c>
      <c r="J1887" s="12" t="n">
        <v>46171</v>
      </c>
      <c r="K1887" s="2" t="n">
        <v>1273</v>
      </c>
      <c r="L1887" s="2" t="inlineStr">
        <is>
          <t>Road</t>
        </is>
      </c>
      <c r="M1887" s="2" t="inlineStr">
        <is>
          <t>No Delay</t>
        </is>
      </c>
      <c r="N1887" s="4">
        <f>IF(I1887&lt;=H1887,1,0)</f>
        <v/>
      </c>
      <c r="O1887" s="4">
        <f>IF(J1887&lt;=G1887,1,0)</f>
        <v/>
      </c>
      <c r="P1887" s="4">
        <f>MAX(0,I1887-H1887)</f>
        <v/>
      </c>
      <c r="Q1887" s="4">
        <f>MAX(0,J1887-G1887)</f>
        <v/>
      </c>
      <c r="R1887" s="4">
        <f>IF(AND(N1887=1,O1887=1),"On Track",IF(O1887=0,"Customer Delivery Late","Ship Late"))</f>
        <v/>
      </c>
    </row>
    <row r="1888">
      <c r="A1888" s="2" t="inlineStr">
        <is>
          <t>ORD-01887</t>
        </is>
      </c>
      <c r="B1888" s="2" t="inlineStr">
        <is>
          <t>Customer 03</t>
        </is>
      </c>
      <c r="C1888" s="2" t="inlineStr">
        <is>
          <t>Relay</t>
        </is>
      </c>
      <c r="D1888" s="2" t="inlineStr">
        <is>
          <t>Plant C</t>
        </is>
      </c>
      <c r="E1888" s="2" t="inlineStr">
        <is>
          <t>North</t>
        </is>
      </c>
      <c r="F1888" s="12" t="n">
        <v>46081</v>
      </c>
      <c r="G1888" s="12" t="n">
        <v>46091</v>
      </c>
      <c r="H1888" s="12" t="n">
        <v>46086</v>
      </c>
      <c r="I1888" s="12" t="n">
        <v>46084</v>
      </c>
      <c r="J1888" s="12" t="n">
        <v>46089</v>
      </c>
      <c r="K1888" s="2" t="n">
        <v>1387</v>
      </c>
      <c r="L1888" s="2" t="inlineStr">
        <is>
          <t>Air</t>
        </is>
      </c>
      <c r="M1888" s="2" t="inlineStr">
        <is>
          <t>No Delay</t>
        </is>
      </c>
      <c r="N1888" s="4">
        <f>IF(I1888&lt;=H1888,1,0)</f>
        <v/>
      </c>
      <c r="O1888" s="4">
        <f>IF(J1888&lt;=G1888,1,0)</f>
        <v/>
      </c>
      <c r="P1888" s="4">
        <f>MAX(0,I1888-H1888)</f>
        <v/>
      </c>
      <c r="Q1888" s="4">
        <f>MAX(0,J1888-G1888)</f>
        <v/>
      </c>
      <c r="R1888" s="4">
        <f>IF(AND(N1888=1,O1888=1),"On Track",IF(O1888=0,"Customer Delivery Late","Ship Late"))</f>
        <v/>
      </c>
    </row>
    <row r="1889">
      <c r="A1889" s="2" t="inlineStr">
        <is>
          <t>ORD-01888</t>
        </is>
      </c>
      <c r="B1889" s="2" t="inlineStr">
        <is>
          <t>Customer 02</t>
        </is>
      </c>
      <c r="C1889" s="2" t="inlineStr">
        <is>
          <t>Switchgear</t>
        </is>
      </c>
      <c r="D1889" s="2" t="inlineStr">
        <is>
          <t>Plant B</t>
        </is>
      </c>
      <c r="E1889" s="2" t="inlineStr">
        <is>
          <t>Export</t>
        </is>
      </c>
      <c r="F1889" s="12" t="n">
        <v>46107</v>
      </c>
      <c r="G1889" s="12" t="n">
        <v>46122</v>
      </c>
      <c r="H1889" s="12" t="n">
        <v>46121</v>
      </c>
      <c r="I1889" s="12" t="n">
        <v>46120</v>
      </c>
      <c r="J1889" s="12" t="n">
        <v>46121</v>
      </c>
      <c r="K1889" s="2" t="n">
        <v>1174</v>
      </c>
      <c r="L1889" s="2" t="inlineStr">
        <is>
          <t>Sea</t>
        </is>
      </c>
      <c r="M1889" s="2" t="inlineStr">
        <is>
          <t>No Delay</t>
        </is>
      </c>
      <c r="N1889" s="4">
        <f>IF(I1889&lt;=H1889,1,0)</f>
        <v/>
      </c>
      <c r="O1889" s="4">
        <f>IF(J1889&lt;=G1889,1,0)</f>
        <v/>
      </c>
      <c r="P1889" s="4">
        <f>MAX(0,I1889-H1889)</f>
        <v/>
      </c>
      <c r="Q1889" s="4">
        <f>MAX(0,J1889-G1889)</f>
        <v/>
      </c>
      <c r="R1889" s="4">
        <f>IF(AND(N1889=1,O1889=1),"On Track",IF(O1889=0,"Customer Delivery Late","Ship Late"))</f>
        <v/>
      </c>
    </row>
    <row r="1890">
      <c r="A1890" s="2" t="inlineStr">
        <is>
          <t>ORD-01889</t>
        </is>
      </c>
      <c r="B1890" s="2" t="inlineStr">
        <is>
          <t>Customer 08</t>
        </is>
      </c>
      <c r="C1890" s="2" t="inlineStr">
        <is>
          <t>PLC</t>
        </is>
      </c>
      <c r="D1890" s="2" t="inlineStr">
        <is>
          <t>Plant C</t>
        </is>
      </c>
      <c r="E1890" s="2" t="inlineStr">
        <is>
          <t>Central</t>
        </is>
      </c>
      <c r="F1890" s="12" t="n">
        <v>46178</v>
      </c>
      <c r="G1890" s="12" t="n">
        <v>46202</v>
      </c>
      <c r="H1890" s="12" t="n">
        <v>46201</v>
      </c>
      <c r="I1890" s="12" t="n">
        <v>46199</v>
      </c>
      <c r="J1890" s="12" t="n">
        <v>46206</v>
      </c>
      <c r="K1890" s="2" t="n">
        <v>387</v>
      </c>
      <c r="L1890" s="2" t="inlineStr">
        <is>
          <t>Air</t>
        </is>
      </c>
      <c r="M1890" s="2" t="inlineStr">
        <is>
          <t>Carrier Delay</t>
        </is>
      </c>
      <c r="N1890" s="4">
        <f>IF(I1890&lt;=H1890,1,0)</f>
        <v/>
      </c>
      <c r="O1890" s="4">
        <f>IF(J1890&lt;=G1890,1,0)</f>
        <v/>
      </c>
      <c r="P1890" s="4">
        <f>MAX(0,I1890-H1890)</f>
        <v/>
      </c>
      <c r="Q1890" s="4">
        <f>MAX(0,J1890-G1890)</f>
        <v/>
      </c>
      <c r="R1890" s="4">
        <f>IF(AND(N1890=1,O1890=1),"On Track",IF(O1890=0,"Customer Delivery Late","Ship Late"))</f>
        <v/>
      </c>
    </row>
    <row r="1891">
      <c r="A1891" s="2" t="inlineStr">
        <is>
          <t>ORD-01890</t>
        </is>
      </c>
      <c r="B1891" s="2" t="inlineStr">
        <is>
          <t>Customer 03</t>
        </is>
      </c>
      <c r="C1891" s="2" t="inlineStr">
        <is>
          <t>Power Supply</t>
        </is>
      </c>
      <c r="D1891" s="2" t="inlineStr">
        <is>
          <t>Plant C</t>
        </is>
      </c>
      <c r="E1891" s="2" t="inlineStr">
        <is>
          <t>North</t>
        </is>
      </c>
      <c r="F1891" s="12" t="n">
        <v>46183</v>
      </c>
      <c r="G1891" s="12" t="n">
        <v>46192</v>
      </c>
      <c r="H1891" s="12" t="n">
        <v>46190</v>
      </c>
      <c r="I1891" s="12" t="n">
        <v>46189</v>
      </c>
      <c r="J1891" s="12" t="n">
        <v>46191</v>
      </c>
      <c r="K1891" s="2" t="n">
        <v>825</v>
      </c>
      <c r="L1891" s="2" t="inlineStr">
        <is>
          <t>Air</t>
        </is>
      </c>
      <c r="M1891" s="2" t="inlineStr">
        <is>
          <t>No Delay</t>
        </is>
      </c>
      <c r="N1891" s="4">
        <f>IF(I1891&lt;=H1891,1,0)</f>
        <v/>
      </c>
      <c r="O1891" s="4">
        <f>IF(J1891&lt;=G1891,1,0)</f>
        <v/>
      </c>
      <c r="P1891" s="4">
        <f>MAX(0,I1891-H1891)</f>
        <v/>
      </c>
      <c r="Q1891" s="4">
        <f>MAX(0,J1891-G1891)</f>
        <v/>
      </c>
      <c r="R1891" s="4">
        <f>IF(AND(N1891=1,O1891=1),"On Track",IF(O1891=0,"Customer Delivery Late","Ship Late"))</f>
        <v/>
      </c>
    </row>
    <row r="1892">
      <c r="A1892" s="2" t="inlineStr">
        <is>
          <t>ORD-01891</t>
        </is>
      </c>
      <c r="B1892" s="2" t="inlineStr">
        <is>
          <t>Customer 02</t>
        </is>
      </c>
      <c r="C1892" s="2" t="inlineStr">
        <is>
          <t>PLC</t>
        </is>
      </c>
      <c r="D1892" s="2" t="inlineStr">
        <is>
          <t>Plant B</t>
        </is>
      </c>
      <c r="E1892" s="2" t="inlineStr">
        <is>
          <t>North</t>
        </is>
      </c>
      <c r="F1892" s="12" t="n">
        <v>46099</v>
      </c>
      <c r="G1892" s="12" t="n">
        <v>46119</v>
      </c>
      <c r="H1892" s="12" t="n">
        <v>46118</v>
      </c>
      <c r="I1892" s="12" t="n">
        <v>46117</v>
      </c>
      <c r="J1892" s="12" t="n">
        <v>46118</v>
      </c>
      <c r="K1892" s="2" t="n">
        <v>696</v>
      </c>
      <c r="L1892" s="2" t="inlineStr">
        <is>
          <t>Sea</t>
        </is>
      </c>
      <c r="M1892" s="2" t="inlineStr">
        <is>
          <t>No Delay</t>
        </is>
      </c>
      <c r="N1892" s="4">
        <f>IF(I1892&lt;=H1892,1,0)</f>
        <v/>
      </c>
      <c r="O1892" s="4">
        <f>IF(J1892&lt;=G1892,1,0)</f>
        <v/>
      </c>
      <c r="P1892" s="4">
        <f>MAX(0,I1892-H1892)</f>
        <v/>
      </c>
      <c r="Q1892" s="4">
        <f>MAX(0,J1892-G1892)</f>
        <v/>
      </c>
      <c r="R1892" s="4">
        <f>IF(AND(N1892=1,O1892=1),"On Track",IF(O1892=0,"Customer Delivery Late","Ship Late"))</f>
        <v/>
      </c>
    </row>
    <row r="1893">
      <c r="A1893" s="2" t="inlineStr">
        <is>
          <t>ORD-01892</t>
        </is>
      </c>
      <c r="B1893" s="2" t="inlineStr">
        <is>
          <t>Customer 27</t>
        </is>
      </c>
      <c r="C1893" s="2" t="inlineStr">
        <is>
          <t>Breaker</t>
        </is>
      </c>
      <c r="D1893" s="2" t="inlineStr">
        <is>
          <t>Plant C</t>
        </is>
      </c>
      <c r="E1893" s="2" t="inlineStr">
        <is>
          <t>Export</t>
        </is>
      </c>
      <c r="F1893" s="12" t="n">
        <v>46103</v>
      </c>
      <c r="G1893" s="12" t="n">
        <v>46113</v>
      </c>
      <c r="H1893" s="12" t="n">
        <v>46108</v>
      </c>
      <c r="I1893" s="12" t="n">
        <v>46107</v>
      </c>
      <c r="J1893" s="12" t="n">
        <v>46112</v>
      </c>
      <c r="K1893" s="2" t="n">
        <v>1460</v>
      </c>
      <c r="L1893" s="2" t="inlineStr">
        <is>
          <t>Air</t>
        </is>
      </c>
      <c r="M1893" s="2" t="inlineStr">
        <is>
          <t>No Delay</t>
        </is>
      </c>
      <c r="N1893" s="4">
        <f>IF(I1893&lt;=H1893,1,0)</f>
        <v/>
      </c>
      <c r="O1893" s="4">
        <f>IF(J1893&lt;=G1893,1,0)</f>
        <v/>
      </c>
      <c r="P1893" s="4">
        <f>MAX(0,I1893-H1893)</f>
        <v/>
      </c>
      <c r="Q1893" s="4">
        <f>MAX(0,J1893-G1893)</f>
        <v/>
      </c>
      <c r="R1893" s="4">
        <f>IF(AND(N1893=1,O1893=1),"On Track",IF(O1893=0,"Customer Delivery Late","Ship Late"))</f>
        <v/>
      </c>
    </row>
    <row r="1894">
      <c r="A1894" s="2" t="inlineStr">
        <is>
          <t>ORD-01893</t>
        </is>
      </c>
      <c r="B1894" s="2" t="inlineStr">
        <is>
          <t>Customer 12</t>
        </is>
      </c>
      <c r="C1894" s="2" t="inlineStr">
        <is>
          <t>Relay</t>
        </is>
      </c>
      <c r="D1894" s="2" t="inlineStr">
        <is>
          <t>Plant B</t>
        </is>
      </c>
      <c r="E1894" s="2" t="inlineStr">
        <is>
          <t>Export</t>
        </is>
      </c>
      <c r="F1894" s="12" t="n">
        <v>46036</v>
      </c>
      <c r="G1894" s="12" t="n">
        <v>46045</v>
      </c>
      <c r="H1894" s="12" t="n">
        <v>46041</v>
      </c>
      <c r="I1894" s="12" t="n">
        <v>46041</v>
      </c>
      <c r="J1894" s="12" t="n">
        <v>46045</v>
      </c>
      <c r="K1894" s="2" t="n">
        <v>870</v>
      </c>
      <c r="L1894" s="2" t="inlineStr">
        <is>
          <t>Road</t>
        </is>
      </c>
      <c r="M1894" s="2" t="inlineStr">
        <is>
          <t>No Delay</t>
        </is>
      </c>
      <c r="N1894" s="4">
        <f>IF(I1894&lt;=H1894,1,0)</f>
        <v/>
      </c>
      <c r="O1894" s="4">
        <f>IF(J1894&lt;=G1894,1,0)</f>
        <v/>
      </c>
      <c r="P1894" s="4">
        <f>MAX(0,I1894-H1894)</f>
        <v/>
      </c>
      <c r="Q1894" s="4">
        <f>MAX(0,J1894-G1894)</f>
        <v/>
      </c>
      <c r="R1894" s="4">
        <f>IF(AND(N1894=1,O1894=1),"On Track",IF(O1894=0,"Customer Delivery Late","Ship Late"))</f>
        <v/>
      </c>
    </row>
    <row r="1895">
      <c r="A1895" s="2" t="inlineStr">
        <is>
          <t>ORD-01894</t>
        </is>
      </c>
      <c r="B1895" s="2" t="inlineStr">
        <is>
          <t>Customer 08</t>
        </is>
      </c>
      <c r="C1895" s="2" t="inlineStr">
        <is>
          <t>Power Supply</t>
        </is>
      </c>
      <c r="D1895" s="2" t="inlineStr">
        <is>
          <t>Plant A</t>
        </is>
      </c>
      <c r="E1895" s="2" t="inlineStr">
        <is>
          <t>South</t>
        </is>
      </c>
      <c r="F1895" s="12" t="n">
        <v>46118</v>
      </c>
      <c r="G1895" s="12" t="n">
        <v>46141</v>
      </c>
      <c r="H1895" s="12" t="n">
        <v>46140</v>
      </c>
      <c r="I1895" s="12" t="n">
        <v>46139</v>
      </c>
      <c r="J1895" s="12" t="n">
        <v>46140</v>
      </c>
      <c r="K1895" s="2" t="n">
        <v>1309</v>
      </c>
      <c r="L1895" s="2" t="inlineStr">
        <is>
          <t>Air</t>
        </is>
      </c>
      <c r="M1895" s="2" t="inlineStr">
        <is>
          <t>No Delay</t>
        </is>
      </c>
      <c r="N1895" s="4">
        <f>IF(I1895&lt;=H1895,1,0)</f>
        <v/>
      </c>
      <c r="O1895" s="4">
        <f>IF(J1895&lt;=G1895,1,0)</f>
        <v/>
      </c>
      <c r="P1895" s="4">
        <f>MAX(0,I1895-H1895)</f>
        <v/>
      </c>
      <c r="Q1895" s="4">
        <f>MAX(0,J1895-G1895)</f>
        <v/>
      </c>
      <c r="R1895" s="4">
        <f>IF(AND(N1895=1,O1895=1),"On Track",IF(O1895=0,"Customer Delivery Late","Ship Late"))</f>
        <v/>
      </c>
    </row>
    <row r="1896">
      <c r="A1896" s="2" t="inlineStr">
        <is>
          <t>ORD-01895</t>
        </is>
      </c>
      <c r="B1896" s="2" t="inlineStr">
        <is>
          <t>Customer 21</t>
        </is>
      </c>
      <c r="C1896" s="2" t="inlineStr">
        <is>
          <t>PLC</t>
        </is>
      </c>
      <c r="D1896" s="2" t="inlineStr">
        <is>
          <t>Plant A</t>
        </is>
      </c>
      <c r="E1896" s="2" t="inlineStr">
        <is>
          <t>Central</t>
        </is>
      </c>
      <c r="F1896" s="12" t="n">
        <v>46090</v>
      </c>
      <c r="G1896" s="12" t="n">
        <v>46108</v>
      </c>
      <c r="H1896" s="12" t="n">
        <v>46107</v>
      </c>
      <c r="I1896" s="12" t="n">
        <v>46106</v>
      </c>
      <c r="J1896" s="12" t="n">
        <v>46107</v>
      </c>
      <c r="K1896" s="2" t="n">
        <v>1212</v>
      </c>
      <c r="L1896" s="2" t="inlineStr">
        <is>
          <t>Sea</t>
        </is>
      </c>
      <c r="M1896" s="2" t="inlineStr">
        <is>
          <t>No Delay</t>
        </is>
      </c>
      <c r="N1896" s="4">
        <f>IF(I1896&lt;=H1896,1,0)</f>
        <v/>
      </c>
      <c r="O1896" s="4">
        <f>IF(J1896&lt;=G1896,1,0)</f>
        <v/>
      </c>
      <c r="P1896" s="4">
        <f>MAX(0,I1896-H1896)</f>
        <v/>
      </c>
      <c r="Q1896" s="4">
        <f>MAX(0,J1896-G1896)</f>
        <v/>
      </c>
      <c r="R1896" s="4">
        <f>IF(AND(N1896=1,O1896=1),"On Track",IF(O1896=0,"Customer Delivery Late","Ship Late"))</f>
        <v/>
      </c>
    </row>
    <row r="1897">
      <c r="A1897" s="2" t="inlineStr">
        <is>
          <t>ORD-01896</t>
        </is>
      </c>
      <c r="B1897" s="2" t="inlineStr">
        <is>
          <t>Customer 20</t>
        </is>
      </c>
      <c r="C1897" s="2" t="inlineStr">
        <is>
          <t>Power Supply</t>
        </is>
      </c>
      <c r="D1897" s="2" t="inlineStr">
        <is>
          <t>Plant A</t>
        </is>
      </c>
      <c r="E1897" s="2" t="inlineStr">
        <is>
          <t>South</t>
        </is>
      </c>
      <c r="F1897" s="12" t="n">
        <v>46169</v>
      </c>
      <c r="G1897" s="12" t="n">
        <v>46189</v>
      </c>
      <c r="H1897" s="12" t="n">
        <v>46184</v>
      </c>
      <c r="I1897" s="12" t="n">
        <v>46184</v>
      </c>
      <c r="J1897" s="12" t="n">
        <v>46190</v>
      </c>
      <c r="K1897" s="2" t="n">
        <v>652</v>
      </c>
      <c r="L1897" s="2" t="inlineStr">
        <is>
          <t>Road</t>
        </is>
      </c>
      <c r="M1897" s="2" t="inlineStr">
        <is>
          <t>Carrier Delay</t>
        </is>
      </c>
      <c r="N1897" s="4">
        <f>IF(I1897&lt;=H1897,1,0)</f>
        <v/>
      </c>
      <c r="O1897" s="4">
        <f>IF(J1897&lt;=G1897,1,0)</f>
        <v/>
      </c>
      <c r="P1897" s="4">
        <f>MAX(0,I1897-H1897)</f>
        <v/>
      </c>
      <c r="Q1897" s="4">
        <f>MAX(0,J1897-G1897)</f>
        <v/>
      </c>
      <c r="R1897" s="4">
        <f>IF(AND(N1897=1,O1897=1),"On Track",IF(O1897=0,"Customer Delivery Late","Ship Late"))</f>
        <v/>
      </c>
    </row>
    <row r="1898">
      <c r="A1898" s="2" t="inlineStr">
        <is>
          <t>ORD-01897</t>
        </is>
      </c>
      <c r="B1898" s="2" t="inlineStr">
        <is>
          <t>Customer 05</t>
        </is>
      </c>
      <c r="C1898" s="2" t="inlineStr">
        <is>
          <t>PLC</t>
        </is>
      </c>
      <c r="D1898" s="2" t="inlineStr">
        <is>
          <t>Plant C</t>
        </is>
      </c>
      <c r="E1898" s="2" t="inlineStr">
        <is>
          <t>South</t>
        </is>
      </c>
      <c r="F1898" s="12" t="n">
        <v>46095</v>
      </c>
      <c r="G1898" s="12" t="n">
        <v>46119</v>
      </c>
      <c r="H1898" s="12" t="n">
        <v>46117</v>
      </c>
      <c r="I1898" s="12" t="n">
        <v>46116</v>
      </c>
      <c r="J1898" s="12" t="n">
        <v>46118</v>
      </c>
      <c r="K1898" s="2" t="n">
        <v>790</v>
      </c>
      <c r="L1898" s="2" t="inlineStr">
        <is>
          <t>Road</t>
        </is>
      </c>
      <c r="M1898" s="2" t="inlineStr">
        <is>
          <t>No Delay</t>
        </is>
      </c>
      <c r="N1898" s="4">
        <f>IF(I1898&lt;=H1898,1,0)</f>
        <v/>
      </c>
      <c r="O1898" s="4">
        <f>IF(J1898&lt;=G1898,1,0)</f>
        <v/>
      </c>
      <c r="P1898" s="4">
        <f>MAX(0,I1898-H1898)</f>
        <v/>
      </c>
      <c r="Q1898" s="4">
        <f>MAX(0,J1898-G1898)</f>
        <v/>
      </c>
      <c r="R1898" s="4">
        <f>IF(AND(N1898=1,O1898=1),"On Track",IF(O1898=0,"Customer Delivery Late","Ship Late"))</f>
        <v/>
      </c>
    </row>
    <row r="1899">
      <c r="A1899" s="2" t="inlineStr">
        <is>
          <t>ORD-01898</t>
        </is>
      </c>
      <c r="B1899" s="2" t="inlineStr">
        <is>
          <t>Customer 10</t>
        </is>
      </c>
      <c r="C1899" s="2" t="inlineStr">
        <is>
          <t>Drive</t>
        </is>
      </c>
      <c r="D1899" s="2" t="inlineStr">
        <is>
          <t>Plant A</t>
        </is>
      </c>
      <c r="E1899" s="2" t="inlineStr">
        <is>
          <t>South</t>
        </is>
      </c>
      <c r="F1899" s="12" t="n">
        <v>46056</v>
      </c>
      <c r="G1899" s="12" t="n">
        <v>46064</v>
      </c>
      <c r="H1899" s="12" t="n">
        <v>46062</v>
      </c>
      <c r="I1899" s="12" t="n">
        <v>46062</v>
      </c>
      <c r="J1899" s="12" t="n">
        <v>46063</v>
      </c>
      <c r="K1899" s="2" t="n">
        <v>43</v>
      </c>
      <c r="L1899" s="2" t="inlineStr">
        <is>
          <t>Road</t>
        </is>
      </c>
      <c r="M1899" s="2" t="inlineStr">
        <is>
          <t>No Delay</t>
        </is>
      </c>
      <c r="N1899" s="4">
        <f>IF(I1899&lt;=H1899,1,0)</f>
        <v/>
      </c>
      <c r="O1899" s="4">
        <f>IF(J1899&lt;=G1899,1,0)</f>
        <v/>
      </c>
      <c r="P1899" s="4">
        <f>MAX(0,I1899-H1899)</f>
        <v/>
      </c>
      <c r="Q1899" s="4">
        <f>MAX(0,J1899-G1899)</f>
        <v/>
      </c>
      <c r="R1899" s="4">
        <f>IF(AND(N1899=1,O1899=1),"On Track",IF(O1899=0,"Customer Delivery Late","Ship Late"))</f>
        <v/>
      </c>
    </row>
    <row r="1900">
      <c r="A1900" s="2" t="inlineStr">
        <is>
          <t>ORD-01899</t>
        </is>
      </c>
      <c r="B1900" s="2" t="inlineStr">
        <is>
          <t>Customer 27</t>
        </is>
      </c>
      <c r="C1900" s="2" t="inlineStr">
        <is>
          <t>Sensor</t>
        </is>
      </c>
      <c r="D1900" s="2" t="inlineStr">
        <is>
          <t>Plant B</t>
        </is>
      </c>
      <c r="E1900" s="2" t="inlineStr">
        <is>
          <t>South</t>
        </is>
      </c>
      <c r="F1900" s="12" t="n">
        <v>46202</v>
      </c>
      <c r="G1900" s="12" t="n">
        <v>46209</v>
      </c>
      <c r="H1900" s="12" t="n">
        <v>46207</v>
      </c>
      <c r="I1900" s="12" t="n">
        <v>46206</v>
      </c>
      <c r="J1900" s="12" t="n">
        <v>46208</v>
      </c>
      <c r="K1900" s="2" t="n">
        <v>363</v>
      </c>
      <c r="L1900" s="2" t="inlineStr">
        <is>
          <t>Sea</t>
        </is>
      </c>
      <c r="M1900" s="2" t="inlineStr">
        <is>
          <t>No Delay</t>
        </is>
      </c>
      <c r="N1900" s="4">
        <f>IF(I1900&lt;=H1900,1,0)</f>
        <v/>
      </c>
      <c r="O1900" s="4">
        <f>IF(J1900&lt;=G1900,1,0)</f>
        <v/>
      </c>
      <c r="P1900" s="4">
        <f>MAX(0,I1900-H1900)</f>
        <v/>
      </c>
      <c r="Q1900" s="4">
        <f>MAX(0,J1900-G1900)</f>
        <v/>
      </c>
      <c r="R1900" s="4">
        <f>IF(AND(N1900=1,O1900=1),"On Track",IF(O1900=0,"Customer Delivery Late","Ship Late"))</f>
        <v/>
      </c>
    </row>
    <row r="1901">
      <c r="A1901" s="2" t="inlineStr">
        <is>
          <t>ORD-01900</t>
        </is>
      </c>
      <c r="B1901" s="2" t="inlineStr">
        <is>
          <t>Customer 25</t>
        </is>
      </c>
      <c r="C1901" s="2" t="inlineStr">
        <is>
          <t>Relay</t>
        </is>
      </c>
      <c r="D1901" s="2" t="inlineStr">
        <is>
          <t>Plant A</t>
        </is>
      </c>
      <c r="E1901" s="2" t="inlineStr">
        <is>
          <t>Central</t>
        </is>
      </c>
      <c r="F1901" s="12" t="n">
        <v>46064</v>
      </c>
      <c r="G1901" s="12" t="n">
        <v>46079</v>
      </c>
      <c r="H1901" s="12" t="n">
        <v>46075</v>
      </c>
      <c r="I1901" s="12" t="n">
        <v>46075</v>
      </c>
      <c r="J1901" s="12" t="n">
        <v>46078</v>
      </c>
      <c r="K1901" s="2" t="n">
        <v>932</v>
      </c>
      <c r="L1901" s="2" t="inlineStr">
        <is>
          <t>Sea</t>
        </is>
      </c>
      <c r="M1901" s="2" t="inlineStr">
        <is>
          <t>No Delay</t>
        </is>
      </c>
      <c r="N1901" s="4">
        <f>IF(I1901&lt;=H1901,1,0)</f>
        <v/>
      </c>
      <c r="O1901" s="4">
        <f>IF(J1901&lt;=G1901,1,0)</f>
        <v/>
      </c>
      <c r="P1901" s="4">
        <f>MAX(0,I1901-H1901)</f>
        <v/>
      </c>
      <c r="Q1901" s="4">
        <f>MAX(0,J1901-G1901)</f>
        <v/>
      </c>
      <c r="R1901" s="4">
        <f>IF(AND(N1901=1,O1901=1),"On Track",IF(O1901=0,"Customer Delivery Late","Ship Late"))</f>
        <v/>
      </c>
    </row>
    <row r="1902">
      <c r="A1902" s="2" t="inlineStr">
        <is>
          <t>ORD-01901</t>
        </is>
      </c>
      <c r="B1902" s="2" t="inlineStr">
        <is>
          <t>Customer 02</t>
        </is>
      </c>
      <c r="C1902" s="2" t="inlineStr">
        <is>
          <t>Power Supply</t>
        </is>
      </c>
      <c r="D1902" s="2" t="inlineStr">
        <is>
          <t>Plant C</t>
        </is>
      </c>
      <c r="E1902" s="2" t="inlineStr">
        <is>
          <t>North</t>
        </is>
      </c>
      <c r="F1902" s="12" t="n">
        <v>46187</v>
      </c>
      <c r="G1902" s="12" t="n">
        <v>46209</v>
      </c>
      <c r="H1902" s="12" t="n">
        <v>46205</v>
      </c>
      <c r="I1902" s="12" t="n">
        <v>46205</v>
      </c>
      <c r="J1902" s="12" t="n">
        <v>46208</v>
      </c>
      <c r="K1902" s="2" t="n">
        <v>419</v>
      </c>
      <c r="L1902" s="2" t="inlineStr">
        <is>
          <t>Sea</t>
        </is>
      </c>
      <c r="M1902" s="2" t="inlineStr">
        <is>
          <t>No Delay</t>
        </is>
      </c>
      <c r="N1902" s="4">
        <f>IF(I1902&lt;=H1902,1,0)</f>
        <v/>
      </c>
      <c r="O1902" s="4">
        <f>IF(J1902&lt;=G1902,1,0)</f>
        <v/>
      </c>
      <c r="P1902" s="4">
        <f>MAX(0,I1902-H1902)</f>
        <v/>
      </c>
      <c r="Q1902" s="4">
        <f>MAX(0,J1902-G1902)</f>
        <v/>
      </c>
      <c r="R1902" s="4">
        <f>IF(AND(N1902=1,O1902=1),"On Track",IF(O1902=0,"Customer Delivery Late","Ship Late"))</f>
        <v/>
      </c>
    </row>
    <row r="1903">
      <c r="A1903" s="2" t="inlineStr">
        <is>
          <t>ORD-01902</t>
        </is>
      </c>
      <c r="B1903" s="2" t="inlineStr">
        <is>
          <t>Customer 22</t>
        </is>
      </c>
      <c r="C1903" s="2" t="inlineStr">
        <is>
          <t>Drive</t>
        </is>
      </c>
      <c r="D1903" s="2" t="inlineStr">
        <is>
          <t>Plant C</t>
        </is>
      </c>
      <c r="E1903" s="2" t="inlineStr">
        <is>
          <t>Export</t>
        </is>
      </c>
      <c r="F1903" s="12" t="n">
        <v>46088</v>
      </c>
      <c r="G1903" s="12" t="n">
        <v>46111</v>
      </c>
      <c r="H1903" s="12" t="n">
        <v>46108</v>
      </c>
      <c r="I1903" s="12" t="n">
        <v>46107</v>
      </c>
      <c r="J1903" s="12" t="n">
        <v>46110</v>
      </c>
      <c r="K1903" s="2" t="n">
        <v>1416</v>
      </c>
      <c r="L1903" s="2" t="inlineStr">
        <is>
          <t>Air</t>
        </is>
      </c>
      <c r="M1903" s="2" t="inlineStr">
        <is>
          <t>No Delay</t>
        </is>
      </c>
      <c r="N1903" s="4">
        <f>IF(I1903&lt;=H1903,1,0)</f>
        <v/>
      </c>
      <c r="O1903" s="4">
        <f>IF(J1903&lt;=G1903,1,0)</f>
        <v/>
      </c>
      <c r="P1903" s="4">
        <f>MAX(0,I1903-H1903)</f>
        <v/>
      </c>
      <c r="Q1903" s="4">
        <f>MAX(0,J1903-G1903)</f>
        <v/>
      </c>
      <c r="R1903" s="4">
        <f>IF(AND(N1903=1,O1903=1),"On Track",IF(O1903=0,"Customer Delivery Late","Ship Late"))</f>
        <v/>
      </c>
    </row>
    <row r="1904">
      <c r="A1904" s="2" t="inlineStr">
        <is>
          <t>ORD-01903</t>
        </is>
      </c>
      <c r="B1904" s="2" t="inlineStr">
        <is>
          <t>Customer 01</t>
        </is>
      </c>
      <c r="C1904" s="2" t="inlineStr">
        <is>
          <t>Switchgear</t>
        </is>
      </c>
      <c r="D1904" s="2" t="inlineStr">
        <is>
          <t>Plant A</t>
        </is>
      </c>
      <c r="E1904" s="2" t="inlineStr">
        <is>
          <t>Central</t>
        </is>
      </c>
      <c r="F1904" s="12" t="n">
        <v>46182</v>
      </c>
      <c r="G1904" s="12" t="n">
        <v>46195</v>
      </c>
      <c r="H1904" s="12" t="n">
        <v>46190</v>
      </c>
      <c r="I1904" s="12" t="n">
        <v>46189</v>
      </c>
      <c r="J1904" s="12" t="n">
        <v>46195</v>
      </c>
      <c r="K1904" s="2" t="n">
        <v>818</v>
      </c>
      <c r="L1904" s="2" t="inlineStr">
        <is>
          <t>Road</t>
        </is>
      </c>
      <c r="M1904" s="2" t="inlineStr">
        <is>
          <t>No Delay</t>
        </is>
      </c>
      <c r="N1904" s="4">
        <f>IF(I1904&lt;=H1904,1,0)</f>
        <v/>
      </c>
      <c r="O1904" s="4">
        <f>IF(J1904&lt;=G1904,1,0)</f>
        <v/>
      </c>
      <c r="P1904" s="4">
        <f>MAX(0,I1904-H1904)</f>
        <v/>
      </c>
      <c r="Q1904" s="4">
        <f>MAX(0,J1904-G1904)</f>
        <v/>
      </c>
      <c r="R1904" s="4">
        <f>IF(AND(N1904=1,O1904=1),"On Track",IF(O1904=0,"Customer Delivery Late","Ship Late"))</f>
        <v/>
      </c>
    </row>
    <row r="1905">
      <c r="A1905" s="2" t="inlineStr">
        <is>
          <t>ORD-01904</t>
        </is>
      </c>
      <c r="B1905" s="2" t="inlineStr">
        <is>
          <t>Customer 05</t>
        </is>
      </c>
      <c r="C1905" s="2" t="inlineStr">
        <is>
          <t>Breaker</t>
        </is>
      </c>
      <c r="D1905" s="2" t="inlineStr">
        <is>
          <t>Plant A</t>
        </is>
      </c>
      <c r="E1905" s="2" t="inlineStr">
        <is>
          <t>Export</t>
        </is>
      </c>
      <c r="F1905" s="12" t="n">
        <v>46035</v>
      </c>
      <c r="G1905" s="12" t="n">
        <v>46057</v>
      </c>
      <c r="H1905" s="12" t="n">
        <v>46056</v>
      </c>
      <c r="I1905" s="12" t="n">
        <v>46054</v>
      </c>
      <c r="J1905" s="12" t="n">
        <v>46055</v>
      </c>
      <c r="K1905" s="2" t="n">
        <v>670</v>
      </c>
      <c r="L1905" s="2" t="inlineStr">
        <is>
          <t>Air</t>
        </is>
      </c>
      <c r="M1905" s="2" t="inlineStr">
        <is>
          <t>No Delay</t>
        </is>
      </c>
      <c r="N1905" s="4">
        <f>IF(I1905&lt;=H1905,1,0)</f>
        <v/>
      </c>
      <c r="O1905" s="4">
        <f>IF(J1905&lt;=G1905,1,0)</f>
        <v/>
      </c>
      <c r="P1905" s="4">
        <f>MAX(0,I1905-H1905)</f>
        <v/>
      </c>
      <c r="Q1905" s="4">
        <f>MAX(0,J1905-G1905)</f>
        <v/>
      </c>
      <c r="R1905" s="4">
        <f>IF(AND(N1905=1,O1905=1),"On Track",IF(O1905=0,"Customer Delivery Late","Ship Late"))</f>
        <v/>
      </c>
    </row>
    <row r="1906">
      <c r="A1906" s="2" t="inlineStr">
        <is>
          <t>ORD-01905</t>
        </is>
      </c>
      <c r="B1906" s="2" t="inlineStr">
        <is>
          <t>Customer 17</t>
        </is>
      </c>
      <c r="C1906" s="2" t="inlineStr">
        <is>
          <t>Power Supply</t>
        </is>
      </c>
      <c r="D1906" s="2" t="inlineStr">
        <is>
          <t>Plant B</t>
        </is>
      </c>
      <c r="E1906" s="2" t="inlineStr">
        <is>
          <t>South</t>
        </is>
      </c>
      <c r="F1906" s="12" t="n">
        <v>46104</v>
      </c>
      <c r="G1906" s="12" t="n">
        <v>46123</v>
      </c>
      <c r="H1906" s="12" t="n">
        <v>46118</v>
      </c>
      <c r="I1906" s="12" t="n">
        <v>46117</v>
      </c>
      <c r="J1906" s="12" t="n">
        <v>46122</v>
      </c>
      <c r="K1906" s="2" t="n">
        <v>744</v>
      </c>
      <c r="L1906" s="2" t="inlineStr">
        <is>
          <t>Air</t>
        </is>
      </c>
      <c r="M1906" s="2" t="inlineStr">
        <is>
          <t>No Delay</t>
        </is>
      </c>
      <c r="N1906" s="4">
        <f>IF(I1906&lt;=H1906,1,0)</f>
        <v/>
      </c>
      <c r="O1906" s="4">
        <f>IF(J1906&lt;=G1906,1,0)</f>
        <v/>
      </c>
      <c r="P1906" s="4">
        <f>MAX(0,I1906-H1906)</f>
        <v/>
      </c>
      <c r="Q1906" s="4">
        <f>MAX(0,J1906-G1906)</f>
        <v/>
      </c>
      <c r="R1906" s="4">
        <f>IF(AND(N1906=1,O1906=1),"On Track",IF(O1906=0,"Customer Delivery Late","Ship Late"))</f>
        <v/>
      </c>
    </row>
    <row r="1907">
      <c r="A1907" s="2" t="inlineStr">
        <is>
          <t>ORD-01906</t>
        </is>
      </c>
      <c r="B1907" s="2" t="inlineStr">
        <is>
          <t>Customer 15</t>
        </is>
      </c>
      <c r="C1907" s="2" t="inlineStr">
        <is>
          <t>Drive</t>
        </is>
      </c>
      <c r="D1907" s="2" t="inlineStr">
        <is>
          <t>Plant C</t>
        </is>
      </c>
      <c r="E1907" s="2" t="inlineStr">
        <is>
          <t>Export</t>
        </is>
      </c>
      <c r="F1907" s="12" t="n">
        <v>46113</v>
      </c>
      <c r="G1907" s="12" t="n">
        <v>46121</v>
      </c>
      <c r="H1907" s="12" t="n">
        <v>46119</v>
      </c>
      <c r="I1907" s="12" t="n">
        <v>46118</v>
      </c>
      <c r="J1907" s="12" t="n">
        <v>46125</v>
      </c>
      <c r="K1907" s="2" t="n">
        <v>1097</v>
      </c>
      <c r="L1907" s="2" t="inlineStr">
        <is>
          <t>Road</t>
        </is>
      </c>
      <c r="M1907" s="2" t="inlineStr">
        <is>
          <t>Capacity Constraint</t>
        </is>
      </c>
      <c r="N1907" s="4">
        <f>IF(I1907&lt;=H1907,1,0)</f>
        <v/>
      </c>
      <c r="O1907" s="4">
        <f>IF(J1907&lt;=G1907,1,0)</f>
        <v/>
      </c>
      <c r="P1907" s="4">
        <f>MAX(0,I1907-H1907)</f>
        <v/>
      </c>
      <c r="Q1907" s="4">
        <f>MAX(0,J1907-G1907)</f>
        <v/>
      </c>
      <c r="R1907" s="4">
        <f>IF(AND(N1907=1,O1907=1),"On Track",IF(O1907=0,"Customer Delivery Late","Ship Late"))</f>
        <v/>
      </c>
    </row>
    <row r="1908">
      <c r="A1908" s="2" t="inlineStr">
        <is>
          <t>ORD-01907</t>
        </is>
      </c>
      <c r="B1908" s="2" t="inlineStr">
        <is>
          <t>Customer 05</t>
        </is>
      </c>
      <c r="C1908" s="2" t="inlineStr">
        <is>
          <t>Relay</t>
        </is>
      </c>
      <c r="D1908" s="2" t="inlineStr">
        <is>
          <t>Plant B</t>
        </is>
      </c>
      <c r="E1908" s="2" t="inlineStr">
        <is>
          <t>South</t>
        </is>
      </c>
      <c r="F1908" s="12" t="n">
        <v>46097</v>
      </c>
      <c r="G1908" s="12" t="n">
        <v>46103</v>
      </c>
      <c r="H1908" s="12" t="n">
        <v>46100</v>
      </c>
      <c r="I1908" s="12" t="n">
        <v>46099</v>
      </c>
      <c r="J1908" s="12" t="n">
        <v>46102</v>
      </c>
      <c r="K1908" s="2" t="n">
        <v>542</v>
      </c>
      <c r="L1908" s="2" t="inlineStr">
        <is>
          <t>Road</t>
        </is>
      </c>
      <c r="M1908" s="2" t="inlineStr">
        <is>
          <t>No Delay</t>
        </is>
      </c>
      <c r="N1908" s="4">
        <f>IF(I1908&lt;=H1908,1,0)</f>
        <v/>
      </c>
      <c r="O1908" s="4">
        <f>IF(J1908&lt;=G1908,1,0)</f>
        <v/>
      </c>
      <c r="P1908" s="4">
        <f>MAX(0,I1908-H1908)</f>
        <v/>
      </c>
      <c r="Q1908" s="4">
        <f>MAX(0,J1908-G1908)</f>
        <v/>
      </c>
      <c r="R1908" s="4">
        <f>IF(AND(N1908=1,O1908=1),"On Track",IF(O1908=0,"Customer Delivery Late","Ship Late"))</f>
        <v/>
      </c>
    </row>
    <row r="1909">
      <c r="A1909" s="2" t="inlineStr">
        <is>
          <t>ORD-01908</t>
        </is>
      </c>
      <c r="B1909" s="2" t="inlineStr">
        <is>
          <t>Customer 27</t>
        </is>
      </c>
      <c r="C1909" s="2" t="inlineStr">
        <is>
          <t>PLC</t>
        </is>
      </c>
      <c r="D1909" s="2" t="inlineStr">
        <is>
          <t>Plant A</t>
        </is>
      </c>
      <c r="E1909" s="2" t="inlineStr">
        <is>
          <t>Export</t>
        </is>
      </c>
      <c r="F1909" s="12" t="n">
        <v>46154</v>
      </c>
      <c r="G1909" s="12" t="n">
        <v>46177</v>
      </c>
      <c r="H1909" s="12" t="n">
        <v>46172</v>
      </c>
      <c r="I1909" s="12" t="n">
        <v>46171</v>
      </c>
      <c r="J1909" s="12" t="n">
        <v>46176</v>
      </c>
      <c r="K1909" s="2" t="n">
        <v>1104</v>
      </c>
      <c r="L1909" s="2" t="inlineStr">
        <is>
          <t>Air</t>
        </is>
      </c>
      <c r="M1909" s="2" t="inlineStr">
        <is>
          <t>No Delay</t>
        </is>
      </c>
      <c r="N1909" s="4">
        <f>IF(I1909&lt;=H1909,1,0)</f>
        <v/>
      </c>
      <c r="O1909" s="4">
        <f>IF(J1909&lt;=G1909,1,0)</f>
        <v/>
      </c>
      <c r="P1909" s="4">
        <f>MAX(0,I1909-H1909)</f>
        <v/>
      </c>
      <c r="Q1909" s="4">
        <f>MAX(0,J1909-G1909)</f>
        <v/>
      </c>
      <c r="R1909" s="4">
        <f>IF(AND(N1909=1,O1909=1),"On Track",IF(O1909=0,"Customer Delivery Late","Ship Late"))</f>
        <v/>
      </c>
    </row>
    <row r="1910">
      <c r="A1910" s="2" t="inlineStr">
        <is>
          <t>ORD-01909</t>
        </is>
      </c>
      <c r="B1910" s="2" t="inlineStr">
        <is>
          <t>Customer 08</t>
        </is>
      </c>
      <c r="C1910" s="2" t="inlineStr">
        <is>
          <t>Power Supply</t>
        </is>
      </c>
      <c r="D1910" s="2" t="inlineStr">
        <is>
          <t>Plant A</t>
        </is>
      </c>
      <c r="E1910" s="2" t="inlineStr">
        <is>
          <t>North</t>
        </is>
      </c>
      <c r="F1910" s="12" t="n">
        <v>46027</v>
      </c>
      <c r="G1910" s="12" t="n">
        <v>46048</v>
      </c>
      <c r="H1910" s="12" t="n">
        <v>46046</v>
      </c>
      <c r="I1910" s="12" t="n">
        <v>46045</v>
      </c>
      <c r="J1910" s="12" t="n">
        <v>46046</v>
      </c>
      <c r="K1910" s="2" t="n">
        <v>1284</v>
      </c>
      <c r="L1910" s="2" t="inlineStr">
        <is>
          <t>Air</t>
        </is>
      </c>
      <c r="M1910" s="2" t="inlineStr">
        <is>
          <t>No Delay</t>
        </is>
      </c>
      <c r="N1910" s="4">
        <f>IF(I1910&lt;=H1910,1,0)</f>
        <v/>
      </c>
      <c r="O1910" s="4">
        <f>IF(J1910&lt;=G1910,1,0)</f>
        <v/>
      </c>
      <c r="P1910" s="4">
        <f>MAX(0,I1910-H1910)</f>
        <v/>
      </c>
      <c r="Q1910" s="4">
        <f>MAX(0,J1910-G1910)</f>
        <v/>
      </c>
      <c r="R1910" s="4">
        <f>IF(AND(N1910=1,O1910=1),"On Track",IF(O1910=0,"Customer Delivery Late","Ship Late"))</f>
        <v/>
      </c>
    </row>
    <row r="1911">
      <c r="A1911" s="2" t="inlineStr">
        <is>
          <t>ORD-01910</t>
        </is>
      </c>
      <c r="B1911" s="2" t="inlineStr">
        <is>
          <t>Customer 23</t>
        </is>
      </c>
      <c r="C1911" s="2" t="inlineStr">
        <is>
          <t>Drive</t>
        </is>
      </c>
      <c r="D1911" s="2" t="inlineStr">
        <is>
          <t>Plant C</t>
        </is>
      </c>
      <c r="E1911" s="2" t="inlineStr">
        <is>
          <t>North</t>
        </is>
      </c>
      <c r="F1911" s="12" t="n">
        <v>46091</v>
      </c>
      <c r="G1911" s="12" t="n">
        <v>46100</v>
      </c>
      <c r="H1911" s="12" t="n">
        <v>46098</v>
      </c>
      <c r="I1911" s="12" t="n">
        <v>46097</v>
      </c>
      <c r="J1911" s="12" t="n">
        <v>46099</v>
      </c>
      <c r="K1911" s="2" t="n">
        <v>1117</v>
      </c>
      <c r="L1911" s="2" t="inlineStr">
        <is>
          <t>Sea</t>
        </is>
      </c>
      <c r="M1911" s="2" t="inlineStr">
        <is>
          <t>No Delay</t>
        </is>
      </c>
      <c r="N1911" s="4">
        <f>IF(I1911&lt;=H1911,1,0)</f>
        <v/>
      </c>
      <c r="O1911" s="4">
        <f>IF(J1911&lt;=G1911,1,0)</f>
        <v/>
      </c>
      <c r="P1911" s="4">
        <f>MAX(0,I1911-H1911)</f>
        <v/>
      </c>
      <c r="Q1911" s="4">
        <f>MAX(0,J1911-G1911)</f>
        <v/>
      </c>
      <c r="R1911" s="4">
        <f>IF(AND(N1911=1,O1911=1),"On Track",IF(O1911=0,"Customer Delivery Late","Ship Late"))</f>
        <v/>
      </c>
    </row>
    <row r="1912">
      <c r="A1912" s="2" t="inlineStr">
        <is>
          <t>ORD-01911</t>
        </is>
      </c>
      <c r="B1912" s="2" t="inlineStr">
        <is>
          <t>Customer 01</t>
        </is>
      </c>
      <c r="C1912" s="2" t="inlineStr">
        <is>
          <t>Power Supply</t>
        </is>
      </c>
      <c r="D1912" s="2" t="inlineStr">
        <is>
          <t>Plant C</t>
        </is>
      </c>
      <c r="E1912" s="2" t="inlineStr">
        <is>
          <t>North</t>
        </is>
      </c>
      <c r="F1912" s="12" t="n">
        <v>46159</v>
      </c>
      <c r="G1912" s="12" t="n">
        <v>46171</v>
      </c>
      <c r="H1912" s="12" t="n">
        <v>46170</v>
      </c>
      <c r="I1912" s="12" t="n">
        <v>46175</v>
      </c>
      <c r="J1912" s="12" t="n">
        <v>46176</v>
      </c>
      <c r="K1912" s="2" t="n">
        <v>1253</v>
      </c>
      <c r="L1912" s="2" t="inlineStr">
        <is>
          <t>Air</t>
        </is>
      </c>
      <c r="M1912" s="2" t="inlineStr">
        <is>
          <t>Capacity Constraint</t>
        </is>
      </c>
      <c r="N1912" s="4">
        <f>IF(I1912&lt;=H1912,1,0)</f>
        <v/>
      </c>
      <c r="O1912" s="4">
        <f>IF(J1912&lt;=G1912,1,0)</f>
        <v/>
      </c>
      <c r="P1912" s="4">
        <f>MAX(0,I1912-H1912)</f>
        <v/>
      </c>
      <c r="Q1912" s="4">
        <f>MAX(0,J1912-G1912)</f>
        <v/>
      </c>
      <c r="R1912" s="4">
        <f>IF(AND(N1912=1,O1912=1),"On Track",IF(O1912=0,"Customer Delivery Late","Ship Late"))</f>
        <v/>
      </c>
    </row>
    <row r="1913">
      <c r="A1913" s="2" t="inlineStr">
        <is>
          <t>ORD-01912</t>
        </is>
      </c>
      <c r="B1913" s="2" t="inlineStr">
        <is>
          <t>Customer 18</t>
        </is>
      </c>
      <c r="C1913" s="2" t="inlineStr">
        <is>
          <t>Sensor</t>
        </is>
      </c>
      <c r="D1913" s="2" t="inlineStr">
        <is>
          <t>Plant A</t>
        </is>
      </c>
      <c r="E1913" s="2" t="inlineStr">
        <is>
          <t>Central</t>
        </is>
      </c>
      <c r="F1913" s="12" t="n">
        <v>46175</v>
      </c>
      <c r="G1913" s="12" t="n">
        <v>46195</v>
      </c>
      <c r="H1913" s="12" t="n">
        <v>46190</v>
      </c>
      <c r="I1913" s="12" t="n">
        <v>46188</v>
      </c>
      <c r="J1913" s="12" t="n">
        <v>46193</v>
      </c>
      <c r="K1913" s="2" t="n">
        <v>752</v>
      </c>
      <c r="L1913" s="2" t="inlineStr">
        <is>
          <t>Air</t>
        </is>
      </c>
      <c r="M1913" s="2" t="inlineStr">
        <is>
          <t>No Delay</t>
        </is>
      </c>
      <c r="N1913" s="4">
        <f>IF(I1913&lt;=H1913,1,0)</f>
        <v/>
      </c>
      <c r="O1913" s="4">
        <f>IF(J1913&lt;=G1913,1,0)</f>
        <v/>
      </c>
      <c r="P1913" s="4">
        <f>MAX(0,I1913-H1913)</f>
        <v/>
      </c>
      <c r="Q1913" s="4">
        <f>MAX(0,J1913-G1913)</f>
        <v/>
      </c>
      <c r="R1913" s="4">
        <f>IF(AND(N1913=1,O1913=1),"On Track",IF(O1913=0,"Customer Delivery Late","Ship Late"))</f>
        <v/>
      </c>
    </row>
    <row r="1914">
      <c r="A1914" s="2" t="inlineStr">
        <is>
          <t>ORD-01913</t>
        </is>
      </c>
      <c r="B1914" s="2" t="inlineStr">
        <is>
          <t>Customer 25</t>
        </is>
      </c>
      <c r="C1914" s="2" t="inlineStr">
        <is>
          <t>Power Supply</t>
        </is>
      </c>
      <c r="D1914" s="2" t="inlineStr">
        <is>
          <t>Plant C</t>
        </is>
      </c>
      <c r="E1914" s="2" t="inlineStr">
        <is>
          <t>Export</t>
        </is>
      </c>
      <c r="F1914" s="12" t="n">
        <v>46179</v>
      </c>
      <c r="G1914" s="12" t="n">
        <v>46192</v>
      </c>
      <c r="H1914" s="12" t="n">
        <v>46187</v>
      </c>
      <c r="I1914" s="12" t="n">
        <v>46186</v>
      </c>
      <c r="J1914" s="12" t="n">
        <v>46191</v>
      </c>
      <c r="K1914" s="2" t="n">
        <v>622</v>
      </c>
      <c r="L1914" s="2" t="inlineStr">
        <is>
          <t>Sea</t>
        </is>
      </c>
      <c r="M1914" s="2" t="inlineStr">
        <is>
          <t>No Delay</t>
        </is>
      </c>
      <c r="N1914" s="4">
        <f>IF(I1914&lt;=H1914,1,0)</f>
        <v/>
      </c>
      <c r="O1914" s="4">
        <f>IF(J1914&lt;=G1914,1,0)</f>
        <v/>
      </c>
      <c r="P1914" s="4">
        <f>MAX(0,I1914-H1914)</f>
        <v/>
      </c>
      <c r="Q1914" s="4">
        <f>MAX(0,J1914-G1914)</f>
        <v/>
      </c>
      <c r="R1914" s="4">
        <f>IF(AND(N1914=1,O1914=1),"On Track",IF(O1914=0,"Customer Delivery Late","Ship Late"))</f>
        <v/>
      </c>
    </row>
    <row r="1915">
      <c r="A1915" s="2" t="inlineStr">
        <is>
          <t>ORD-01914</t>
        </is>
      </c>
      <c r="B1915" s="2" t="inlineStr">
        <is>
          <t>Customer 29</t>
        </is>
      </c>
      <c r="C1915" s="2" t="inlineStr">
        <is>
          <t>Drive</t>
        </is>
      </c>
      <c r="D1915" s="2" t="inlineStr">
        <is>
          <t>Plant C</t>
        </is>
      </c>
      <c r="E1915" s="2" t="inlineStr">
        <is>
          <t>North</t>
        </is>
      </c>
      <c r="F1915" s="12" t="n">
        <v>46026</v>
      </c>
      <c r="G1915" s="12" t="n">
        <v>46049</v>
      </c>
      <c r="H1915" s="12" t="n">
        <v>46046</v>
      </c>
      <c r="I1915" s="12" t="n">
        <v>46046</v>
      </c>
      <c r="J1915" s="12" t="n">
        <v>46050</v>
      </c>
      <c r="K1915" s="2" t="n">
        <v>297</v>
      </c>
      <c r="L1915" s="2" t="inlineStr">
        <is>
          <t>Sea</t>
        </is>
      </c>
      <c r="M1915" s="2" t="inlineStr">
        <is>
          <t>Material Shortage</t>
        </is>
      </c>
      <c r="N1915" s="4">
        <f>IF(I1915&lt;=H1915,1,0)</f>
        <v/>
      </c>
      <c r="O1915" s="4">
        <f>IF(J1915&lt;=G1915,1,0)</f>
        <v/>
      </c>
      <c r="P1915" s="4">
        <f>MAX(0,I1915-H1915)</f>
        <v/>
      </c>
      <c r="Q1915" s="4">
        <f>MAX(0,J1915-G1915)</f>
        <v/>
      </c>
      <c r="R1915" s="4">
        <f>IF(AND(N1915=1,O1915=1),"On Track",IF(O1915=0,"Customer Delivery Late","Ship Late"))</f>
        <v/>
      </c>
    </row>
    <row r="1916">
      <c r="A1916" s="2" t="inlineStr">
        <is>
          <t>ORD-01915</t>
        </is>
      </c>
      <c r="B1916" s="2" t="inlineStr">
        <is>
          <t>Customer 26</t>
        </is>
      </c>
      <c r="C1916" s="2" t="inlineStr">
        <is>
          <t>Breaker</t>
        </is>
      </c>
      <c r="D1916" s="2" t="inlineStr">
        <is>
          <t>Plant A</t>
        </is>
      </c>
      <c r="E1916" s="2" t="inlineStr">
        <is>
          <t>North</t>
        </is>
      </c>
      <c r="F1916" s="12" t="n">
        <v>46133</v>
      </c>
      <c r="G1916" s="12" t="n">
        <v>46138</v>
      </c>
      <c r="H1916" s="12" t="n">
        <v>46136</v>
      </c>
      <c r="I1916" s="12" t="n">
        <v>46135</v>
      </c>
      <c r="J1916" s="12" t="n">
        <v>46137</v>
      </c>
      <c r="K1916" s="2" t="n">
        <v>734</v>
      </c>
      <c r="L1916" s="2" t="inlineStr">
        <is>
          <t>Sea</t>
        </is>
      </c>
      <c r="M1916" s="2" t="inlineStr">
        <is>
          <t>No Delay</t>
        </is>
      </c>
      <c r="N1916" s="4">
        <f>IF(I1916&lt;=H1916,1,0)</f>
        <v/>
      </c>
      <c r="O1916" s="4">
        <f>IF(J1916&lt;=G1916,1,0)</f>
        <v/>
      </c>
      <c r="P1916" s="4">
        <f>MAX(0,I1916-H1916)</f>
        <v/>
      </c>
      <c r="Q1916" s="4">
        <f>MAX(0,J1916-G1916)</f>
        <v/>
      </c>
      <c r="R1916" s="4">
        <f>IF(AND(N1916=1,O1916=1),"On Track",IF(O1916=0,"Customer Delivery Late","Ship Late"))</f>
        <v/>
      </c>
    </row>
    <row r="1917">
      <c r="A1917" s="2" t="inlineStr">
        <is>
          <t>ORD-01916</t>
        </is>
      </c>
      <c r="B1917" s="2" t="inlineStr">
        <is>
          <t>Customer 10</t>
        </is>
      </c>
      <c r="C1917" s="2" t="inlineStr">
        <is>
          <t>Relay</t>
        </is>
      </c>
      <c r="D1917" s="2" t="inlineStr">
        <is>
          <t>Plant A</t>
        </is>
      </c>
      <c r="E1917" s="2" t="inlineStr">
        <is>
          <t>Central</t>
        </is>
      </c>
      <c r="F1917" s="12" t="n">
        <v>46176</v>
      </c>
      <c r="G1917" s="12" t="n">
        <v>46185</v>
      </c>
      <c r="H1917" s="12" t="n">
        <v>46182</v>
      </c>
      <c r="I1917" s="12" t="n">
        <v>46182</v>
      </c>
      <c r="J1917" s="12" t="n">
        <v>46185</v>
      </c>
      <c r="K1917" s="2" t="n">
        <v>207</v>
      </c>
      <c r="L1917" s="2" t="inlineStr">
        <is>
          <t>Sea</t>
        </is>
      </c>
      <c r="M1917" s="2" t="inlineStr">
        <is>
          <t>No Delay</t>
        </is>
      </c>
      <c r="N1917" s="4">
        <f>IF(I1917&lt;=H1917,1,0)</f>
        <v/>
      </c>
      <c r="O1917" s="4">
        <f>IF(J1917&lt;=G1917,1,0)</f>
        <v/>
      </c>
      <c r="P1917" s="4">
        <f>MAX(0,I1917-H1917)</f>
        <v/>
      </c>
      <c r="Q1917" s="4">
        <f>MAX(0,J1917-G1917)</f>
        <v/>
      </c>
      <c r="R1917" s="4">
        <f>IF(AND(N1917=1,O1917=1),"On Track",IF(O1917=0,"Customer Delivery Late","Ship Late"))</f>
        <v/>
      </c>
    </row>
    <row r="1918">
      <c r="A1918" s="2" t="inlineStr">
        <is>
          <t>ORD-01917</t>
        </is>
      </c>
      <c r="B1918" s="2" t="inlineStr">
        <is>
          <t>Customer 04</t>
        </is>
      </c>
      <c r="C1918" s="2" t="inlineStr">
        <is>
          <t>Sensor</t>
        </is>
      </c>
      <c r="D1918" s="2" t="inlineStr">
        <is>
          <t>Plant A</t>
        </is>
      </c>
      <c r="E1918" s="2" t="inlineStr">
        <is>
          <t>Export</t>
        </is>
      </c>
      <c r="F1918" s="12" t="n">
        <v>46135</v>
      </c>
      <c r="G1918" s="12" t="n">
        <v>46154</v>
      </c>
      <c r="H1918" s="12" t="n">
        <v>46150</v>
      </c>
      <c r="I1918" s="12" t="n">
        <v>46149</v>
      </c>
      <c r="J1918" s="12" t="n">
        <v>46153</v>
      </c>
      <c r="K1918" s="2" t="n">
        <v>557</v>
      </c>
      <c r="L1918" s="2" t="inlineStr">
        <is>
          <t>Sea</t>
        </is>
      </c>
      <c r="M1918" s="2" t="inlineStr">
        <is>
          <t>No Delay</t>
        </is>
      </c>
      <c r="N1918" s="4">
        <f>IF(I1918&lt;=H1918,1,0)</f>
        <v/>
      </c>
      <c r="O1918" s="4">
        <f>IF(J1918&lt;=G1918,1,0)</f>
        <v/>
      </c>
      <c r="P1918" s="4">
        <f>MAX(0,I1918-H1918)</f>
        <v/>
      </c>
      <c r="Q1918" s="4">
        <f>MAX(0,J1918-G1918)</f>
        <v/>
      </c>
      <c r="R1918" s="4">
        <f>IF(AND(N1918=1,O1918=1),"On Track",IF(O1918=0,"Customer Delivery Late","Ship Late"))</f>
        <v/>
      </c>
    </row>
    <row r="1919">
      <c r="A1919" s="2" t="inlineStr">
        <is>
          <t>ORD-01918</t>
        </is>
      </c>
      <c r="B1919" s="2" t="inlineStr">
        <is>
          <t>Customer 17</t>
        </is>
      </c>
      <c r="C1919" s="2" t="inlineStr">
        <is>
          <t>Power Supply</t>
        </is>
      </c>
      <c r="D1919" s="2" t="inlineStr">
        <is>
          <t>Plant C</t>
        </is>
      </c>
      <c r="E1919" s="2" t="inlineStr">
        <is>
          <t>South</t>
        </is>
      </c>
      <c r="F1919" s="12" t="n">
        <v>46156</v>
      </c>
      <c r="G1919" s="12" t="n">
        <v>46166</v>
      </c>
      <c r="H1919" s="12" t="n">
        <v>46164</v>
      </c>
      <c r="I1919" s="12" t="n">
        <v>46164</v>
      </c>
      <c r="J1919" s="12" t="n">
        <v>46167</v>
      </c>
      <c r="K1919" s="2" t="n">
        <v>227</v>
      </c>
      <c r="L1919" s="2" t="inlineStr">
        <is>
          <t>Sea</t>
        </is>
      </c>
      <c r="M1919" s="2" t="inlineStr">
        <is>
          <t>Customer Change</t>
        </is>
      </c>
      <c r="N1919" s="4">
        <f>IF(I1919&lt;=H1919,1,0)</f>
        <v/>
      </c>
      <c r="O1919" s="4">
        <f>IF(J1919&lt;=G1919,1,0)</f>
        <v/>
      </c>
      <c r="P1919" s="4">
        <f>MAX(0,I1919-H1919)</f>
        <v/>
      </c>
      <c r="Q1919" s="4">
        <f>MAX(0,J1919-G1919)</f>
        <v/>
      </c>
      <c r="R1919" s="4">
        <f>IF(AND(N1919=1,O1919=1),"On Track",IF(O1919=0,"Customer Delivery Late","Ship Late"))</f>
        <v/>
      </c>
    </row>
    <row r="1920">
      <c r="A1920" s="2" t="inlineStr">
        <is>
          <t>ORD-01919</t>
        </is>
      </c>
      <c r="B1920" s="2" t="inlineStr">
        <is>
          <t>Customer 21</t>
        </is>
      </c>
      <c r="C1920" s="2" t="inlineStr">
        <is>
          <t>Drive</t>
        </is>
      </c>
      <c r="D1920" s="2" t="inlineStr">
        <is>
          <t>Plant C</t>
        </is>
      </c>
      <c r="E1920" s="2" t="inlineStr">
        <is>
          <t>Export</t>
        </is>
      </c>
      <c r="F1920" s="12" t="n">
        <v>46130</v>
      </c>
      <c r="G1920" s="12" t="n">
        <v>46140</v>
      </c>
      <c r="H1920" s="12" t="n">
        <v>46138</v>
      </c>
      <c r="I1920" s="12" t="n">
        <v>46136</v>
      </c>
      <c r="J1920" s="12" t="n">
        <v>46138</v>
      </c>
      <c r="K1920" s="2" t="n">
        <v>1477</v>
      </c>
      <c r="L1920" s="2" t="inlineStr">
        <is>
          <t>Sea</t>
        </is>
      </c>
      <c r="M1920" s="2" t="inlineStr">
        <is>
          <t>No Delay</t>
        </is>
      </c>
      <c r="N1920" s="4">
        <f>IF(I1920&lt;=H1920,1,0)</f>
        <v/>
      </c>
      <c r="O1920" s="4">
        <f>IF(J1920&lt;=G1920,1,0)</f>
        <v/>
      </c>
      <c r="P1920" s="4">
        <f>MAX(0,I1920-H1920)</f>
        <v/>
      </c>
      <c r="Q1920" s="4">
        <f>MAX(0,J1920-G1920)</f>
        <v/>
      </c>
      <c r="R1920" s="4">
        <f>IF(AND(N1920=1,O1920=1),"On Track",IF(O1920=0,"Customer Delivery Late","Ship Late"))</f>
        <v/>
      </c>
    </row>
    <row r="1921">
      <c r="A1921" s="2" t="inlineStr">
        <is>
          <t>ORD-01920</t>
        </is>
      </c>
      <c r="B1921" s="2" t="inlineStr">
        <is>
          <t>Customer 28</t>
        </is>
      </c>
      <c r="C1921" s="2" t="inlineStr">
        <is>
          <t>Switchgear</t>
        </is>
      </c>
      <c r="D1921" s="2" t="inlineStr">
        <is>
          <t>Plant A</t>
        </is>
      </c>
      <c r="E1921" s="2" t="inlineStr">
        <is>
          <t>North</t>
        </is>
      </c>
      <c r="F1921" s="12" t="n">
        <v>46094</v>
      </c>
      <c r="G1921" s="12" t="n">
        <v>46104</v>
      </c>
      <c r="H1921" s="12" t="n">
        <v>46100</v>
      </c>
      <c r="I1921" s="12" t="n">
        <v>46099</v>
      </c>
      <c r="J1921" s="12" t="n">
        <v>46104</v>
      </c>
      <c r="K1921" s="2" t="n">
        <v>796</v>
      </c>
      <c r="L1921" s="2" t="inlineStr">
        <is>
          <t>Air</t>
        </is>
      </c>
      <c r="M1921" s="2" t="inlineStr">
        <is>
          <t>No Delay</t>
        </is>
      </c>
      <c r="N1921" s="4">
        <f>IF(I1921&lt;=H1921,1,0)</f>
        <v/>
      </c>
      <c r="O1921" s="4">
        <f>IF(J1921&lt;=G1921,1,0)</f>
        <v/>
      </c>
      <c r="P1921" s="4">
        <f>MAX(0,I1921-H1921)</f>
        <v/>
      </c>
      <c r="Q1921" s="4">
        <f>MAX(0,J1921-G1921)</f>
        <v/>
      </c>
      <c r="R1921" s="4">
        <f>IF(AND(N1921=1,O1921=1),"On Track",IF(O1921=0,"Customer Delivery Late","Ship Late"))</f>
        <v/>
      </c>
    </row>
    <row r="1922">
      <c r="A1922" s="2" t="inlineStr">
        <is>
          <t>ORD-01921</t>
        </is>
      </c>
      <c r="B1922" s="2" t="inlineStr">
        <is>
          <t>Customer 26</t>
        </is>
      </c>
      <c r="C1922" s="2" t="inlineStr">
        <is>
          <t>Contactor</t>
        </is>
      </c>
      <c r="D1922" s="2" t="inlineStr">
        <is>
          <t>Plant B</t>
        </is>
      </c>
      <c r="E1922" s="2" t="inlineStr">
        <is>
          <t>Central</t>
        </is>
      </c>
      <c r="F1922" s="12" t="n">
        <v>46069</v>
      </c>
      <c r="G1922" s="12" t="n">
        <v>46092</v>
      </c>
      <c r="H1922" s="12" t="n">
        <v>46090</v>
      </c>
      <c r="I1922" s="12" t="n">
        <v>46090</v>
      </c>
      <c r="J1922" s="12" t="n">
        <v>46092</v>
      </c>
      <c r="K1922" s="2" t="n">
        <v>613</v>
      </c>
      <c r="L1922" s="2" t="inlineStr">
        <is>
          <t>Road</t>
        </is>
      </c>
      <c r="M1922" s="2" t="inlineStr">
        <is>
          <t>No Delay</t>
        </is>
      </c>
      <c r="N1922" s="4">
        <f>IF(I1922&lt;=H1922,1,0)</f>
        <v/>
      </c>
      <c r="O1922" s="4">
        <f>IF(J1922&lt;=G1922,1,0)</f>
        <v/>
      </c>
      <c r="P1922" s="4">
        <f>MAX(0,I1922-H1922)</f>
        <v/>
      </c>
      <c r="Q1922" s="4">
        <f>MAX(0,J1922-G1922)</f>
        <v/>
      </c>
      <c r="R1922" s="4">
        <f>IF(AND(N1922=1,O1922=1),"On Track",IF(O1922=0,"Customer Delivery Late","Ship Late"))</f>
        <v/>
      </c>
    </row>
    <row r="1923">
      <c r="A1923" s="2" t="inlineStr">
        <is>
          <t>ORD-01922</t>
        </is>
      </c>
      <c r="B1923" s="2" t="inlineStr">
        <is>
          <t>Customer 08</t>
        </is>
      </c>
      <c r="C1923" s="2" t="inlineStr">
        <is>
          <t>Relay</t>
        </is>
      </c>
      <c r="D1923" s="2" t="inlineStr">
        <is>
          <t>Plant B</t>
        </is>
      </c>
      <c r="E1923" s="2" t="inlineStr">
        <is>
          <t>Central</t>
        </is>
      </c>
      <c r="F1923" s="12" t="n">
        <v>46120</v>
      </c>
      <c r="G1923" s="12" t="n">
        <v>46136</v>
      </c>
      <c r="H1923" s="12" t="n">
        <v>46133</v>
      </c>
      <c r="I1923" s="12" t="n">
        <v>46132</v>
      </c>
      <c r="J1923" s="12" t="n">
        <v>46135</v>
      </c>
      <c r="K1923" s="2" t="n">
        <v>460</v>
      </c>
      <c r="L1923" s="2" t="inlineStr">
        <is>
          <t>Sea</t>
        </is>
      </c>
      <c r="M1923" s="2" t="inlineStr">
        <is>
          <t>No Delay</t>
        </is>
      </c>
      <c r="N1923" s="4">
        <f>IF(I1923&lt;=H1923,1,0)</f>
        <v/>
      </c>
      <c r="O1923" s="4">
        <f>IF(J1923&lt;=G1923,1,0)</f>
        <v/>
      </c>
      <c r="P1923" s="4">
        <f>MAX(0,I1923-H1923)</f>
        <v/>
      </c>
      <c r="Q1923" s="4">
        <f>MAX(0,J1923-G1923)</f>
        <v/>
      </c>
      <c r="R1923" s="4">
        <f>IF(AND(N1923=1,O1923=1),"On Track",IF(O1923=0,"Customer Delivery Late","Ship Late"))</f>
        <v/>
      </c>
    </row>
    <row r="1924">
      <c r="A1924" s="2" t="inlineStr">
        <is>
          <t>ORD-01923</t>
        </is>
      </c>
      <c r="B1924" s="2" t="inlineStr">
        <is>
          <t>Customer 08</t>
        </is>
      </c>
      <c r="C1924" s="2" t="inlineStr">
        <is>
          <t>Switchgear</t>
        </is>
      </c>
      <c r="D1924" s="2" t="inlineStr">
        <is>
          <t>Plant C</t>
        </is>
      </c>
      <c r="E1924" s="2" t="inlineStr">
        <is>
          <t>North</t>
        </is>
      </c>
      <c r="F1924" s="12" t="n">
        <v>46144</v>
      </c>
      <c r="G1924" s="12" t="n">
        <v>46152</v>
      </c>
      <c r="H1924" s="12" t="n">
        <v>46148</v>
      </c>
      <c r="I1924" s="12" t="n">
        <v>46148</v>
      </c>
      <c r="J1924" s="12" t="n">
        <v>46152</v>
      </c>
      <c r="K1924" s="2" t="n">
        <v>83</v>
      </c>
      <c r="L1924" s="2" t="inlineStr">
        <is>
          <t>Sea</t>
        </is>
      </c>
      <c r="M1924" s="2" t="inlineStr">
        <is>
          <t>No Delay</t>
        </is>
      </c>
      <c r="N1924" s="4">
        <f>IF(I1924&lt;=H1924,1,0)</f>
        <v/>
      </c>
      <c r="O1924" s="4">
        <f>IF(J1924&lt;=G1924,1,0)</f>
        <v/>
      </c>
      <c r="P1924" s="4">
        <f>MAX(0,I1924-H1924)</f>
        <v/>
      </c>
      <c r="Q1924" s="4">
        <f>MAX(0,J1924-G1924)</f>
        <v/>
      </c>
      <c r="R1924" s="4">
        <f>IF(AND(N1924=1,O1924=1),"On Track",IF(O1924=0,"Customer Delivery Late","Ship Late"))</f>
        <v/>
      </c>
    </row>
    <row r="1925">
      <c r="A1925" s="2" t="inlineStr">
        <is>
          <t>ORD-01924</t>
        </is>
      </c>
      <c r="B1925" s="2" t="inlineStr">
        <is>
          <t>Customer 18</t>
        </is>
      </c>
      <c r="C1925" s="2" t="inlineStr">
        <is>
          <t>Sensor</t>
        </is>
      </c>
      <c r="D1925" s="2" t="inlineStr">
        <is>
          <t>Plant B</t>
        </is>
      </c>
      <c r="E1925" s="2" t="inlineStr">
        <is>
          <t>Export</t>
        </is>
      </c>
      <c r="F1925" s="12" t="n">
        <v>46132</v>
      </c>
      <c r="G1925" s="12" t="n">
        <v>46147</v>
      </c>
      <c r="H1925" s="12" t="n">
        <v>46144</v>
      </c>
      <c r="I1925" s="12" t="n">
        <v>46144</v>
      </c>
      <c r="J1925" s="12" t="n">
        <v>46146</v>
      </c>
      <c r="K1925" s="2" t="n">
        <v>1199</v>
      </c>
      <c r="L1925" s="2" t="inlineStr">
        <is>
          <t>Air</t>
        </is>
      </c>
      <c r="M1925" s="2" t="inlineStr">
        <is>
          <t>No Delay</t>
        </is>
      </c>
      <c r="N1925" s="4">
        <f>IF(I1925&lt;=H1925,1,0)</f>
        <v/>
      </c>
      <c r="O1925" s="4">
        <f>IF(J1925&lt;=G1925,1,0)</f>
        <v/>
      </c>
      <c r="P1925" s="4">
        <f>MAX(0,I1925-H1925)</f>
        <v/>
      </c>
      <c r="Q1925" s="4">
        <f>MAX(0,J1925-G1925)</f>
        <v/>
      </c>
      <c r="R1925" s="4">
        <f>IF(AND(N1925=1,O1925=1),"On Track",IF(O1925=0,"Customer Delivery Late","Ship Late"))</f>
        <v/>
      </c>
    </row>
    <row r="1926">
      <c r="A1926" s="2" t="inlineStr">
        <is>
          <t>ORD-01925</t>
        </is>
      </c>
      <c r="B1926" s="2" t="inlineStr">
        <is>
          <t>Customer 07</t>
        </is>
      </c>
      <c r="C1926" s="2" t="inlineStr">
        <is>
          <t>Contactor</t>
        </is>
      </c>
      <c r="D1926" s="2" t="inlineStr">
        <is>
          <t>Plant C</t>
        </is>
      </c>
      <c r="E1926" s="2" t="inlineStr">
        <is>
          <t>North</t>
        </is>
      </c>
      <c r="F1926" s="12" t="n">
        <v>46203</v>
      </c>
      <c r="G1926" s="12" t="n">
        <v>46216</v>
      </c>
      <c r="H1926" s="12" t="n">
        <v>46215</v>
      </c>
      <c r="I1926" s="12" t="n">
        <v>46214</v>
      </c>
      <c r="J1926" s="12" t="n">
        <v>46215</v>
      </c>
      <c r="K1926" s="2" t="n">
        <v>936</v>
      </c>
      <c r="L1926" s="2" t="inlineStr">
        <is>
          <t>Sea</t>
        </is>
      </c>
      <c r="M1926" s="2" t="inlineStr">
        <is>
          <t>No Delay</t>
        </is>
      </c>
      <c r="N1926" s="4">
        <f>IF(I1926&lt;=H1926,1,0)</f>
        <v/>
      </c>
      <c r="O1926" s="4">
        <f>IF(J1926&lt;=G1926,1,0)</f>
        <v/>
      </c>
      <c r="P1926" s="4">
        <f>MAX(0,I1926-H1926)</f>
        <v/>
      </c>
      <c r="Q1926" s="4">
        <f>MAX(0,J1926-G1926)</f>
        <v/>
      </c>
      <c r="R1926" s="4">
        <f>IF(AND(N1926=1,O1926=1),"On Track",IF(O1926=0,"Customer Delivery Late","Ship Late"))</f>
        <v/>
      </c>
    </row>
    <row r="1927">
      <c r="A1927" s="2" t="inlineStr">
        <is>
          <t>ORD-01926</t>
        </is>
      </c>
      <c r="B1927" s="2" t="inlineStr">
        <is>
          <t>Customer 02</t>
        </is>
      </c>
      <c r="C1927" s="2" t="inlineStr">
        <is>
          <t>Sensor</t>
        </is>
      </c>
      <c r="D1927" s="2" t="inlineStr">
        <is>
          <t>Plant B</t>
        </is>
      </c>
      <c r="E1927" s="2" t="inlineStr">
        <is>
          <t>Export</t>
        </is>
      </c>
      <c r="F1927" s="12" t="n">
        <v>46076</v>
      </c>
      <c r="G1927" s="12" t="n">
        <v>46095</v>
      </c>
      <c r="H1927" s="12" t="n">
        <v>46090</v>
      </c>
      <c r="I1927" s="12" t="n">
        <v>46090</v>
      </c>
      <c r="J1927" s="12" t="n">
        <v>46095</v>
      </c>
      <c r="K1927" s="2" t="n">
        <v>353</v>
      </c>
      <c r="L1927" s="2" t="inlineStr">
        <is>
          <t>Air</t>
        </is>
      </c>
      <c r="M1927" s="2" t="inlineStr">
        <is>
          <t>No Delay</t>
        </is>
      </c>
      <c r="N1927" s="4">
        <f>IF(I1927&lt;=H1927,1,0)</f>
        <v/>
      </c>
      <c r="O1927" s="4">
        <f>IF(J1927&lt;=G1927,1,0)</f>
        <v/>
      </c>
      <c r="P1927" s="4">
        <f>MAX(0,I1927-H1927)</f>
        <v/>
      </c>
      <c r="Q1927" s="4">
        <f>MAX(0,J1927-G1927)</f>
        <v/>
      </c>
      <c r="R1927" s="4">
        <f>IF(AND(N1927=1,O1927=1),"On Track",IF(O1927=0,"Customer Delivery Late","Ship Late"))</f>
        <v/>
      </c>
    </row>
    <row r="1928">
      <c r="A1928" s="2" t="inlineStr">
        <is>
          <t>ORD-01927</t>
        </is>
      </c>
      <c r="B1928" s="2" t="inlineStr">
        <is>
          <t>Customer 01</t>
        </is>
      </c>
      <c r="C1928" s="2" t="inlineStr">
        <is>
          <t>Relay</t>
        </is>
      </c>
      <c r="D1928" s="2" t="inlineStr">
        <is>
          <t>Plant A</t>
        </is>
      </c>
      <c r="E1928" s="2" t="inlineStr">
        <is>
          <t>Export</t>
        </is>
      </c>
      <c r="F1928" s="12" t="n">
        <v>46163</v>
      </c>
      <c r="G1928" s="12" t="n">
        <v>46174</v>
      </c>
      <c r="H1928" s="12" t="n">
        <v>46169</v>
      </c>
      <c r="I1928" s="12" t="n">
        <v>46169</v>
      </c>
      <c r="J1928" s="12" t="n">
        <v>46174</v>
      </c>
      <c r="K1928" s="2" t="n">
        <v>826</v>
      </c>
      <c r="L1928" s="2" t="inlineStr">
        <is>
          <t>Road</t>
        </is>
      </c>
      <c r="M1928" s="2" t="inlineStr">
        <is>
          <t>No Delay</t>
        </is>
      </c>
      <c r="N1928" s="4">
        <f>IF(I1928&lt;=H1928,1,0)</f>
        <v/>
      </c>
      <c r="O1928" s="4">
        <f>IF(J1928&lt;=G1928,1,0)</f>
        <v/>
      </c>
      <c r="P1928" s="4">
        <f>MAX(0,I1928-H1928)</f>
        <v/>
      </c>
      <c r="Q1928" s="4">
        <f>MAX(0,J1928-G1928)</f>
        <v/>
      </c>
      <c r="R1928" s="4">
        <f>IF(AND(N1928=1,O1928=1),"On Track",IF(O1928=0,"Customer Delivery Late","Ship Late"))</f>
        <v/>
      </c>
    </row>
    <row r="1929">
      <c r="A1929" s="2" t="inlineStr">
        <is>
          <t>ORD-01928</t>
        </is>
      </c>
      <c r="B1929" s="2" t="inlineStr">
        <is>
          <t>Customer 26</t>
        </is>
      </c>
      <c r="C1929" s="2" t="inlineStr">
        <is>
          <t>Breaker</t>
        </is>
      </c>
      <c r="D1929" s="2" t="inlineStr">
        <is>
          <t>Plant C</t>
        </is>
      </c>
      <c r="E1929" s="2" t="inlineStr">
        <is>
          <t>South</t>
        </is>
      </c>
      <c r="F1929" s="12" t="n">
        <v>46061</v>
      </c>
      <c r="G1929" s="12" t="n">
        <v>46073</v>
      </c>
      <c r="H1929" s="12" t="n">
        <v>46068</v>
      </c>
      <c r="I1929" s="12" t="n">
        <v>46066</v>
      </c>
      <c r="J1929" s="12" t="n">
        <v>46070</v>
      </c>
      <c r="K1929" s="2" t="n">
        <v>190</v>
      </c>
      <c r="L1929" s="2" t="inlineStr">
        <is>
          <t>Sea</t>
        </is>
      </c>
      <c r="M1929" s="2" t="inlineStr">
        <is>
          <t>No Delay</t>
        </is>
      </c>
      <c r="N1929" s="4">
        <f>IF(I1929&lt;=H1929,1,0)</f>
        <v/>
      </c>
      <c r="O1929" s="4">
        <f>IF(J1929&lt;=G1929,1,0)</f>
        <v/>
      </c>
      <c r="P1929" s="4">
        <f>MAX(0,I1929-H1929)</f>
        <v/>
      </c>
      <c r="Q1929" s="4">
        <f>MAX(0,J1929-G1929)</f>
        <v/>
      </c>
      <c r="R1929" s="4">
        <f>IF(AND(N1929=1,O1929=1),"On Track",IF(O1929=0,"Customer Delivery Late","Ship Late"))</f>
        <v/>
      </c>
    </row>
    <row r="1930">
      <c r="A1930" s="2" t="inlineStr">
        <is>
          <t>ORD-01929</t>
        </is>
      </c>
      <c r="B1930" s="2" t="inlineStr">
        <is>
          <t>Customer 05</t>
        </is>
      </c>
      <c r="C1930" s="2" t="inlineStr">
        <is>
          <t>Breaker</t>
        </is>
      </c>
      <c r="D1930" s="2" t="inlineStr">
        <is>
          <t>Plant C</t>
        </is>
      </c>
      <c r="E1930" s="2" t="inlineStr">
        <is>
          <t>Export</t>
        </is>
      </c>
      <c r="F1930" s="12" t="n">
        <v>46162</v>
      </c>
      <c r="G1930" s="12" t="n">
        <v>46170</v>
      </c>
      <c r="H1930" s="12" t="n">
        <v>46168</v>
      </c>
      <c r="I1930" s="12" t="n">
        <v>46168</v>
      </c>
      <c r="J1930" s="12" t="n">
        <v>46169</v>
      </c>
      <c r="K1930" s="2" t="n">
        <v>24</v>
      </c>
      <c r="L1930" s="2" t="inlineStr">
        <is>
          <t>Air</t>
        </is>
      </c>
      <c r="M1930" s="2" t="inlineStr">
        <is>
          <t>No Delay</t>
        </is>
      </c>
      <c r="N1930" s="4">
        <f>IF(I1930&lt;=H1930,1,0)</f>
        <v/>
      </c>
      <c r="O1930" s="4">
        <f>IF(J1930&lt;=G1930,1,0)</f>
        <v/>
      </c>
      <c r="P1930" s="4">
        <f>MAX(0,I1930-H1930)</f>
        <v/>
      </c>
      <c r="Q1930" s="4">
        <f>MAX(0,J1930-G1930)</f>
        <v/>
      </c>
      <c r="R1930" s="4">
        <f>IF(AND(N1930=1,O1930=1),"On Track",IF(O1930=0,"Customer Delivery Late","Ship Late"))</f>
        <v/>
      </c>
    </row>
    <row r="1931">
      <c r="A1931" s="2" t="inlineStr">
        <is>
          <t>ORD-01930</t>
        </is>
      </c>
      <c r="B1931" s="2" t="inlineStr">
        <is>
          <t>Customer 16</t>
        </is>
      </c>
      <c r="C1931" s="2" t="inlineStr">
        <is>
          <t>Relay</t>
        </is>
      </c>
      <c r="D1931" s="2" t="inlineStr">
        <is>
          <t>Plant C</t>
        </is>
      </c>
      <c r="E1931" s="2" t="inlineStr">
        <is>
          <t>Central</t>
        </is>
      </c>
      <c r="F1931" s="12" t="n">
        <v>46122</v>
      </c>
      <c r="G1931" s="12" t="n">
        <v>46146</v>
      </c>
      <c r="H1931" s="12" t="n">
        <v>46145</v>
      </c>
      <c r="I1931" s="12" t="n">
        <v>46143</v>
      </c>
      <c r="J1931" s="12" t="n">
        <v>46145</v>
      </c>
      <c r="K1931" s="2" t="n">
        <v>803</v>
      </c>
      <c r="L1931" s="2" t="inlineStr">
        <is>
          <t>Sea</t>
        </is>
      </c>
      <c r="M1931" s="2" t="inlineStr">
        <is>
          <t>No Delay</t>
        </is>
      </c>
      <c r="N1931" s="4">
        <f>IF(I1931&lt;=H1931,1,0)</f>
        <v/>
      </c>
      <c r="O1931" s="4">
        <f>IF(J1931&lt;=G1931,1,0)</f>
        <v/>
      </c>
      <c r="P1931" s="4">
        <f>MAX(0,I1931-H1931)</f>
        <v/>
      </c>
      <c r="Q1931" s="4">
        <f>MAX(0,J1931-G1931)</f>
        <v/>
      </c>
      <c r="R1931" s="4">
        <f>IF(AND(N1931=1,O1931=1),"On Track",IF(O1931=0,"Customer Delivery Late","Ship Late"))</f>
        <v/>
      </c>
    </row>
    <row r="1932">
      <c r="A1932" s="2" t="inlineStr">
        <is>
          <t>ORD-01931</t>
        </is>
      </c>
      <c r="B1932" s="2" t="inlineStr">
        <is>
          <t>Customer 15</t>
        </is>
      </c>
      <c r="C1932" s="2" t="inlineStr">
        <is>
          <t>Breaker</t>
        </is>
      </c>
      <c r="D1932" s="2" t="inlineStr">
        <is>
          <t>Plant A</t>
        </is>
      </c>
      <c r="E1932" s="2" t="inlineStr">
        <is>
          <t>South</t>
        </is>
      </c>
      <c r="F1932" s="12" t="n">
        <v>46178</v>
      </c>
      <c r="G1932" s="12" t="n">
        <v>46190</v>
      </c>
      <c r="H1932" s="12" t="n">
        <v>46188</v>
      </c>
      <c r="I1932" s="12" t="n">
        <v>46188</v>
      </c>
      <c r="J1932" s="12" t="n">
        <v>46190</v>
      </c>
      <c r="K1932" s="2" t="n">
        <v>100</v>
      </c>
      <c r="L1932" s="2" t="inlineStr">
        <is>
          <t>Air</t>
        </is>
      </c>
      <c r="M1932" s="2" t="inlineStr">
        <is>
          <t>No Delay</t>
        </is>
      </c>
      <c r="N1932" s="4">
        <f>IF(I1932&lt;=H1932,1,0)</f>
        <v/>
      </c>
      <c r="O1932" s="4">
        <f>IF(J1932&lt;=G1932,1,0)</f>
        <v/>
      </c>
      <c r="P1932" s="4">
        <f>MAX(0,I1932-H1932)</f>
        <v/>
      </c>
      <c r="Q1932" s="4">
        <f>MAX(0,J1932-G1932)</f>
        <v/>
      </c>
      <c r="R1932" s="4">
        <f>IF(AND(N1932=1,O1932=1),"On Track",IF(O1932=0,"Customer Delivery Late","Ship Late"))</f>
        <v/>
      </c>
    </row>
    <row r="1933">
      <c r="A1933" s="2" t="inlineStr">
        <is>
          <t>ORD-01932</t>
        </is>
      </c>
      <c r="B1933" s="2" t="inlineStr">
        <is>
          <t>Customer 23</t>
        </is>
      </c>
      <c r="C1933" s="2" t="inlineStr">
        <is>
          <t>Switchgear</t>
        </is>
      </c>
      <c r="D1933" s="2" t="inlineStr">
        <is>
          <t>Plant A</t>
        </is>
      </c>
      <c r="E1933" s="2" t="inlineStr">
        <is>
          <t>Export</t>
        </is>
      </c>
      <c r="F1933" s="12" t="n">
        <v>46148</v>
      </c>
      <c r="G1933" s="12" t="n">
        <v>46163</v>
      </c>
      <c r="H1933" s="12" t="n">
        <v>46159</v>
      </c>
      <c r="I1933" s="12" t="n">
        <v>46158</v>
      </c>
      <c r="J1933" s="12" t="n">
        <v>46162</v>
      </c>
      <c r="K1933" s="2" t="n">
        <v>915</v>
      </c>
      <c r="L1933" s="2" t="inlineStr">
        <is>
          <t>Road</t>
        </is>
      </c>
      <c r="M1933" s="2" t="inlineStr">
        <is>
          <t>No Delay</t>
        </is>
      </c>
      <c r="N1933" s="4">
        <f>IF(I1933&lt;=H1933,1,0)</f>
        <v/>
      </c>
      <c r="O1933" s="4">
        <f>IF(J1933&lt;=G1933,1,0)</f>
        <v/>
      </c>
      <c r="P1933" s="4">
        <f>MAX(0,I1933-H1933)</f>
        <v/>
      </c>
      <c r="Q1933" s="4">
        <f>MAX(0,J1933-G1933)</f>
        <v/>
      </c>
      <c r="R1933" s="4">
        <f>IF(AND(N1933=1,O1933=1),"On Track",IF(O1933=0,"Customer Delivery Late","Ship Late"))</f>
        <v/>
      </c>
    </row>
    <row r="1934">
      <c r="A1934" s="2" t="inlineStr">
        <is>
          <t>ORD-01933</t>
        </is>
      </c>
      <c r="B1934" s="2" t="inlineStr">
        <is>
          <t>Customer 25</t>
        </is>
      </c>
      <c r="C1934" s="2" t="inlineStr">
        <is>
          <t>Drive</t>
        </is>
      </c>
      <c r="D1934" s="2" t="inlineStr">
        <is>
          <t>Plant B</t>
        </is>
      </c>
      <c r="E1934" s="2" t="inlineStr">
        <is>
          <t>North</t>
        </is>
      </c>
      <c r="F1934" s="12" t="n">
        <v>46048</v>
      </c>
      <c r="G1934" s="12" t="n">
        <v>46058</v>
      </c>
      <c r="H1934" s="12" t="n">
        <v>46056</v>
      </c>
      <c r="I1934" s="12" t="n">
        <v>46055</v>
      </c>
      <c r="J1934" s="12" t="n">
        <v>46056</v>
      </c>
      <c r="K1934" s="2" t="n">
        <v>742</v>
      </c>
      <c r="L1934" s="2" t="inlineStr">
        <is>
          <t>Road</t>
        </is>
      </c>
      <c r="M1934" s="2" t="inlineStr">
        <is>
          <t>No Delay</t>
        </is>
      </c>
      <c r="N1934" s="4">
        <f>IF(I1934&lt;=H1934,1,0)</f>
        <v/>
      </c>
      <c r="O1934" s="4">
        <f>IF(J1934&lt;=G1934,1,0)</f>
        <v/>
      </c>
      <c r="P1934" s="4">
        <f>MAX(0,I1934-H1934)</f>
        <v/>
      </c>
      <c r="Q1934" s="4">
        <f>MAX(0,J1934-G1934)</f>
        <v/>
      </c>
      <c r="R1934" s="4">
        <f>IF(AND(N1934=1,O1934=1),"On Track",IF(O1934=0,"Customer Delivery Late","Ship Late"))</f>
        <v/>
      </c>
    </row>
    <row r="1935">
      <c r="A1935" s="2" t="inlineStr">
        <is>
          <t>ORD-01934</t>
        </is>
      </c>
      <c r="B1935" s="2" t="inlineStr">
        <is>
          <t>Customer 09</t>
        </is>
      </c>
      <c r="C1935" s="2" t="inlineStr">
        <is>
          <t>Breaker</t>
        </is>
      </c>
      <c r="D1935" s="2" t="inlineStr">
        <is>
          <t>Plant B</t>
        </is>
      </c>
      <c r="E1935" s="2" t="inlineStr">
        <is>
          <t>South</t>
        </is>
      </c>
      <c r="F1935" s="12" t="n">
        <v>46187</v>
      </c>
      <c r="G1935" s="12" t="n">
        <v>46194</v>
      </c>
      <c r="H1935" s="12" t="n">
        <v>46189</v>
      </c>
      <c r="I1935" s="12" t="n">
        <v>46189</v>
      </c>
      <c r="J1935" s="12" t="n">
        <v>46195</v>
      </c>
      <c r="K1935" s="2" t="n">
        <v>1052</v>
      </c>
      <c r="L1935" s="2" t="inlineStr">
        <is>
          <t>Sea</t>
        </is>
      </c>
      <c r="M1935" s="2" t="inlineStr">
        <is>
          <t>Carrier Delay</t>
        </is>
      </c>
      <c r="N1935" s="4">
        <f>IF(I1935&lt;=H1935,1,0)</f>
        <v/>
      </c>
      <c r="O1935" s="4">
        <f>IF(J1935&lt;=G1935,1,0)</f>
        <v/>
      </c>
      <c r="P1935" s="4">
        <f>MAX(0,I1935-H1935)</f>
        <v/>
      </c>
      <c r="Q1935" s="4">
        <f>MAX(0,J1935-G1935)</f>
        <v/>
      </c>
      <c r="R1935" s="4">
        <f>IF(AND(N1935=1,O1935=1),"On Track",IF(O1935=0,"Customer Delivery Late","Ship Late"))</f>
        <v/>
      </c>
    </row>
    <row r="1936">
      <c r="A1936" s="2" t="inlineStr">
        <is>
          <t>ORD-01935</t>
        </is>
      </c>
      <c r="B1936" s="2" t="inlineStr">
        <is>
          <t>Customer 23</t>
        </is>
      </c>
      <c r="C1936" s="2" t="inlineStr">
        <is>
          <t>Contactor</t>
        </is>
      </c>
      <c r="D1936" s="2" t="inlineStr">
        <is>
          <t>Plant A</t>
        </is>
      </c>
      <c r="E1936" s="2" t="inlineStr">
        <is>
          <t>Central</t>
        </is>
      </c>
      <c r="F1936" s="12" t="n">
        <v>46076</v>
      </c>
      <c r="G1936" s="12" t="n">
        <v>46084</v>
      </c>
      <c r="H1936" s="12" t="n">
        <v>46083</v>
      </c>
      <c r="I1936" s="12" t="n">
        <v>46082</v>
      </c>
      <c r="J1936" s="12" t="n">
        <v>46083</v>
      </c>
      <c r="K1936" s="2" t="n">
        <v>1337</v>
      </c>
      <c r="L1936" s="2" t="inlineStr">
        <is>
          <t>Air</t>
        </is>
      </c>
      <c r="M1936" s="2" t="inlineStr">
        <is>
          <t>No Delay</t>
        </is>
      </c>
      <c r="N1936" s="4">
        <f>IF(I1936&lt;=H1936,1,0)</f>
        <v/>
      </c>
      <c r="O1936" s="4">
        <f>IF(J1936&lt;=G1936,1,0)</f>
        <v/>
      </c>
      <c r="P1936" s="4">
        <f>MAX(0,I1936-H1936)</f>
        <v/>
      </c>
      <c r="Q1936" s="4">
        <f>MAX(0,J1936-G1936)</f>
        <v/>
      </c>
      <c r="R1936" s="4">
        <f>IF(AND(N1936=1,O1936=1),"On Track",IF(O1936=0,"Customer Delivery Late","Ship Late"))</f>
        <v/>
      </c>
    </row>
    <row r="1937">
      <c r="A1937" s="2" t="inlineStr">
        <is>
          <t>ORD-01936</t>
        </is>
      </c>
      <c r="B1937" s="2" t="inlineStr">
        <is>
          <t>Customer 13</t>
        </is>
      </c>
      <c r="C1937" s="2" t="inlineStr">
        <is>
          <t>Contactor</t>
        </is>
      </c>
      <c r="D1937" s="2" t="inlineStr">
        <is>
          <t>Plant C</t>
        </is>
      </c>
      <c r="E1937" s="2" t="inlineStr">
        <is>
          <t>North</t>
        </is>
      </c>
      <c r="F1937" s="12" t="n">
        <v>46035</v>
      </c>
      <c r="G1937" s="12" t="n">
        <v>46046</v>
      </c>
      <c r="H1937" s="12" t="n">
        <v>46042</v>
      </c>
      <c r="I1937" s="12" t="n">
        <v>46041</v>
      </c>
      <c r="J1937" s="12" t="n">
        <v>46045</v>
      </c>
      <c r="K1937" s="2" t="n">
        <v>1203</v>
      </c>
      <c r="L1937" s="2" t="inlineStr">
        <is>
          <t>Sea</t>
        </is>
      </c>
      <c r="M1937" s="2" t="inlineStr">
        <is>
          <t>No Delay</t>
        </is>
      </c>
      <c r="N1937" s="4">
        <f>IF(I1937&lt;=H1937,1,0)</f>
        <v/>
      </c>
      <c r="O1937" s="4">
        <f>IF(J1937&lt;=G1937,1,0)</f>
        <v/>
      </c>
      <c r="P1937" s="4">
        <f>MAX(0,I1937-H1937)</f>
        <v/>
      </c>
      <c r="Q1937" s="4">
        <f>MAX(0,J1937-G1937)</f>
        <v/>
      </c>
      <c r="R1937" s="4">
        <f>IF(AND(N1937=1,O1937=1),"On Track",IF(O1937=0,"Customer Delivery Late","Ship Late"))</f>
        <v/>
      </c>
    </row>
    <row r="1938">
      <c r="A1938" s="2" t="inlineStr">
        <is>
          <t>ORD-01937</t>
        </is>
      </c>
      <c r="B1938" s="2" t="inlineStr">
        <is>
          <t>Customer 10</t>
        </is>
      </c>
      <c r="C1938" s="2" t="inlineStr">
        <is>
          <t>Sensor</t>
        </is>
      </c>
      <c r="D1938" s="2" t="inlineStr">
        <is>
          <t>Plant B</t>
        </is>
      </c>
      <c r="E1938" s="2" t="inlineStr">
        <is>
          <t>Export</t>
        </is>
      </c>
      <c r="F1938" s="12" t="n">
        <v>46135</v>
      </c>
      <c r="G1938" s="12" t="n">
        <v>46154</v>
      </c>
      <c r="H1938" s="12" t="n">
        <v>46149</v>
      </c>
      <c r="I1938" s="12" t="n">
        <v>46147</v>
      </c>
      <c r="J1938" s="12" t="n">
        <v>46152</v>
      </c>
      <c r="K1938" s="2" t="n">
        <v>1059</v>
      </c>
      <c r="L1938" s="2" t="inlineStr">
        <is>
          <t>Air</t>
        </is>
      </c>
      <c r="M1938" s="2" t="inlineStr">
        <is>
          <t>No Delay</t>
        </is>
      </c>
      <c r="N1938" s="4">
        <f>IF(I1938&lt;=H1938,1,0)</f>
        <v/>
      </c>
      <c r="O1938" s="4">
        <f>IF(J1938&lt;=G1938,1,0)</f>
        <v/>
      </c>
      <c r="P1938" s="4">
        <f>MAX(0,I1938-H1938)</f>
        <v/>
      </c>
      <c r="Q1938" s="4">
        <f>MAX(0,J1938-G1938)</f>
        <v/>
      </c>
      <c r="R1938" s="4">
        <f>IF(AND(N1938=1,O1938=1),"On Track",IF(O1938=0,"Customer Delivery Late","Ship Late"))</f>
        <v/>
      </c>
    </row>
    <row r="1939">
      <c r="A1939" s="2" t="inlineStr">
        <is>
          <t>ORD-01938</t>
        </is>
      </c>
      <c r="B1939" s="2" t="inlineStr">
        <is>
          <t>Customer 14</t>
        </is>
      </c>
      <c r="C1939" s="2" t="inlineStr">
        <is>
          <t>Power Supply</t>
        </is>
      </c>
      <c r="D1939" s="2" t="inlineStr">
        <is>
          <t>Plant B</t>
        </is>
      </c>
      <c r="E1939" s="2" t="inlineStr">
        <is>
          <t>North</t>
        </is>
      </c>
      <c r="F1939" s="12" t="n">
        <v>46090</v>
      </c>
      <c r="G1939" s="12" t="n">
        <v>46108</v>
      </c>
      <c r="H1939" s="12" t="n">
        <v>46104</v>
      </c>
      <c r="I1939" s="12" t="n">
        <v>46103</v>
      </c>
      <c r="J1939" s="12" t="n">
        <v>46107</v>
      </c>
      <c r="K1939" s="2" t="n">
        <v>145</v>
      </c>
      <c r="L1939" s="2" t="inlineStr">
        <is>
          <t>Air</t>
        </is>
      </c>
      <c r="M1939" s="2" t="inlineStr">
        <is>
          <t>No Delay</t>
        </is>
      </c>
      <c r="N1939" s="4">
        <f>IF(I1939&lt;=H1939,1,0)</f>
        <v/>
      </c>
      <c r="O1939" s="4">
        <f>IF(J1939&lt;=G1939,1,0)</f>
        <v/>
      </c>
      <c r="P1939" s="4">
        <f>MAX(0,I1939-H1939)</f>
        <v/>
      </c>
      <c r="Q1939" s="4">
        <f>MAX(0,J1939-G1939)</f>
        <v/>
      </c>
      <c r="R1939" s="4">
        <f>IF(AND(N1939=1,O1939=1),"On Track",IF(O1939=0,"Customer Delivery Late","Ship Late"))</f>
        <v/>
      </c>
    </row>
    <row r="1940">
      <c r="A1940" s="2" t="inlineStr">
        <is>
          <t>ORD-01939</t>
        </is>
      </c>
      <c r="B1940" s="2" t="inlineStr">
        <is>
          <t>Customer 28</t>
        </is>
      </c>
      <c r="C1940" s="2" t="inlineStr">
        <is>
          <t>Contactor</t>
        </is>
      </c>
      <c r="D1940" s="2" t="inlineStr">
        <is>
          <t>Plant B</t>
        </is>
      </c>
      <c r="E1940" s="2" t="inlineStr">
        <is>
          <t>Export</t>
        </is>
      </c>
      <c r="F1940" s="12" t="n">
        <v>46078</v>
      </c>
      <c r="G1940" s="12" t="n">
        <v>46087</v>
      </c>
      <c r="H1940" s="12" t="n">
        <v>46082</v>
      </c>
      <c r="I1940" s="12" t="n">
        <v>46080</v>
      </c>
      <c r="J1940" s="12" t="n">
        <v>46086</v>
      </c>
      <c r="K1940" s="2" t="n">
        <v>759</v>
      </c>
      <c r="L1940" s="2" t="inlineStr">
        <is>
          <t>Air</t>
        </is>
      </c>
      <c r="M1940" s="2" t="inlineStr">
        <is>
          <t>No Delay</t>
        </is>
      </c>
      <c r="N1940" s="4">
        <f>IF(I1940&lt;=H1940,1,0)</f>
        <v/>
      </c>
      <c r="O1940" s="4">
        <f>IF(J1940&lt;=G1940,1,0)</f>
        <v/>
      </c>
      <c r="P1940" s="4">
        <f>MAX(0,I1940-H1940)</f>
        <v/>
      </c>
      <c r="Q1940" s="4">
        <f>MAX(0,J1940-G1940)</f>
        <v/>
      </c>
      <c r="R1940" s="4">
        <f>IF(AND(N1940=1,O1940=1),"On Track",IF(O1940=0,"Customer Delivery Late","Ship Late"))</f>
        <v/>
      </c>
    </row>
    <row r="1941">
      <c r="A1941" s="2" t="inlineStr">
        <is>
          <t>ORD-01940</t>
        </is>
      </c>
      <c r="B1941" s="2" t="inlineStr">
        <is>
          <t>Customer 17</t>
        </is>
      </c>
      <c r="C1941" s="2" t="inlineStr">
        <is>
          <t>Power Supply</t>
        </is>
      </c>
      <c r="D1941" s="2" t="inlineStr">
        <is>
          <t>Plant C</t>
        </is>
      </c>
      <c r="E1941" s="2" t="inlineStr">
        <is>
          <t>Central</t>
        </is>
      </c>
      <c r="F1941" s="12" t="n">
        <v>46203</v>
      </c>
      <c r="G1941" s="12" t="n">
        <v>46213</v>
      </c>
      <c r="H1941" s="12" t="n">
        <v>46208</v>
      </c>
      <c r="I1941" s="12" t="n">
        <v>46208</v>
      </c>
      <c r="J1941" s="12" t="n">
        <v>46213</v>
      </c>
      <c r="K1941" s="2" t="n">
        <v>1465</v>
      </c>
      <c r="L1941" s="2" t="inlineStr">
        <is>
          <t>Road</t>
        </is>
      </c>
      <c r="M1941" s="2" t="inlineStr">
        <is>
          <t>No Delay</t>
        </is>
      </c>
      <c r="N1941" s="4">
        <f>IF(I1941&lt;=H1941,1,0)</f>
        <v/>
      </c>
      <c r="O1941" s="4">
        <f>IF(J1941&lt;=G1941,1,0)</f>
        <v/>
      </c>
      <c r="P1941" s="4">
        <f>MAX(0,I1941-H1941)</f>
        <v/>
      </c>
      <c r="Q1941" s="4">
        <f>MAX(0,J1941-G1941)</f>
        <v/>
      </c>
      <c r="R1941" s="4">
        <f>IF(AND(N1941=1,O1941=1),"On Track",IF(O1941=0,"Customer Delivery Late","Ship Late"))</f>
        <v/>
      </c>
    </row>
    <row r="1942">
      <c r="A1942" s="2" t="inlineStr">
        <is>
          <t>ORD-01941</t>
        </is>
      </c>
      <c r="B1942" s="2" t="inlineStr">
        <is>
          <t>Customer 08</t>
        </is>
      </c>
      <c r="C1942" s="2" t="inlineStr">
        <is>
          <t>PLC</t>
        </is>
      </c>
      <c r="D1942" s="2" t="inlineStr">
        <is>
          <t>Plant A</t>
        </is>
      </c>
      <c r="E1942" s="2" t="inlineStr">
        <is>
          <t>South</t>
        </is>
      </c>
      <c r="F1942" s="12" t="n">
        <v>46057</v>
      </c>
      <c r="G1942" s="12" t="n">
        <v>46080</v>
      </c>
      <c r="H1942" s="12" t="n">
        <v>46079</v>
      </c>
      <c r="I1942" s="12" t="n">
        <v>46078</v>
      </c>
      <c r="J1942" s="12" t="n">
        <v>46079</v>
      </c>
      <c r="K1942" s="2" t="n">
        <v>195</v>
      </c>
      <c r="L1942" s="2" t="inlineStr">
        <is>
          <t>Air</t>
        </is>
      </c>
      <c r="M1942" s="2" t="inlineStr">
        <is>
          <t>No Delay</t>
        </is>
      </c>
      <c r="N1942" s="4">
        <f>IF(I1942&lt;=H1942,1,0)</f>
        <v/>
      </c>
      <c r="O1942" s="4">
        <f>IF(J1942&lt;=G1942,1,0)</f>
        <v/>
      </c>
      <c r="P1942" s="4">
        <f>MAX(0,I1942-H1942)</f>
        <v/>
      </c>
      <c r="Q1942" s="4">
        <f>MAX(0,J1942-G1942)</f>
        <v/>
      </c>
      <c r="R1942" s="4">
        <f>IF(AND(N1942=1,O1942=1),"On Track",IF(O1942=0,"Customer Delivery Late","Ship Late"))</f>
        <v/>
      </c>
    </row>
    <row r="1943">
      <c r="A1943" s="2" t="inlineStr">
        <is>
          <t>ORD-01942</t>
        </is>
      </c>
      <c r="B1943" s="2" t="inlineStr">
        <is>
          <t>Customer 26</t>
        </is>
      </c>
      <c r="C1943" s="2" t="inlineStr">
        <is>
          <t>Power Supply</t>
        </is>
      </c>
      <c r="D1943" s="2" t="inlineStr">
        <is>
          <t>Plant A</t>
        </is>
      </c>
      <c r="E1943" s="2" t="inlineStr">
        <is>
          <t>Export</t>
        </is>
      </c>
      <c r="F1943" s="12" t="n">
        <v>46118</v>
      </c>
      <c r="G1943" s="12" t="n">
        <v>46125</v>
      </c>
      <c r="H1943" s="12" t="n">
        <v>46120</v>
      </c>
      <c r="I1943" s="12" t="n">
        <v>46120</v>
      </c>
      <c r="J1943" s="12" t="n">
        <v>46126</v>
      </c>
      <c r="K1943" s="2" t="n">
        <v>434</v>
      </c>
      <c r="L1943" s="2" t="inlineStr">
        <is>
          <t>Air</t>
        </is>
      </c>
      <c r="M1943" s="2" t="inlineStr">
        <is>
          <t>Documentation Issue</t>
        </is>
      </c>
      <c r="N1943" s="4">
        <f>IF(I1943&lt;=H1943,1,0)</f>
        <v/>
      </c>
      <c r="O1943" s="4">
        <f>IF(J1943&lt;=G1943,1,0)</f>
        <v/>
      </c>
      <c r="P1943" s="4">
        <f>MAX(0,I1943-H1943)</f>
        <v/>
      </c>
      <c r="Q1943" s="4">
        <f>MAX(0,J1943-G1943)</f>
        <v/>
      </c>
      <c r="R1943" s="4">
        <f>IF(AND(N1943=1,O1943=1),"On Track",IF(O1943=0,"Customer Delivery Late","Ship Late"))</f>
        <v/>
      </c>
    </row>
    <row r="1944">
      <c r="A1944" s="2" t="inlineStr">
        <is>
          <t>ORD-01943</t>
        </is>
      </c>
      <c r="B1944" s="2" t="inlineStr">
        <is>
          <t>Customer 21</t>
        </is>
      </c>
      <c r="C1944" s="2" t="inlineStr">
        <is>
          <t>Drive</t>
        </is>
      </c>
      <c r="D1944" s="2" t="inlineStr">
        <is>
          <t>Plant C</t>
        </is>
      </c>
      <c r="E1944" s="2" t="inlineStr">
        <is>
          <t>South</t>
        </is>
      </c>
      <c r="F1944" s="12" t="n">
        <v>46097</v>
      </c>
      <c r="G1944" s="12" t="n">
        <v>46114</v>
      </c>
      <c r="H1944" s="12" t="n">
        <v>46110</v>
      </c>
      <c r="I1944" s="12" t="n">
        <v>46109</v>
      </c>
      <c r="J1944" s="12" t="n">
        <v>46112</v>
      </c>
      <c r="K1944" s="2" t="n">
        <v>1341</v>
      </c>
      <c r="L1944" s="2" t="inlineStr">
        <is>
          <t>Road</t>
        </is>
      </c>
      <c r="M1944" s="2" t="inlineStr">
        <is>
          <t>No Delay</t>
        </is>
      </c>
      <c r="N1944" s="4">
        <f>IF(I1944&lt;=H1944,1,0)</f>
        <v/>
      </c>
      <c r="O1944" s="4">
        <f>IF(J1944&lt;=G1944,1,0)</f>
        <v/>
      </c>
      <c r="P1944" s="4">
        <f>MAX(0,I1944-H1944)</f>
        <v/>
      </c>
      <c r="Q1944" s="4">
        <f>MAX(0,J1944-G1944)</f>
        <v/>
      </c>
      <c r="R1944" s="4">
        <f>IF(AND(N1944=1,O1944=1),"On Track",IF(O1944=0,"Customer Delivery Late","Ship Late"))</f>
        <v/>
      </c>
    </row>
    <row r="1945">
      <c r="A1945" s="2" t="inlineStr">
        <is>
          <t>ORD-01944</t>
        </is>
      </c>
      <c r="B1945" s="2" t="inlineStr">
        <is>
          <t>Customer 01</t>
        </is>
      </c>
      <c r="C1945" s="2" t="inlineStr">
        <is>
          <t>Drive</t>
        </is>
      </c>
      <c r="D1945" s="2" t="inlineStr">
        <is>
          <t>Plant A</t>
        </is>
      </c>
      <c r="E1945" s="2" t="inlineStr">
        <is>
          <t>Central</t>
        </is>
      </c>
      <c r="F1945" s="12" t="n">
        <v>46183</v>
      </c>
      <c r="G1945" s="12" t="n">
        <v>46203</v>
      </c>
      <c r="H1945" s="12" t="n">
        <v>46200</v>
      </c>
      <c r="I1945" s="12" t="n">
        <v>46200</v>
      </c>
      <c r="J1945" s="12" t="n">
        <v>46203</v>
      </c>
      <c r="K1945" s="2" t="n">
        <v>349</v>
      </c>
      <c r="L1945" s="2" t="inlineStr">
        <is>
          <t>Road</t>
        </is>
      </c>
      <c r="M1945" s="2" t="inlineStr">
        <is>
          <t>No Delay</t>
        </is>
      </c>
      <c r="N1945" s="4">
        <f>IF(I1945&lt;=H1945,1,0)</f>
        <v/>
      </c>
      <c r="O1945" s="4">
        <f>IF(J1945&lt;=G1945,1,0)</f>
        <v/>
      </c>
      <c r="P1945" s="4">
        <f>MAX(0,I1945-H1945)</f>
        <v/>
      </c>
      <c r="Q1945" s="4">
        <f>MAX(0,J1945-G1945)</f>
        <v/>
      </c>
      <c r="R1945" s="4">
        <f>IF(AND(N1945=1,O1945=1),"On Track",IF(O1945=0,"Customer Delivery Late","Ship Late"))</f>
        <v/>
      </c>
    </row>
    <row r="1946">
      <c r="A1946" s="2" t="inlineStr">
        <is>
          <t>ORD-01945</t>
        </is>
      </c>
      <c r="B1946" s="2" t="inlineStr">
        <is>
          <t>Customer 25</t>
        </is>
      </c>
      <c r="C1946" s="2" t="inlineStr">
        <is>
          <t>Sensor</t>
        </is>
      </c>
      <c r="D1946" s="2" t="inlineStr">
        <is>
          <t>Plant B</t>
        </is>
      </c>
      <c r="E1946" s="2" t="inlineStr">
        <is>
          <t>Export</t>
        </is>
      </c>
      <c r="F1946" s="12" t="n">
        <v>46154</v>
      </c>
      <c r="G1946" s="12" t="n">
        <v>46162</v>
      </c>
      <c r="H1946" s="12" t="n">
        <v>46158</v>
      </c>
      <c r="I1946" s="12" t="n">
        <v>46156</v>
      </c>
      <c r="J1946" s="12" t="n">
        <v>46159</v>
      </c>
      <c r="K1946" s="2" t="n">
        <v>801</v>
      </c>
      <c r="L1946" s="2" t="inlineStr">
        <is>
          <t>Sea</t>
        </is>
      </c>
      <c r="M1946" s="2" t="inlineStr">
        <is>
          <t>No Delay</t>
        </is>
      </c>
      <c r="N1946" s="4">
        <f>IF(I1946&lt;=H1946,1,0)</f>
        <v/>
      </c>
      <c r="O1946" s="4">
        <f>IF(J1946&lt;=G1946,1,0)</f>
        <v/>
      </c>
      <c r="P1946" s="4">
        <f>MAX(0,I1946-H1946)</f>
        <v/>
      </c>
      <c r="Q1946" s="4">
        <f>MAX(0,J1946-G1946)</f>
        <v/>
      </c>
      <c r="R1946" s="4">
        <f>IF(AND(N1946=1,O1946=1),"On Track",IF(O1946=0,"Customer Delivery Late","Ship Late"))</f>
        <v/>
      </c>
    </row>
    <row r="1947">
      <c r="A1947" s="2" t="inlineStr">
        <is>
          <t>ORD-01946</t>
        </is>
      </c>
      <c r="B1947" s="2" t="inlineStr">
        <is>
          <t>Customer 24</t>
        </is>
      </c>
      <c r="C1947" s="2" t="inlineStr">
        <is>
          <t>Relay</t>
        </is>
      </c>
      <c r="D1947" s="2" t="inlineStr">
        <is>
          <t>Plant C</t>
        </is>
      </c>
      <c r="E1947" s="2" t="inlineStr">
        <is>
          <t>Central</t>
        </is>
      </c>
      <c r="F1947" s="12" t="n">
        <v>46037</v>
      </c>
      <c r="G1947" s="12" t="n">
        <v>46060</v>
      </c>
      <c r="H1947" s="12" t="n">
        <v>46057</v>
      </c>
      <c r="I1947" s="12" t="n">
        <v>46055</v>
      </c>
      <c r="J1947" s="12" t="n">
        <v>46058</v>
      </c>
      <c r="K1947" s="2" t="n">
        <v>1107</v>
      </c>
      <c r="L1947" s="2" t="inlineStr">
        <is>
          <t>Air</t>
        </is>
      </c>
      <c r="M1947" s="2" t="inlineStr">
        <is>
          <t>No Delay</t>
        </is>
      </c>
      <c r="N1947" s="4">
        <f>IF(I1947&lt;=H1947,1,0)</f>
        <v/>
      </c>
      <c r="O1947" s="4">
        <f>IF(J1947&lt;=G1947,1,0)</f>
        <v/>
      </c>
      <c r="P1947" s="4">
        <f>MAX(0,I1947-H1947)</f>
        <v/>
      </c>
      <c r="Q1947" s="4">
        <f>MAX(0,J1947-G1947)</f>
        <v/>
      </c>
      <c r="R1947" s="4">
        <f>IF(AND(N1947=1,O1947=1),"On Track",IF(O1947=0,"Customer Delivery Late","Ship Late"))</f>
        <v/>
      </c>
    </row>
    <row r="1948">
      <c r="A1948" s="2" t="inlineStr">
        <is>
          <t>ORD-01947</t>
        </is>
      </c>
      <c r="B1948" s="2" t="inlineStr">
        <is>
          <t>Customer 12</t>
        </is>
      </c>
      <c r="C1948" s="2" t="inlineStr">
        <is>
          <t>Breaker</t>
        </is>
      </c>
      <c r="D1948" s="2" t="inlineStr">
        <is>
          <t>Plant C</t>
        </is>
      </c>
      <c r="E1948" s="2" t="inlineStr">
        <is>
          <t>Export</t>
        </is>
      </c>
      <c r="F1948" s="12" t="n">
        <v>46096</v>
      </c>
      <c r="G1948" s="12" t="n">
        <v>46121</v>
      </c>
      <c r="H1948" s="12" t="n">
        <v>46119</v>
      </c>
      <c r="I1948" s="12" t="n">
        <v>46120</v>
      </c>
      <c r="J1948" s="12" t="n">
        <v>46122</v>
      </c>
      <c r="K1948" s="2" t="n">
        <v>1458</v>
      </c>
      <c r="L1948" s="2" t="inlineStr">
        <is>
          <t>Road</t>
        </is>
      </c>
      <c r="M1948" s="2" t="inlineStr">
        <is>
          <t>Customer Change</t>
        </is>
      </c>
      <c r="N1948" s="4">
        <f>IF(I1948&lt;=H1948,1,0)</f>
        <v/>
      </c>
      <c r="O1948" s="4">
        <f>IF(J1948&lt;=G1948,1,0)</f>
        <v/>
      </c>
      <c r="P1948" s="4">
        <f>MAX(0,I1948-H1948)</f>
        <v/>
      </c>
      <c r="Q1948" s="4">
        <f>MAX(0,J1948-G1948)</f>
        <v/>
      </c>
      <c r="R1948" s="4">
        <f>IF(AND(N1948=1,O1948=1),"On Track",IF(O1948=0,"Customer Delivery Late","Ship Late"))</f>
        <v/>
      </c>
    </row>
    <row r="1949">
      <c r="A1949" s="2" t="inlineStr">
        <is>
          <t>ORD-01948</t>
        </is>
      </c>
      <c r="B1949" s="2" t="inlineStr">
        <is>
          <t>Customer 13</t>
        </is>
      </c>
      <c r="C1949" s="2" t="inlineStr">
        <is>
          <t>Power Supply</t>
        </is>
      </c>
      <c r="D1949" s="2" t="inlineStr">
        <is>
          <t>Plant B</t>
        </is>
      </c>
      <c r="E1949" s="2" t="inlineStr">
        <is>
          <t>Export</t>
        </is>
      </c>
      <c r="F1949" s="12" t="n">
        <v>46052</v>
      </c>
      <c r="G1949" s="12" t="n">
        <v>46074</v>
      </c>
      <c r="H1949" s="12" t="n">
        <v>46072</v>
      </c>
      <c r="I1949" s="12" t="n">
        <v>46071</v>
      </c>
      <c r="J1949" s="12" t="n">
        <v>46072</v>
      </c>
      <c r="K1949" s="2" t="n">
        <v>169</v>
      </c>
      <c r="L1949" s="2" t="inlineStr">
        <is>
          <t>Road</t>
        </is>
      </c>
      <c r="M1949" s="2" t="inlineStr">
        <is>
          <t>No Delay</t>
        </is>
      </c>
      <c r="N1949" s="4">
        <f>IF(I1949&lt;=H1949,1,0)</f>
        <v/>
      </c>
      <c r="O1949" s="4">
        <f>IF(J1949&lt;=G1949,1,0)</f>
        <v/>
      </c>
      <c r="P1949" s="4">
        <f>MAX(0,I1949-H1949)</f>
        <v/>
      </c>
      <c r="Q1949" s="4">
        <f>MAX(0,J1949-G1949)</f>
        <v/>
      </c>
      <c r="R1949" s="4">
        <f>IF(AND(N1949=1,O1949=1),"On Track",IF(O1949=0,"Customer Delivery Late","Ship Late"))</f>
        <v/>
      </c>
    </row>
    <row r="1950">
      <c r="A1950" s="2" t="inlineStr">
        <is>
          <t>ORD-01949</t>
        </is>
      </c>
      <c r="B1950" s="2" t="inlineStr">
        <is>
          <t>Customer 28</t>
        </is>
      </c>
      <c r="C1950" s="2" t="inlineStr">
        <is>
          <t>Relay</t>
        </is>
      </c>
      <c r="D1950" s="2" t="inlineStr">
        <is>
          <t>Plant A</t>
        </is>
      </c>
      <c r="E1950" s="2" t="inlineStr">
        <is>
          <t>Central</t>
        </is>
      </c>
      <c r="F1950" s="12" t="n">
        <v>46058</v>
      </c>
      <c r="G1950" s="12" t="n">
        <v>46073</v>
      </c>
      <c r="H1950" s="12" t="n">
        <v>46069</v>
      </c>
      <c r="I1950" s="12" t="n">
        <v>46068</v>
      </c>
      <c r="J1950" s="12" t="n">
        <v>46071</v>
      </c>
      <c r="K1950" s="2" t="n">
        <v>560</v>
      </c>
      <c r="L1950" s="2" t="inlineStr">
        <is>
          <t>Sea</t>
        </is>
      </c>
      <c r="M1950" s="2" t="inlineStr">
        <is>
          <t>No Delay</t>
        </is>
      </c>
      <c r="N1950" s="4">
        <f>IF(I1950&lt;=H1950,1,0)</f>
        <v/>
      </c>
      <c r="O1950" s="4">
        <f>IF(J1950&lt;=G1950,1,0)</f>
        <v/>
      </c>
      <c r="P1950" s="4">
        <f>MAX(0,I1950-H1950)</f>
        <v/>
      </c>
      <c r="Q1950" s="4">
        <f>MAX(0,J1950-G1950)</f>
        <v/>
      </c>
      <c r="R1950" s="4">
        <f>IF(AND(N1950=1,O1950=1),"On Track",IF(O1950=0,"Customer Delivery Late","Ship Late"))</f>
        <v/>
      </c>
    </row>
    <row r="1951">
      <c r="A1951" s="2" t="inlineStr">
        <is>
          <t>ORD-01950</t>
        </is>
      </c>
      <c r="B1951" s="2" t="inlineStr">
        <is>
          <t>Customer 29</t>
        </is>
      </c>
      <c r="C1951" s="2" t="inlineStr">
        <is>
          <t>Power Supply</t>
        </is>
      </c>
      <c r="D1951" s="2" t="inlineStr">
        <is>
          <t>Plant B</t>
        </is>
      </c>
      <c r="E1951" s="2" t="inlineStr">
        <is>
          <t>South</t>
        </is>
      </c>
      <c r="F1951" s="12" t="n">
        <v>46173</v>
      </c>
      <c r="G1951" s="12" t="n">
        <v>46195</v>
      </c>
      <c r="H1951" s="12" t="n">
        <v>46194</v>
      </c>
      <c r="I1951" s="12" t="n">
        <v>46192</v>
      </c>
      <c r="J1951" s="12" t="n">
        <v>46193</v>
      </c>
      <c r="K1951" s="2" t="n">
        <v>1274</v>
      </c>
      <c r="L1951" s="2" t="inlineStr">
        <is>
          <t>Sea</t>
        </is>
      </c>
      <c r="M1951" s="2" t="inlineStr">
        <is>
          <t>No Delay</t>
        </is>
      </c>
      <c r="N1951" s="4">
        <f>IF(I1951&lt;=H1951,1,0)</f>
        <v/>
      </c>
      <c r="O1951" s="4">
        <f>IF(J1951&lt;=G1951,1,0)</f>
        <v/>
      </c>
      <c r="P1951" s="4">
        <f>MAX(0,I1951-H1951)</f>
        <v/>
      </c>
      <c r="Q1951" s="4">
        <f>MAX(0,J1951-G1951)</f>
        <v/>
      </c>
      <c r="R1951" s="4">
        <f>IF(AND(N1951=1,O1951=1),"On Track",IF(O1951=0,"Customer Delivery Late","Ship Late"))</f>
        <v/>
      </c>
    </row>
    <row r="1952">
      <c r="A1952" s="2" t="inlineStr">
        <is>
          <t>ORD-01951</t>
        </is>
      </c>
      <c r="B1952" s="2" t="inlineStr">
        <is>
          <t>Customer 10</t>
        </is>
      </c>
      <c r="C1952" s="2" t="inlineStr">
        <is>
          <t>Sensor</t>
        </is>
      </c>
      <c r="D1952" s="2" t="inlineStr">
        <is>
          <t>Plant B</t>
        </is>
      </c>
      <c r="E1952" s="2" t="inlineStr">
        <is>
          <t>North</t>
        </is>
      </c>
      <c r="F1952" s="12" t="n">
        <v>46027</v>
      </c>
      <c r="G1952" s="12" t="n">
        <v>46035</v>
      </c>
      <c r="H1952" s="12" t="n">
        <v>46031</v>
      </c>
      <c r="I1952" s="12" t="n">
        <v>46031</v>
      </c>
      <c r="J1952" s="12" t="n">
        <v>46035</v>
      </c>
      <c r="K1952" s="2" t="n">
        <v>571</v>
      </c>
      <c r="L1952" s="2" t="inlineStr">
        <is>
          <t>Air</t>
        </is>
      </c>
      <c r="M1952" s="2" t="inlineStr">
        <is>
          <t>No Delay</t>
        </is>
      </c>
      <c r="N1952" s="4">
        <f>IF(I1952&lt;=H1952,1,0)</f>
        <v/>
      </c>
      <c r="O1952" s="4">
        <f>IF(J1952&lt;=G1952,1,0)</f>
        <v/>
      </c>
      <c r="P1952" s="4">
        <f>MAX(0,I1952-H1952)</f>
        <v/>
      </c>
      <c r="Q1952" s="4">
        <f>MAX(0,J1952-G1952)</f>
        <v/>
      </c>
      <c r="R1952" s="4">
        <f>IF(AND(N1952=1,O1952=1),"On Track",IF(O1952=0,"Customer Delivery Late","Ship Late"))</f>
        <v/>
      </c>
    </row>
    <row r="1953">
      <c r="A1953" s="2" t="inlineStr">
        <is>
          <t>ORD-01952</t>
        </is>
      </c>
      <c r="B1953" s="2" t="inlineStr">
        <is>
          <t>Customer 13</t>
        </is>
      </c>
      <c r="C1953" s="2" t="inlineStr">
        <is>
          <t>Drive</t>
        </is>
      </c>
      <c r="D1953" s="2" t="inlineStr">
        <is>
          <t>Plant B</t>
        </is>
      </c>
      <c r="E1953" s="2" t="inlineStr">
        <is>
          <t>South</t>
        </is>
      </c>
      <c r="F1953" s="12" t="n">
        <v>46029</v>
      </c>
      <c r="G1953" s="12" t="n">
        <v>46053</v>
      </c>
      <c r="H1953" s="12" t="n">
        <v>46051</v>
      </c>
      <c r="I1953" s="12" t="n">
        <v>46050</v>
      </c>
      <c r="J1953" s="12" t="n">
        <v>46052</v>
      </c>
      <c r="K1953" s="2" t="n">
        <v>296</v>
      </c>
      <c r="L1953" s="2" t="inlineStr">
        <is>
          <t>Air</t>
        </is>
      </c>
      <c r="M1953" s="2" t="inlineStr">
        <is>
          <t>No Delay</t>
        </is>
      </c>
      <c r="N1953" s="4">
        <f>IF(I1953&lt;=H1953,1,0)</f>
        <v/>
      </c>
      <c r="O1953" s="4">
        <f>IF(J1953&lt;=G1953,1,0)</f>
        <v/>
      </c>
      <c r="P1953" s="4">
        <f>MAX(0,I1953-H1953)</f>
        <v/>
      </c>
      <c r="Q1953" s="4">
        <f>MAX(0,J1953-G1953)</f>
        <v/>
      </c>
      <c r="R1953" s="4">
        <f>IF(AND(N1953=1,O1953=1),"On Track",IF(O1953=0,"Customer Delivery Late","Ship Late"))</f>
        <v/>
      </c>
    </row>
    <row r="1954">
      <c r="A1954" s="2" t="inlineStr">
        <is>
          <t>ORD-01953</t>
        </is>
      </c>
      <c r="B1954" s="2" t="inlineStr">
        <is>
          <t>Customer 19</t>
        </is>
      </c>
      <c r="C1954" s="2" t="inlineStr">
        <is>
          <t>Drive</t>
        </is>
      </c>
      <c r="D1954" s="2" t="inlineStr">
        <is>
          <t>Plant C</t>
        </is>
      </c>
      <c r="E1954" s="2" t="inlineStr">
        <is>
          <t>Export</t>
        </is>
      </c>
      <c r="F1954" s="12" t="n">
        <v>46036</v>
      </c>
      <c r="G1954" s="12" t="n">
        <v>46044</v>
      </c>
      <c r="H1954" s="12" t="n">
        <v>46039</v>
      </c>
      <c r="I1954" s="12" t="n">
        <v>46038</v>
      </c>
      <c r="J1954" s="12" t="n">
        <v>46043</v>
      </c>
      <c r="K1954" s="2" t="n">
        <v>1264</v>
      </c>
      <c r="L1954" s="2" t="inlineStr">
        <is>
          <t>Sea</t>
        </is>
      </c>
      <c r="M1954" s="2" t="inlineStr">
        <is>
          <t>No Delay</t>
        </is>
      </c>
      <c r="N1954" s="4">
        <f>IF(I1954&lt;=H1954,1,0)</f>
        <v/>
      </c>
      <c r="O1954" s="4">
        <f>IF(J1954&lt;=G1954,1,0)</f>
        <v/>
      </c>
      <c r="P1954" s="4">
        <f>MAX(0,I1954-H1954)</f>
        <v/>
      </c>
      <c r="Q1954" s="4">
        <f>MAX(0,J1954-G1954)</f>
        <v/>
      </c>
      <c r="R1954" s="4">
        <f>IF(AND(N1954=1,O1954=1),"On Track",IF(O1954=0,"Customer Delivery Late","Ship Late"))</f>
        <v/>
      </c>
    </row>
    <row r="1955">
      <c r="A1955" s="2" t="inlineStr">
        <is>
          <t>ORD-01954</t>
        </is>
      </c>
      <c r="B1955" s="2" t="inlineStr">
        <is>
          <t>Customer 13</t>
        </is>
      </c>
      <c r="C1955" s="2" t="inlineStr">
        <is>
          <t>Sensor</t>
        </is>
      </c>
      <c r="D1955" s="2" t="inlineStr">
        <is>
          <t>Plant A</t>
        </is>
      </c>
      <c r="E1955" s="2" t="inlineStr">
        <is>
          <t>South</t>
        </is>
      </c>
      <c r="F1955" s="12" t="n">
        <v>46108</v>
      </c>
      <c r="G1955" s="12" t="n">
        <v>46124</v>
      </c>
      <c r="H1955" s="12" t="n">
        <v>46119</v>
      </c>
      <c r="I1955" s="12" t="n">
        <v>46119</v>
      </c>
      <c r="J1955" s="12" t="n">
        <v>46124</v>
      </c>
      <c r="K1955" s="2" t="n">
        <v>1254</v>
      </c>
      <c r="L1955" s="2" t="inlineStr">
        <is>
          <t>Road</t>
        </is>
      </c>
      <c r="M1955" s="2" t="inlineStr">
        <is>
          <t>No Delay</t>
        </is>
      </c>
      <c r="N1955" s="4">
        <f>IF(I1955&lt;=H1955,1,0)</f>
        <v/>
      </c>
      <c r="O1955" s="4">
        <f>IF(J1955&lt;=G1955,1,0)</f>
        <v/>
      </c>
      <c r="P1955" s="4">
        <f>MAX(0,I1955-H1955)</f>
        <v/>
      </c>
      <c r="Q1955" s="4">
        <f>MAX(0,J1955-G1955)</f>
        <v/>
      </c>
      <c r="R1955" s="4">
        <f>IF(AND(N1955=1,O1955=1),"On Track",IF(O1955=0,"Customer Delivery Late","Ship Late"))</f>
        <v/>
      </c>
    </row>
    <row r="1956">
      <c r="A1956" s="2" t="inlineStr">
        <is>
          <t>ORD-01955</t>
        </is>
      </c>
      <c r="B1956" s="2" t="inlineStr">
        <is>
          <t>Customer 24</t>
        </is>
      </c>
      <c r="C1956" s="2" t="inlineStr">
        <is>
          <t>PLC</t>
        </is>
      </c>
      <c r="D1956" s="2" t="inlineStr">
        <is>
          <t>Plant B</t>
        </is>
      </c>
      <c r="E1956" s="2" t="inlineStr">
        <is>
          <t>South</t>
        </is>
      </c>
      <c r="F1956" s="12" t="n">
        <v>46029</v>
      </c>
      <c r="G1956" s="12" t="n">
        <v>46040</v>
      </c>
      <c r="H1956" s="12" t="n">
        <v>46035</v>
      </c>
      <c r="I1956" s="12" t="n">
        <v>46033</v>
      </c>
      <c r="J1956" s="12" t="n">
        <v>46038</v>
      </c>
      <c r="K1956" s="2" t="n">
        <v>1409</v>
      </c>
      <c r="L1956" s="2" t="inlineStr">
        <is>
          <t>Air</t>
        </is>
      </c>
      <c r="M1956" s="2" t="inlineStr">
        <is>
          <t>No Delay</t>
        </is>
      </c>
      <c r="N1956" s="4">
        <f>IF(I1956&lt;=H1956,1,0)</f>
        <v/>
      </c>
      <c r="O1956" s="4">
        <f>IF(J1956&lt;=G1956,1,0)</f>
        <v/>
      </c>
      <c r="P1956" s="4">
        <f>MAX(0,I1956-H1956)</f>
        <v/>
      </c>
      <c r="Q1956" s="4">
        <f>MAX(0,J1956-G1956)</f>
        <v/>
      </c>
      <c r="R1956" s="4">
        <f>IF(AND(N1956=1,O1956=1),"On Track",IF(O1956=0,"Customer Delivery Late","Ship Late"))</f>
        <v/>
      </c>
    </row>
    <row r="1957">
      <c r="A1957" s="2" t="inlineStr">
        <is>
          <t>ORD-01956</t>
        </is>
      </c>
      <c r="B1957" s="2" t="inlineStr">
        <is>
          <t>Customer 08</t>
        </is>
      </c>
      <c r="C1957" s="2" t="inlineStr">
        <is>
          <t>Contactor</t>
        </is>
      </c>
      <c r="D1957" s="2" t="inlineStr">
        <is>
          <t>Plant B</t>
        </is>
      </c>
      <c r="E1957" s="2" t="inlineStr">
        <is>
          <t>South</t>
        </is>
      </c>
      <c r="F1957" s="12" t="n">
        <v>46163</v>
      </c>
      <c r="G1957" s="12" t="n">
        <v>46180</v>
      </c>
      <c r="H1957" s="12" t="n">
        <v>46176</v>
      </c>
      <c r="I1957" s="12" t="n">
        <v>46176</v>
      </c>
      <c r="J1957" s="12" t="n">
        <v>46184</v>
      </c>
      <c r="K1957" s="2" t="n">
        <v>575</v>
      </c>
      <c r="L1957" s="2" t="inlineStr">
        <is>
          <t>Air</t>
        </is>
      </c>
      <c r="M1957" s="2" t="inlineStr">
        <is>
          <t>Production Delay</t>
        </is>
      </c>
      <c r="N1957" s="4">
        <f>IF(I1957&lt;=H1957,1,0)</f>
        <v/>
      </c>
      <c r="O1957" s="4">
        <f>IF(J1957&lt;=G1957,1,0)</f>
        <v/>
      </c>
      <c r="P1957" s="4">
        <f>MAX(0,I1957-H1957)</f>
        <v/>
      </c>
      <c r="Q1957" s="4">
        <f>MAX(0,J1957-G1957)</f>
        <v/>
      </c>
      <c r="R1957" s="4">
        <f>IF(AND(N1957=1,O1957=1),"On Track",IF(O1957=0,"Customer Delivery Late","Ship Late"))</f>
        <v/>
      </c>
    </row>
    <row r="1958">
      <c r="A1958" s="2" t="inlineStr">
        <is>
          <t>ORD-01957</t>
        </is>
      </c>
      <c r="B1958" s="2" t="inlineStr">
        <is>
          <t>Customer 04</t>
        </is>
      </c>
      <c r="C1958" s="2" t="inlineStr">
        <is>
          <t>Sensor</t>
        </is>
      </c>
      <c r="D1958" s="2" t="inlineStr">
        <is>
          <t>Plant C</t>
        </is>
      </c>
      <c r="E1958" s="2" t="inlineStr">
        <is>
          <t>Export</t>
        </is>
      </c>
      <c r="F1958" s="12" t="n">
        <v>46201</v>
      </c>
      <c r="G1958" s="12" t="n">
        <v>46208</v>
      </c>
      <c r="H1958" s="12" t="n">
        <v>46205</v>
      </c>
      <c r="I1958" s="12" t="n">
        <v>46204</v>
      </c>
      <c r="J1958" s="12" t="n">
        <v>46207</v>
      </c>
      <c r="K1958" s="2" t="n">
        <v>1087</v>
      </c>
      <c r="L1958" s="2" t="inlineStr">
        <is>
          <t>Sea</t>
        </is>
      </c>
      <c r="M1958" s="2" t="inlineStr">
        <is>
          <t>No Delay</t>
        </is>
      </c>
      <c r="N1958" s="4">
        <f>IF(I1958&lt;=H1958,1,0)</f>
        <v/>
      </c>
      <c r="O1958" s="4">
        <f>IF(J1958&lt;=G1958,1,0)</f>
        <v/>
      </c>
      <c r="P1958" s="4">
        <f>MAX(0,I1958-H1958)</f>
        <v/>
      </c>
      <c r="Q1958" s="4">
        <f>MAX(0,J1958-G1958)</f>
        <v/>
      </c>
      <c r="R1958" s="4">
        <f>IF(AND(N1958=1,O1958=1),"On Track",IF(O1958=0,"Customer Delivery Late","Ship Late"))</f>
        <v/>
      </c>
    </row>
    <row r="1959">
      <c r="A1959" s="2" t="inlineStr">
        <is>
          <t>ORD-01958</t>
        </is>
      </c>
      <c r="B1959" s="2" t="inlineStr">
        <is>
          <t>Customer 08</t>
        </is>
      </c>
      <c r="C1959" s="2" t="inlineStr">
        <is>
          <t>Switchgear</t>
        </is>
      </c>
      <c r="D1959" s="2" t="inlineStr">
        <is>
          <t>Plant B</t>
        </is>
      </c>
      <c r="E1959" s="2" t="inlineStr">
        <is>
          <t>Export</t>
        </is>
      </c>
      <c r="F1959" s="12" t="n">
        <v>46142</v>
      </c>
      <c r="G1959" s="12" t="n">
        <v>46165</v>
      </c>
      <c r="H1959" s="12" t="n">
        <v>46162</v>
      </c>
      <c r="I1959" s="12" t="n">
        <v>46160</v>
      </c>
      <c r="J1959" s="12" t="n">
        <v>46168</v>
      </c>
      <c r="K1959" s="2" t="n">
        <v>880</v>
      </c>
      <c r="L1959" s="2" t="inlineStr">
        <is>
          <t>Road</t>
        </is>
      </c>
      <c r="M1959" s="2" t="inlineStr">
        <is>
          <t>Carrier Delay</t>
        </is>
      </c>
      <c r="N1959" s="4">
        <f>IF(I1959&lt;=H1959,1,0)</f>
        <v/>
      </c>
      <c r="O1959" s="4">
        <f>IF(J1959&lt;=G1959,1,0)</f>
        <v/>
      </c>
      <c r="P1959" s="4">
        <f>MAX(0,I1959-H1959)</f>
        <v/>
      </c>
      <c r="Q1959" s="4">
        <f>MAX(0,J1959-G1959)</f>
        <v/>
      </c>
      <c r="R1959" s="4">
        <f>IF(AND(N1959=1,O1959=1),"On Track",IF(O1959=0,"Customer Delivery Late","Ship Late"))</f>
        <v/>
      </c>
    </row>
    <row r="1960">
      <c r="A1960" s="2" t="inlineStr">
        <is>
          <t>ORD-01959</t>
        </is>
      </c>
      <c r="B1960" s="2" t="inlineStr">
        <is>
          <t>Customer 23</t>
        </is>
      </c>
      <c r="C1960" s="2" t="inlineStr">
        <is>
          <t>Switchgear</t>
        </is>
      </c>
      <c r="D1960" s="2" t="inlineStr">
        <is>
          <t>Plant A</t>
        </is>
      </c>
      <c r="E1960" s="2" t="inlineStr">
        <is>
          <t>North</t>
        </is>
      </c>
      <c r="F1960" s="12" t="n">
        <v>46154</v>
      </c>
      <c r="G1960" s="12" t="n">
        <v>46165</v>
      </c>
      <c r="H1960" s="12" t="n">
        <v>46164</v>
      </c>
      <c r="I1960" s="12" t="n">
        <v>46163</v>
      </c>
      <c r="J1960" s="12" t="n">
        <v>46164</v>
      </c>
      <c r="K1960" s="2" t="n">
        <v>649</v>
      </c>
      <c r="L1960" s="2" t="inlineStr">
        <is>
          <t>Road</t>
        </is>
      </c>
      <c r="M1960" s="2" t="inlineStr">
        <is>
          <t>No Delay</t>
        </is>
      </c>
      <c r="N1960" s="4">
        <f>IF(I1960&lt;=H1960,1,0)</f>
        <v/>
      </c>
      <c r="O1960" s="4">
        <f>IF(J1960&lt;=G1960,1,0)</f>
        <v/>
      </c>
      <c r="P1960" s="4">
        <f>MAX(0,I1960-H1960)</f>
        <v/>
      </c>
      <c r="Q1960" s="4">
        <f>MAX(0,J1960-G1960)</f>
        <v/>
      </c>
      <c r="R1960" s="4">
        <f>IF(AND(N1960=1,O1960=1),"On Track",IF(O1960=0,"Customer Delivery Late","Ship Late"))</f>
        <v/>
      </c>
    </row>
    <row r="1961">
      <c r="A1961" s="2" t="inlineStr">
        <is>
          <t>ORD-01960</t>
        </is>
      </c>
      <c r="B1961" s="2" t="inlineStr">
        <is>
          <t>Customer 18</t>
        </is>
      </c>
      <c r="C1961" s="2" t="inlineStr">
        <is>
          <t>Power Supply</t>
        </is>
      </c>
      <c r="D1961" s="2" t="inlineStr">
        <is>
          <t>Plant A</t>
        </is>
      </c>
      <c r="E1961" s="2" t="inlineStr">
        <is>
          <t>North</t>
        </is>
      </c>
      <c r="F1961" s="12" t="n">
        <v>46172</v>
      </c>
      <c r="G1961" s="12" t="n">
        <v>46179</v>
      </c>
      <c r="H1961" s="12" t="n">
        <v>46176</v>
      </c>
      <c r="I1961" s="12" t="n">
        <v>46174</v>
      </c>
      <c r="J1961" s="12" t="n">
        <v>46177</v>
      </c>
      <c r="K1961" s="2" t="n">
        <v>40</v>
      </c>
      <c r="L1961" s="2" t="inlineStr">
        <is>
          <t>Air</t>
        </is>
      </c>
      <c r="M1961" s="2" t="inlineStr">
        <is>
          <t>No Delay</t>
        </is>
      </c>
      <c r="N1961" s="4">
        <f>IF(I1961&lt;=H1961,1,0)</f>
        <v/>
      </c>
      <c r="O1961" s="4">
        <f>IF(J1961&lt;=G1961,1,0)</f>
        <v/>
      </c>
      <c r="P1961" s="4">
        <f>MAX(0,I1961-H1961)</f>
        <v/>
      </c>
      <c r="Q1961" s="4">
        <f>MAX(0,J1961-G1961)</f>
        <v/>
      </c>
      <c r="R1961" s="4">
        <f>IF(AND(N1961=1,O1961=1),"On Track",IF(O1961=0,"Customer Delivery Late","Ship Late"))</f>
        <v/>
      </c>
    </row>
    <row r="1962">
      <c r="A1962" s="2" t="inlineStr">
        <is>
          <t>ORD-01961</t>
        </is>
      </c>
      <c r="B1962" s="2" t="inlineStr">
        <is>
          <t>Customer 10</t>
        </is>
      </c>
      <c r="C1962" s="2" t="inlineStr">
        <is>
          <t>Relay</t>
        </is>
      </c>
      <c r="D1962" s="2" t="inlineStr">
        <is>
          <t>Plant B</t>
        </is>
      </c>
      <c r="E1962" s="2" t="inlineStr">
        <is>
          <t>Export</t>
        </is>
      </c>
      <c r="F1962" s="12" t="n">
        <v>46163</v>
      </c>
      <c r="G1962" s="12" t="n">
        <v>46170</v>
      </c>
      <c r="H1962" s="12" t="n">
        <v>46165</v>
      </c>
      <c r="I1962" s="12" t="n">
        <v>46163</v>
      </c>
      <c r="J1962" s="12" t="n">
        <v>46169</v>
      </c>
      <c r="K1962" s="2" t="n">
        <v>118</v>
      </c>
      <c r="L1962" s="2" t="inlineStr">
        <is>
          <t>Air</t>
        </is>
      </c>
      <c r="M1962" s="2" t="inlineStr">
        <is>
          <t>No Delay</t>
        </is>
      </c>
      <c r="N1962" s="4">
        <f>IF(I1962&lt;=H1962,1,0)</f>
        <v/>
      </c>
      <c r="O1962" s="4">
        <f>IF(J1962&lt;=G1962,1,0)</f>
        <v/>
      </c>
      <c r="P1962" s="4">
        <f>MAX(0,I1962-H1962)</f>
        <v/>
      </c>
      <c r="Q1962" s="4">
        <f>MAX(0,J1962-G1962)</f>
        <v/>
      </c>
      <c r="R1962" s="4">
        <f>IF(AND(N1962=1,O1962=1),"On Track",IF(O1962=0,"Customer Delivery Late","Ship Late"))</f>
        <v/>
      </c>
    </row>
    <row r="1963">
      <c r="A1963" s="2" t="inlineStr">
        <is>
          <t>ORD-01962</t>
        </is>
      </c>
      <c r="B1963" s="2" t="inlineStr">
        <is>
          <t>Customer 24</t>
        </is>
      </c>
      <c r="C1963" s="2" t="inlineStr">
        <is>
          <t>Contactor</t>
        </is>
      </c>
      <c r="D1963" s="2" t="inlineStr">
        <is>
          <t>Plant B</t>
        </is>
      </c>
      <c r="E1963" s="2" t="inlineStr">
        <is>
          <t>South</t>
        </is>
      </c>
      <c r="F1963" s="12" t="n">
        <v>46187</v>
      </c>
      <c r="G1963" s="12" t="n">
        <v>46209</v>
      </c>
      <c r="H1963" s="12" t="n">
        <v>46208</v>
      </c>
      <c r="I1963" s="12" t="n">
        <v>46207</v>
      </c>
      <c r="J1963" s="12" t="n">
        <v>46208</v>
      </c>
      <c r="K1963" s="2" t="n">
        <v>377</v>
      </c>
      <c r="L1963" s="2" t="inlineStr">
        <is>
          <t>Sea</t>
        </is>
      </c>
      <c r="M1963" s="2" t="inlineStr">
        <is>
          <t>No Delay</t>
        </is>
      </c>
      <c r="N1963" s="4">
        <f>IF(I1963&lt;=H1963,1,0)</f>
        <v/>
      </c>
      <c r="O1963" s="4">
        <f>IF(J1963&lt;=G1963,1,0)</f>
        <v/>
      </c>
      <c r="P1963" s="4">
        <f>MAX(0,I1963-H1963)</f>
        <v/>
      </c>
      <c r="Q1963" s="4">
        <f>MAX(0,J1963-G1963)</f>
        <v/>
      </c>
      <c r="R1963" s="4">
        <f>IF(AND(N1963=1,O1963=1),"On Track",IF(O1963=0,"Customer Delivery Late","Ship Late"))</f>
        <v/>
      </c>
    </row>
    <row r="1964">
      <c r="A1964" s="2" t="inlineStr">
        <is>
          <t>ORD-01963</t>
        </is>
      </c>
      <c r="B1964" s="2" t="inlineStr">
        <is>
          <t>Customer 17</t>
        </is>
      </c>
      <c r="C1964" s="2" t="inlineStr">
        <is>
          <t>Power Supply</t>
        </is>
      </c>
      <c r="D1964" s="2" t="inlineStr">
        <is>
          <t>Plant B</t>
        </is>
      </c>
      <c r="E1964" s="2" t="inlineStr">
        <is>
          <t>South</t>
        </is>
      </c>
      <c r="F1964" s="12" t="n">
        <v>46073</v>
      </c>
      <c r="G1964" s="12" t="n">
        <v>46078</v>
      </c>
      <c r="H1964" s="12" t="n">
        <v>46074</v>
      </c>
      <c r="I1964" s="12" t="n">
        <v>46072</v>
      </c>
      <c r="J1964" s="12" t="n">
        <v>46075</v>
      </c>
      <c r="K1964" s="2" t="n">
        <v>1434</v>
      </c>
      <c r="L1964" s="2" t="inlineStr">
        <is>
          <t>Road</t>
        </is>
      </c>
      <c r="M1964" s="2" t="inlineStr">
        <is>
          <t>No Delay</t>
        </is>
      </c>
      <c r="N1964" s="4">
        <f>IF(I1964&lt;=H1964,1,0)</f>
        <v/>
      </c>
      <c r="O1964" s="4">
        <f>IF(J1964&lt;=G1964,1,0)</f>
        <v/>
      </c>
      <c r="P1964" s="4">
        <f>MAX(0,I1964-H1964)</f>
        <v/>
      </c>
      <c r="Q1964" s="4">
        <f>MAX(0,J1964-G1964)</f>
        <v/>
      </c>
      <c r="R1964" s="4">
        <f>IF(AND(N1964=1,O1964=1),"On Track",IF(O1964=0,"Customer Delivery Late","Ship Late"))</f>
        <v/>
      </c>
    </row>
    <row r="1965">
      <c r="A1965" s="2" t="inlineStr">
        <is>
          <t>ORD-01964</t>
        </is>
      </c>
      <c r="B1965" s="2" t="inlineStr">
        <is>
          <t>Customer 05</t>
        </is>
      </c>
      <c r="C1965" s="2" t="inlineStr">
        <is>
          <t>Breaker</t>
        </is>
      </c>
      <c r="D1965" s="2" t="inlineStr">
        <is>
          <t>Plant B</t>
        </is>
      </c>
      <c r="E1965" s="2" t="inlineStr">
        <is>
          <t>Export</t>
        </is>
      </c>
      <c r="F1965" s="12" t="n">
        <v>46195</v>
      </c>
      <c r="G1965" s="12" t="n">
        <v>46210</v>
      </c>
      <c r="H1965" s="12" t="n">
        <v>46208</v>
      </c>
      <c r="I1965" s="12" t="n">
        <v>46208</v>
      </c>
      <c r="J1965" s="12" t="n">
        <v>46209</v>
      </c>
      <c r="K1965" s="2" t="n">
        <v>993</v>
      </c>
      <c r="L1965" s="2" t="inlineStr">
        <is>
          <t>Road</t>
        </is>
      </c>
      <c r="M1965" s="2" t="inlineStr">
        <is>
          <t>No Delay</t>
        </is>
      </c>
      <c r="N1965" s="4">
        <f>IF(I1965&lt;=H1965,1,0)</f>
        <v/>
      </c>
      <c r="O1965" s="4">
        <f>IF(J1965&lt;=G1965,1,0)</f>
        <v/>
      </c>
      <c r="P1965" s="4">
        <f>MAX(0,I1965-H1965)</f>
        <v/>
      </c>
      <c r="Q1965" s="4">
        <f>MAX(0,J1965-G1965)</f>
        <v/>
      </c>
      <c r="R1965" s="4">
        <f>IF(AND(N1965=1,O1965=1),"On Track",IF(O1965=0,"Customer Delivery Late","Ship Late"))</f>
        <v/>
      </c>
    </row>
    <row r="1966">
      <c r="A1966" s="2" t="inlineStr">
        <is>
          <t>ORD-01965</t>
        </is>
      </c>
      <c r="B1966" s="2" t="inlineStr">
        <is>
          <t>Customer 28</t>
        </is>
      </c>
      <c r="C1966" s="2" t="inlineStr">
        <is>
          <t>Power Supply</t>
        </is>
      </c>
      <c r="D1966" s="2" t="inlineStr">
        <is>
          <t>Plant B</t>
        </is>
      </c>
      <c r="E1966" s="2" t="inlineStr">
        <is>
          <t>Central</t>
        </is>
      </c>
      <c r="F1966" s="12" t="n">
        <v>46049</v>
      </c>
      <c r="G1966" s="12" t="n">
        <v>46064</v>
      </c>
      <c r="H1966" s="12" t="n">
        <v>46063</v>
      </c>
      <c r="I1966" s="12" t="n">
        <v>46063</v>
      </c>
      <c r="J1966" s="12" t="n">
        <v>46064</v>
      </c>
      <c r="K1966" s="2" t="n">
        <v>431</v>
      </c>
      <c r="L1966" s="2" t="inlineStr">
        <is>
          <t>Sea</t>
        </is>
      </c>
      <c r="M1966" s="2" t="inlineStr">
        <is>
          <t>No Delay</t>
        </is>
      </c>
      <c r="N1966" s="4">
        <f>IF(I1966&lt;=H1966,1,0)</f>
        <v/>
      </c>
      <c r="O1966" s="4">
        <f>IF(J1966&lt;=G1966,1,0)</f>
        <v/>
      </c>
      <c r="P1966" s="4">
        <f>MAX(0,I1966-H1966)</f>
        <v/>
      </c>
      <c r="Q1966" s="4">
        <f>MAX(0,J1966-G1966)</f>
        <v/>
      </c>
      <c r="R1966" s="4">
        <f>IF(AND(N1966=1,O1966=1),"On Track",IF(O1966=0,"Customer Delivery Late","Ship Late"))</f>
        <v/>
      </c>
    </row>
    <row r="1967">
      <c r="A1967" s="2" t="inlineStr">
        <is>
          <t>ORD-01966</t>
        </is>
      </c>
      <c r="B1967" s="2" t="inlineStr">
        <is>
          <t>Customer 11</t>
        </is>
      </c>
      <c r="C1967" s="2" t="inlineStr">
        <is>
          <t>PLC</t>
        </is>
      </c>
      <c r="D1967" s="2" t="inlineStr">
        <is>
          <t>Plant C</t>
        </is>
      </c>
      <c r="E1967" s="2" t="inlineStr">
        <is>
          <t>Central</t>
        </is>
      </c>
      <c r="F1967" s="12" t="n">
        <v>46155</v>
      </c>
      <c r="G1967" s="12" t="n">
        <v>46164</v>
      </c>
      <c r="H1967" s="12" t="n">
        <v>46162</v>
      </c>
      <c r="I1967" s="12" t="n">
        <v>46160</v>
      </c>
      <c r="J1967" s="12" t="n">
        <v>46161</v>
      </c>
      <c r="K1967" s="2" t="n">
        <v>387</v>
      </c>
      <c r="L1967" s="2" t="inlineStr">
        <is>
          <t>Sea</t>
        </is>
      </c>
      <c r="M1967" s="2" t="inlineStr">
        <is>
          <t>No Delay</t>
        </is>
      </c>
      <c r="N1967" s="4">
        <f>IF(I1967&lt;=H1967,1,0)</f>
        <v/>
      </c>
      <c r="O1967" s="4">
        <f>IF(J1967&lt;=G1967,1,0)</f>
        <v/>
      </c>
      <c r="P1967" s="4">
        <f>MAX(0,I1967-H1967)</f>
        <v/>
      </c>
      <c r="Q1967" s="4">
        <f>MAX(0,J1967-G1967)</f>
        <v/>
      </c>
      <c r="R1967" s="4">
        <f>IF(AND(N1967=1,O1967=1),"On Track",IF(O1967=0,"Customer Delivery Late","Ship Late"))</f>
        <v/>
      </c>
    </row>
    <row r="1968">
      <c r="A1968" s="2" t="inlineStr">
        <is>
          <t>ORD-01967</t>
        </is>
      </c>
      <c r="B1968" s="2" t="inlineStr">
        <is>
          <t>Customer 24</t>
        </is>
      </c>
      <c r="C1968" s="2" t="inlineStr">
        <is>
          <t>Breaker</t>
        </is>
      </c>
      <c r="D1968" s="2" t="inlineStr">
        <is>
          <t>Plant A</t>
        </is>
      </c>
      <c r="E1968" s="2" t="inlineStr">
        <is>
          <t>North</t>
        </is>
      </c>
      <c r="F1968" s="12" t="n">
        <v>46068</v>
      </c>
      <c r="G1968" s="12" t="n">
        <v>46074</v>
      </c>
      <c r="H1968" s="12" t="n">
        <v>46071</v>
      </c>
      <c r="I1968" s="12" t="n">
        <v>46071</v>
      </c>
      <c r="J1968" s="12" t="n">
        <v>46073</v>
      </c>
      <c r="K1968" s="2" t="n">
        <v>435</v>
      </c>
      <c r="L1968" s="2" t="inlineStr">
        <is>
          <t>Air</t>
        </is>
      </c>
      <c r="M1968" s="2" t="inlineStr">
        <is>
          <t>No Delay</t>
        </is>
      </c>
      <c r="N1968" s="4">
        <f>IF(I1968&lt;=H1968,1,0)</f>
        <v/>
      </c>
      <c r="O1968" s="4">
        <f>IF(J1968&lt;=G1968,1,0)</f>
        <v/>
      </c>
      <c r="P1968" s="4">
        <f>MAX(0,I1968-H1968)</f>
        <v/>
      </c>
      <c r="Q1968" s="4">
        <f>MAX(0,J1968-G1968)</f>
        <v/>
      </c>
      <c r="R1968" s="4">
        <f>IF(AND(N1968=1,O1968=1),"On Track",IF(O1968=0,"Customer Delivery Late","Ship Late"))</f>
        <v/>
      </c>
    </row>
    <row r="1969">
      <c r="A1969" s="2" t="inlineStr">
        <is>
          <t>ORD-01968</t>
        </is>
      </c>
      <c r="B1969" s="2" t="inlineStr">
        <is>
          <t>Customer 12</t>
        </is>
      </c>
      <c r="C1969" s="2" t="inlineStr">
        <is>
          <t>Relay</t>
        </is>
      </c>
      <c r="D1969" s="2" t="inlineStr">
        <is>
          <t>Plant C</t>
        </is>
      </c>
      <c r="E1969" s="2" t="inlineStr">
        <is>
          <t>Export</t>
        </is>
      </c>
      <c r="F1969" s="12" t="n">
        <v>46159</v>
      </c>
      <c r="G1969" s="12" t="n">
        <v>46173</v>
      </c>
      <c r="H1969" s="12" t="n">
        <v>46171</v>
      </c>
      <c r="I1969" s="12" t="n">
        <v>46169</v>
      </c>
      <c r="J1969" s="12" t="n">
        <v>46171</v>
      </c>
      <c r="K1969" s="2" t="n">
        <v>249</v>
      </c>
      <c r="L1969" s="2" t="inlineStr">
        <is>
          <t>Road</t>
        </is>
      </c>
      <c r="M1969" s="2" t="inlineStr">
        <is>
          <t>No Delay</t>
        </is>
      </c>
      <c r="N1969" s="4">
        <f>IF(I1969&lt;=H1969,1,0)</f>
        <v/>
      </c>
      <c r="O1969" s="4">
        <f>IF(J1969&lt;=G1969,1,0)</f>
        <v/>
      </c>
      <c r="P1969" s="4">
        <f>MAX(0,I1969-H1969)</f>
        <v/>
      </c>
      <c r="Q1969" s="4">
        <f>MAX(0,J1969-G1969)</f>
        <v/>
      </c>
      <c r="R1969" s="4">
        <f>IF(AND(N1969=1,O1969=1),"On Track",IF(O1969=0,"Customer Delivery Late","Ship Late"))</f>
        <v/>
      </c>
    </row>
    <row r="1970">
      <c r="A1970" s="2" t="inlineStr">
        <is>
          <t>ORD-01969</t>
        </is>
      </c>
      <c r="B1970" s="2" t="inlineStr">
        <is>
          <t>Customer 10</t>
        </is>
      </c>
      <c r="C1970" s="2" t="inlineStr">
        <is>
          <t>Relay</t>
        </is>
      </c>
      <c r="D1970" s="2" t="inlineStr">
        <is>
          <t>Plant C</t>
        </is>
      </c>
      <c r="E1970" s="2" t="inlineStr">
        <is>
          <t>Export</t>
        </is>
      </c>
      <c r="F1970" s="12" t="n">
        <v>46063</v>
      </c>
      <c r="G1970" s="12" t="n">
        <v>46075</v>
      </c>
      <c r="H1970" s="12" t="n">
        <v>46070</v>
      </c>
      <c r="I1970" s="12" t="n">
        <v>46069</v>
      </c>
      <c r="J1970" s="12" t="n">
        <v>46074</v>
      </c>
      <c r="K1970" s="2" t="n">
        <v>621</v>
      </c>
      <c r="L1970" s="2" t="inlineStr">
        <is>
          <t>Air</t>
        </is>
      </c>
      <c r="M1970" s="2" t="inlineStr">
        <is>
          <t>No Delay</t>
        </is>
      </c>
      <c r="N1970" s="4">
        <f>IF(I1970&lt;=H1970,1,0)</f>
        <v/>
      </c>
      <c r="O1970" s="4">
        <f>IF(J1970&lt;=G1970,1,0)</f>
        <v/>
      </c>
      <c r="P1970" s="4">
        <f>MAX(0,I1970-H1970)</f>
        <v/>
      </c>
      <c r="Q1970" s="4">
        <f>MAX(0,J1970-G1970)</f>
        <v/>
      </c>
      <c r="R1970" s="4">
        <f>IF(AND(N1970=1,O1970=1),"On Track",IF(O1970=0,"Customer Delivery Late","Ship Late"))</f>
        <v/>
      </c>
    </row>
    <row r="1971">
      <c r="A1971" s="2" t="inlineStr">
        <is>
          <t>ORD-01970</t>
        </is>
      </c>
      <c r="B1971" s="2" t="inlineStr">
        <is>
          <t>Customer 14</t>
        </is>
      </c>
      <c r="C1971" s="2" t="inlineStr">
        <is>
          <t>PLC</t>
        </is>
      </c>
      <c r="D1971" s="2" t="inlineStr">
        <is>
          <t>Plant B</t>
        </is>
      </c>
      <c r="E1971" s="2" t="inlineStr">
        <is>
          <t>Central</t>
        </is>
      </c>
      <c r="F1971" s="12" t="n">
        <v>46179</v>
      </c>
      <c r="G1971" s="12" t="n">
        <v>46198</v>
      </c>
      <c r="H1971" s="12" t="n">
        <v>46194</v>
      </c>
      <c r="I1971" s="12" t="n">
        <v>46192</v>
      </c>
      <c r="J1971" s="12" t="n">
        <v>46197</v>
      </c>
      <c r="K1971" s="2" t="n">
        <v>121</v>
      </c>
      <c r="L1971" s="2" t="inlineStr">
        <is>
          <t>Sea</t>
        </is>
      </c>
      <c r="M1971" s="2" t="inlineStr">
        <is>
          <t>No Delay</t>
        </is>
      </c>
      <c r="N1971" s="4">
        <f>IF(I1971&lt;=H1971,1,0)</f>
        <v/>
      </c>
      <c r="O1971" s="4">
        <f>IF(J1971&lt;=G1971,1,0)</f>
        <v/>
      </c>
      <c r="P1971" s="4">
        <f>MAX(0,I1971-H1971)</f>
        <v/>
      </c>
      <c r="Q1971" s="4">
        <f>MAX(0,J1971-G1971)</f>
        <v/>
      </c>
      <c r="R1971" s="4">
        <f>IF(AND(N1971=1,O1971=1),"On Track",IF(O1971=0,"Customer Delivery Late","Ship Late"))</f>
        <v/>
      </c>
    </row>
    <row r="1972">
      <c r="A1972" s="2" t="inlineStr">
        <is>
          <t>ORD-01971</t>
        </is>
      </c>
      <c r="B1972" s="2" t="inlineStr">
        <is>
          <t>Customer 19</t>
        </is>
      </c>
      <c r="C1972" s="2" t="inlineStr">
        <is>
          <t>Drive</t>
        </is>
      </c>
      <c r="D1972" s="2" t="inlineStr">
        <is>
          <t>Plant A</t>
        </is>
      </c>
      <c r="E1972" s="2" t="inlineStr">
        <is>
          <t>Export</t>
        </is>
      </c>
      <c r="F1972" s="12" t="n">
        <v>46172</v>
      </c>
      <c r="G1972" s="12" t="n">
        <v>46188</v>
      </c>
      <c r="H1972" s="12" t="n">
        <v>46186</v>
      </c>
      <c r="I1972" s="12" t="n">
        <v>46185</v>
      </c>
      <c r="J1972" s="12" t="n">
        <v>46187</v>
      </c>
      <c r="K1972" s="2" t="n">
        <v>485</v>
      </c>
      <c r="L1972" s="2" t="inlineStr">
        <is>
          <t>Air</t>
        </is>
      </c>
      <c r="M1972" s="2" t="inlineStr">
        <is>
          <t>No Delay</t>
        </is>
      </c>
      <c r="N1972" s="4">
        <f>IF(I1972&lt;=H1972,1,0)</f>
        <v/>
      </c>
      <c r="O1972" s="4">
        <f>IF(J1972&lt;=G1972,1,0)</f>
        <v/>
      </c>
      <c r="P1972" s="4">
        <f>MAX(0,I1972-H1972)</f>
        <v/>
      </c>
      <c r="Q1972" s="4">
        <f>MAX(0,J1972-G1972)</f>
        <v/>
      </c>
      <c r="R1972" s="4">
        <f>IF(AND(N1972=1,O1972=1),"On Track",IF(O1972=0,"Customer Delivery Late","Ship Late"))</f>
        <v/>
      </c>
    </row>
    <row r="1973">
      <c r="A1973" s="2" t="inlineStr">
        <is>
          <t>ORD-01972</t>
        </is>
      </c>
      <c r="B1973" s="2" t="inlineStr">
        <is>
          <t>Customer 19</t>
        </is>
      </c>
      <c r="C1973" s="2" t="inlineStr">
        <is>
          <t>Contactor</t>
        </is>
      </c>
      <c r="D1973" s="2" t="inlineStr">
        <is>
          <t>Plant B</t>
        </is>
      </c>
      <c r="E1973" s="2" t="inlineStr">
        <is>
          <t>Export</t>
        </is>
      </c>
      <c r="F1973" s="12" t="n">
        <v>46126</v>
      </c>
      <c r="G1973" s="12" t="n">
        <v>46133</v>
      </c>
      <c r="H1973" s="12" t="n">
        <v>46130</v>
      </c>
      <c r="I1973" s="12" t="n">
        <v>46129</v>
      </c>
      <c r="J1973" s="12" t="n">
        <v>46132</v>
      </c>
      <c r="K1973" s="2" t="n">
        <v>808</v>
      </c>
      <c r="L1973" s="2" t="inlineStr">
        <is>
          <t>Road</t>
        </is>
      </c>
      <c r="M1973" s="2" t="inlineStr">
        <is>
          <t>No Delay</t>
        </is>
      </c>
      <c r="N1973" s="4">
        <f>IF(I1973&lt;=H1973,1,0)</f>
        <v/>
      </c>
      <c r="O1973" s="4">
        <f>IF(J1973&lt;=G1973,1,0)</f>
        <v/>
      </c>
      <c r="P1973" s="4">
        <f>MAX(0,I1973-H1973)</f>
        <v/>
      </c>
      <c r="Q1973" s="4">
        <f>MAX(0,J1973-G1973)</f>
        <v/>
      </c>
      <c r="R1973" s="4">
        <f>IF(AND(N1973=1,O1973=1),"On Track",IF(O1973=0,"Customer Delivery Late","Ship Late"))</f>
        <v/>
      </c>
    </row>
    <row r="1974">
      <c r="A1974" s="2" t="inlineStr">
        <is>
          <t>ORD-01973</t>
        </is>
      </c>
      <c r="B1974" s="2" t="inlineStr">
        <is>
          <t>Customer 16</t>
        </is>
      </c>
      <c r="C1974" s="2" t="inlineStr">
        <is>
          <t>Drive</t>
        </is>
      </c>
      <c r="D1974" s="2" t="inlineStr">
        <is>
          <t>Plant A</t>
        </is>
      </c>
      <c r="E1974" s="2" t="inlineStr">
        <is>
          <t>Central</t>
        </is>
      </c>
      <c r="F1974" s="12" t="n">
        <v>46117</v>
      </c>
      <c r="G1974" s="12" t="n">
        <v>46129</v>
      </c>
      <c r="H1974" s="12" t="n">
        <v>46124</v>
      </c>
      <c r="I1974" s="12" t="n">
        <v>46123</v>
      </c>
      <c r="J1974" s="12" t="n">
        <v>46128</v>
      </c>
      <c r="K1974" s="2" t="n">
        <v>838</v>
      </c>
      <c r="L1974" s="2" t="inlineStr">
        <is>
          <t>Sea</t>
        </is>
      </c>
      <c r="M1974" s="2" t="inlineStr">
        <is>
          <t>No Delay</t>
        </is>
      </c>
      <c r="N1974" s="4">
        <f>IF(I1974&lt;=H1974,1,0)</f>
        <v/>
      </c>
      <c r="O1974" s="4">
        <f>IF(J1974&lt;=G1974,1,0)</f>
        <v/>
      </c>
      <c r="P1974" s="4">
        <f>MAX(0,I1974-H1974)</f>
        <v/>
      </c>
      <c r="Q1974" s="4">
        <f>MAX(0,J1974-G1974)</f>
        <v/>
      </c>
      <c r="R1974" s="4">
        <f>IF(AND(N1974=1,O1974=1),"On Track",IF(O1974=0,"Customer Delivery Late","Ship Late"))</f>
        <v/>
      </c>
    </row>
    <row r="1975">
      <c r="A1975" s="2" t="inlineStr">
        <is>
          <t>ORD-01974</t>
        </is>
      </c>
      <c r="B1975" s="2" t="inlineStr">
        <is>
          <t>Customer 11</t>
        </is>
      </c>
      <c r="C1975" s="2" t="inlineStr">
        <is>
          <t>PLC</t>
        </is>
      </c>
      <c r="D1975" s="2" t="inlineStr">
        <is>
          <t>Plant B</t>
        </is>
      </c>
      <c r="E1975" s="2" t="inlineStr">
        <is>
          <t>Central</t>
        </is>
      </c>
      <c r="F1975" s="12" t="n">
        <v>46201</v>
      </c>
      <c r="G1975" s="12" t="n">
        <v>46217</v>
      </c>
      <c r="H1975" s="12" t="n">
        <v>46215</v>
      </c>
      <c r="I1975" s="12" t="n">
        <v>46214</v>
      </c>
      <c r="J1975" s="12" t="n">
        <v>46216</v>
      </c>
      <c r="K1975" s="2" t="n">
        <v>1159</v>
      </c>
      <c r="L1975" s="2" t="inlineStr">
        <is>
          <t>Sea</t>
        </is>
      </c>
      <c r="M1975" s="2" t="inlineStr">
        <is>
          <t>No Delay</t>
        </is>
      </c>
      <c r="N1975" s="4">
        <f>IF(I1975&lt;=H1975,1,0)</f>
        <v/>
      </c>
      <c r="O1975" s="4">
        <f>IF(J1975&lt;=G1975,1,0)</f>
        <v/>
      </c>
      <c r="P1975" s="4">
        <f>MAX(0,I1975-H1975)</f>
        <v/>
      </c>
      <c r="Q1975" s="4">
        <f>MAX(0,J1975-G1975)</f>
        <v/>
      </c>
      <c r="R1975" s="4">
        <f>IF(AND(N1975=1,O1975=1),"On Track",IF(O1975=0,"Customer Delivery Late","Ship Late"))</f>
        <v/>
      </c>
    </row>
    <row r="1976">
      <c r="A1976" s="2" t="inlineStr">
        <is>
          <t>ORD-01975</t>
        </is>
      </c>
      <c r="B1976" s="2" t="inlineStr">
        <is>
          <t>Customer 07</t>
        </is>
      </c>
      <c r="C1976" s="2" t="inlineStr">
        <is>
          <t>Power Supply</t>
        </is>
      </c>
      <c r="D1976" s="2" t="inlineStr">
        <is>
          <t>Plant B</t>
        </is>
      </c>
      <c r="E1976" s="2" t="inlineStr">
        <is>
          <t>Central</t>
        </is>
      </c>
      <c r="F1976" s="12" t="n">
        <v>46201</v>
      </c>
      <c r="G1976" s="12" t="n">
        <v>46219</v>
      </c>
      <c r="H1976" s="12" t="n">
        <v>46217</v>
      </c>
      <c r="I1976" s="12" t="n">
        <v>46217</v>
      </c>
      <c r="J1976" s="12" t="n">
        <v>46219</v>
      </c>
      <c r="K1976" s="2" t="n">
        <v>619</v>
      </c>
      <c r="L1976" s="2" t="inlineStr">
        <is>
          <t>Road</t>
        </is>
      </c>
      <c r="M1976" s="2" t="inlineStr">
        <is>
          <t>No Delay</t>
        </is>
      </c>
      <c r="N1976" s="4">
        <f>IF(I1976&lt;=H1976,1,0)</f>
        <v/>
      </c>
      <c r="O1976" s="4">
        <f>IF(J1976&lt;=G1976,1,0)</f>
        <v/>
      </c>
      <c r="P1976" s="4">
        <f>MAX(0,I1976-H1976)</f>
        <v/>
      </c>
      <c r="Q1976" s="4">
        <f>MAX(0,J1976-G1976)</f>
        <v/>
      </c>
      <c r="R1976" s="4">
        <f>IF(AND(N1976=1,O1976=1),"On Track",IF(O1976=0,"Customer Delivery Late","Ship Late"))</f>
        <v/>
      </c>
    </row>
    <row r="1977">
      <c r="A1977" s="2" t="inlineStr">
        <is>
          <t>ORD-01976</t>
        </is>
      </c>
      <c r="B1977" s="2" t="inlineStr">
        <is>
          <t>Customer 18</t>
        </is>
      </c>
      <c r="C1977" s="2" t="inlineStr">
        <is>
          <t>PLC</t>
        </is>
      </c>
      <c r="D1977" s="2" t="inlineStr">
        <is>
          <t>Plant B</t>
        </is>
      </c>
      <c r="E1977" s="2" t="inlineStr">
        <is>
          <t>South</t>
        </is>
      </c>
      <c r="F1977" s="12" t="n">
        <v>46109</v>
      </c>
      <c r="G1977" s="12" t="n">
        <v>46129</v>
      </c>
      <c r="H1977" s="12" t="n">
        <v>46128</v>
      </c>
      <c r="I1977" s="12" t="n">
        <v>46127</v>
      </c>
      <c r="J1977" s="12" t="n">
        <v>46128</v>
      </c>
      <c r="K1977" s="2" t="n">
        <v>445</v>
      </c>
      <c r="L1977" s="2" t="inlineStr">
        <is>
          <t>Sea</t>
        </is>
      </c>
      <c r="M1977" s="2" t="inlineStr">
        <is>
          <t>No Delay</t>
        </is>
      </c>
      <c r="N1977" s="4">
        <f>IF(I1977&lt;=H1977,1,0)</f>
        <v/>
      </c>
      <c r="O1977" s="4">
        <f>IF(J1977&lt;=G1977,1,0)</f>
        <v/>
      </c>
      <c r="P1977" s="4">
        <f>MAX(0,I1977-H1977)</f>
        <v/>
      </c>
      <c r="Q1977" s="4">
        <f>MAX(0,J1977-G1977)</f>
        <v/>
      </c>
      <c r="R1977" s="4">
        <f>IF(AND(N1977=1,O1977=1),"On Track",IF(O1977=0,"Customer Delivery Late","Ship Late"))</f>
        <v/>
      </c>
    </row>
    <row r="1978">
      <c r="A1978" s="2" t="inlineStr">
        <is>
          <t>ORD-01977</t>
        </is>
      </c>
      <c r="B1978" s="2" t="inlineStr">
        <is>
          <t>Customer 01</t>
        </is>
      </c>
      <c r="C1978" s="2" t="inlineStr">
        <is>
          <t>Power Supply</t>
        </is>
      </c>
      <c r="D1978" s="2" t="inlineStr">
        <is>
          <t>Plant A</t>
        </is>
      </c>
      <c r="E1978" s="2" t="inlineStr">
        <is>
          <t>Export</t>
        </is>
      </c>
      <c r="F1978" s="12" t="n">
        <v>46096</v>
      </c>
      <c r="G1978" s="12" t="n">
        <v>46114</v>
      </c>
      <c r="H1978" s="12" t="n">
        <v>46109</v>
      </c>
      <c r="I1978" s="12" t="n">
        <v>46109</v>
      </c>
      <c r="J1978" s="12" t="n">
        <v>46114</v>
      </c>
      <c r="K1978" s="2" t="n">
        <v>1112</v>
      </c>
      <c r="L1978" s="2" t="inlineStr">
        <is>
          <t>Road</t>
        </is>
      </c>
      <c r="M1978" s="2" t="inlineStr">
        <is>
          <t>No Delay</t>
        </is>
      </c>
      <c r="N1978" s="4">
        <f>IF(I1978&lt;=H1978,1,0)</f>
        <v/>
      </c>
      <c r="O1978" s="4">
        <f>IF(J1978&lt;=G1978,1,0)</f>
        <v/>
      </c>
      <c r="P1978" s="4">
        <f>MAX(0,I1978-H1978)</f>
        <v/>
      </c>
      <c r="Q1978" s="4">
        <f>MAX(0,J1978-G1978)</f>
        <v/>
      </c>
      <c r="R1978" s="4">
        <f>IF(AND(N1978=1,O1978=1),"On Track",IF(O1978=0,"Customer Delivery Late","Ship Late"))</f>
        <v/>
      </c>
    </row>
    <row r="1979">
      <c r="A1979" s="2" t="inlineStr">
        <is>
          <t>ORD-01978</t>
        </is>
      </c>
      <c r="B1979" s="2" t="inlineStr">
        <is>
          <t>Customer 28</t>
        </is>
      </c>
      <c r="C1979" s="2" t="inlineStr">
        <is>
          <t>PLC</t>
        </is>
      </c>
      <c r="D1979" s="2" t="inlineStr">
        <is>
          <t>Plant C</t>
        </is>
      </c>
      <c r="E1979" s="2" t="inlineStr">
        <is>
          <t>North</t>
        </is>
      </c>
      <c r="F1979" s="12" t="n">
        <v>46098</v>
      </c>
      <c r="G1979" s="12" t="n">
        <v>46121</v>
      </c>
      <c r="H1979" s="12" t="n">
        <v>46117</v>
      </c>
      <c r="I1979" s="12" t="n">
        <v>46115</v>
      </c>
      <c r="J1979" s="12" t="n">
        <v>46119</v>
      </c>
      <c r="K1979" s="2" t="n">
        <v>217</v>
      </c>
      <c r="L1979" s="2" t="inlineStr">
        <is>
          <t>Air</t>
        </is>
      </c>
      <c r="M1979" s="2" t="inlineStr">
        <is>
          <t>No Delay</t>
        </is>
      </c>
      <c r="N1979" s="4">
        <f>IF(I1979&lt;=H1979,1,0)</f>
        <v/>
      </c>
      <c r="O1979" s="4">
        <f>IF(J1979&lt;=G1979,1,0)</f>
        <v/>
      </c>
      <c r="P1979" s="4">
        <f>MAX(0,I1979-H1979)</f>
        <v/>
      </c>
      <c r="Q1979" s="4">
        <f>MAX(0,J1979-G1979)</f>
        <v/>
      </c>
      <c r="R1979" s="4">
        <f>IF(AND(N1979=1,O1979=1),"On Track",IF(O1979=0,"Customer Delivery Late","Ship Late"))</f>
        <v/>
      </c>
    </row>
    <row r="1980">
      <c r="A1980" s="2" t="inlineStr">
        <is>
          <t>ORD-01979</t>
        </is>
      </c>
      <c r="B1980" s="2" t="inlineStr">
        <is>
          <t>Customer 26</t>
        </is>
      </c>
      <c r="C1980" s="2" t="inlineStr">
        <is>
          <t>PLC</t>
        </is>
      </c>
      <c r="D1980" s="2" t="inlineStr">
        <is>
          <t>Plant B</t>
        </is>
      </c>
      <c r="E1980" s="2" t="inlineStr">
        <is>
          <t>Central</t>
        </is>
      </c>
      <c r="F1980" s="12" t="n">
        <v>46154</v>
      </c>
      <c r="G1980" s="12" t="n">
        <v>46179</v>
      </c>
      <c r="H1980" s="12" t="n">
        <v>46177</v>
      </c>
      <c r="I1980" s="12" t="n">
        <v>46175</v>
      </c>
      <c r="J1980" s="12" t="n">
        <v>46177</v>
      </c>
      <c r="K1980" s="2" t="n">
        <v>787</v>
      </c>
      <c r="L1980" s="2" t="inlineStr">
        <is>
          <t>Road</t>
        </is>
      </c>
      <c r="M1980" s="2" t="inlineStr">
        <is>
          <t>No Delay</t>
        </is>
      </c>
      <c r="N1980" s="4">
        <f>IF(I1980&lt;=H1980,1,0)</f>
        <v/>
      </c>
      <c r="O1980" s="4">
        <f>IF(J1980&lt;=G1980,1,0)</f>
        <v/>
      </c>
      <c r="P1980" s="4">
        <f>MAX(0,I1980-H1980)</f>
        <v/>
      </c>
      <c r="Q1980" s="4">
        <f>MAX(0,J1980-G1980)</f>
        <v/>
      </c>
      <c r="R1980" s="4">
        <f>IF(AND(N1980=1,O1980=1),"On Track",IF(O1980=0,"Customer Delivery Late","Ship Late"))</f>
        <v/>
      </c>
    </row>
    <row r="1981">
      <c r="A1981" s="2" t="inlineStr">
        <is>
          <t>ORD-01980</t>
        </is>
      </c>
      <c r="B1981" s="2" t="inlineStr">
        <is>
          <t>Customer 29</t>
        </is>
      </c>
      <c r="C1981" s="2" t="inlineStr">
        <is>
          <t>Breaker</t>
        </is>
      </c>
      <c r="D1981" s="2" t="inlineStr">
        <is>
          <t>Plant C</t>
        </is>
      </c>
      <c r="E1981" s="2" t="inlineStr">
        <is>
          <t>Central</t>
        </is>
      </c>
      <c r="F1981" s="12" t="n">
        <v>46143</v>
      </c>
      <c r="G1981" s="12" t="n">
        <v>46153</v>
      </c>
      <c r="H1981" s="12" t="n">
        <v>46152</v>
      </c>
      <c r="I1981" s="12" t="n">
        <v>46151</v>
      </c>
      <c r="J1981" s="12" t="n">
        <v>46152</v>
      </c>
      <c r="K1981" s="2" t="n">
        <v>801</v>
      </c>
      <c r="L1981" s="2" t="inlineStr">
        <is>
          <t>Sea</t>
        </is>
      </c>
      <c r="M1981" s="2" t="inlineStr">
        <is>
          <t>No Delay</t>
        </is>
      </c>
      <c r="N1981" s="4">
        <f>IF(I1981&lt;=H1981,1,0)</f>
        <v/>
      </c>
      <c r="O1981" s="4">
        <f>IF(J1981&lt;=G1981,1,0)</f>
        <v/>
      </c>
      <c r="P1981" s="4">
        <f>MAX(0,I1981-H1981)</f>
        <v/>
      </c>
      <c r="Q1981" s="4">
        <f>MAX(0,J1981-G1981)</f>
        <v/>
      </c>
      <c r="R1981" s="4">
        <f>IF(AND(N1981=1,O1981=1),"On Track",IF(O1981=0,"Customer Delivery Late","Ship Late"))</f>
        <v/>
      </c>
    </row>
    <row r="1982">
      <c r="A1982" s="2" t="inlineStr">
        <is>
          <t>ORD-01981</t>
        </is>
      </c>
      <c r="B1982" s="2" t="inlineStr">
        <is>
          <t>Customer 19</t>
        </is>
      </c>
      <c r="C1982" s="2" t="inlineStr">
        <is>
          <t>Sensor</t>
        </is>
      </c>
      <c r="D1982" s="2" t="inlineStr">
        <is>
          <t>Plant B</t>
        </is>
      </c>
      <c r="E1982" s="2" t="inlineStr">
        <is>
          <t>Export</t>
        </is>
      </c>
      <c r="F1982" s="12" t="n">
        <v>46093</v>
      </c>
      <c r="G1982" s="12" t="n">
        <v>46116</v>
      </c>
      <c r="H1982" s="12" t="n">
        <v>46114</v>
      </c>
      <c r="I1982" s="12" t="n">
        <v>46112</v>
      </c>
      <c r="J1982" s="12" t="n">
        <v>46114</v>
      </c>
      <c r="K1982" s="2" t="n">
        <v>386</v>
      </c>
      <c r="L1982" s="2" t="inlineStr">
        <is>
          <t>Air</t>
        </is>
      </c>
      <c r="M1982" s="2" t="inlineStr">
        <is>
          <t>No Delay</t>
        </is>
      </c>
      <c r="N1982" s="4">
        <f>IF(I1982&lt;=H1982,1,0)</f>
        <v/>
      </c>
      <c r="O1982" s="4">
        <f>IF(J1982&lt;=G1982,1,0)</f>
        <v/>
      </c>
      <c r="P1982" s="4">
        <f>MAX(0,I1982-H1982)</f>
        <v/>
      </c>
      <c r="Q1982" s="4">
        <f>MAX(0,J1982-G1982)</f>
        <v/>
      </c>
      <c r="R1982" s="4">
        <f>IF(AND(N1982=1,O1982=1),"On Track",IF(O1982=0,"Customer Delivery Late","Ship Late"))</f>
        <v/>
      </c>
    </row>
    <row r="1983">
      <c r="A1983" s="2" t="inlineStr">
        <is>
          <t>ORD-01982</t>
        </is>
      </c>
      <c r="B1983" s="2" t="inlineStr">
        <is>
          <t>Customer 10</t>
        </is>
      </c>
      <c r="C1983" s="2" t="inlineStr">
        <is>
          <t>Drive</t>
        </is>
      </c>
      <c r="D1983" s="2" t="inlineStr">
        <is>
          <t>Plant B</t>
        </is>
      </c>
      <c r="E1983" s="2" t="inlineStr">
        <is>
          <t>Central</t>
        </is>
      </c>
      <c r="F1983" s="12" t="n">
        <v>46187</v>
      </c>
      <c r="G1983" s="12" t="n">
        <v>46200</v>
      </c>
      <c r="H1983" s="12" t="n">
        <v>46198</v>
      </c>
      <c r="I1983" s="12" t="n">
        <v>46198</v>
      </c>
      <c r="J1983" s="12" t="n">
        <v>46200</v>
      </c>
      <c r="K1983" s="2" t="n">
        <v>401</v>
      </c>
      <c r="L1983" s="2" t="inlineStr">
        <is>
          <t>Sea</t>
        </is>
      </c>
      <c r="M1983" s="2" t="inlineStr">
        <is>
          <t>No Delay</t>
        </is>
      </c>
      <c r="N1983" s="4">
        <f>IF(I1983&lt;=H1983,1,0)</f>
        <v/>
      </c>
      <c r="O1983" s="4">
        <f>IF(J1983&lt;=G1983,1,0)</f>
        <v/>
      </c>
      <c r="P1983" s="4">
        <f>MAX(0,I1983-H1983)</f>
        <v/>
      </c>
      <c r="Q1983" s="4">
        <f>MAX(0,J1983-G1983)</f>
        <v/>
      </c>
      <c r="R1983" s="4">
        <f>IF(AND(N1983=1,O1983=1),"On Track",IF(O1983=0,"Customer Delivery Late","Ship Late"))</f>
        <v/>
      </c>
    </row>
    <row r="1984">
      <c r="A1984" s="2" t="inlineStr">
        <is>
          <t>ORD-01983</t>
        </is>
      </c>
      <c r="B1984" s="2" t="inlineStr">
        <is>
          <t>Customer 27</t>
        </is>
      </c>
      <c r="C1984" s="2" t="inlineStr">
        <is>
          <t>Sensor</t>
        </is>
      </c>
      <c r="D1984" s="2" t="inlineStr">
        <is>
          <t>Plant C</t>
        </is>
      </c>
      <c r="E1984" s="2" t="inlineStr">
        <is>
          <t>North</t>
        </is>
      </c>
      <c r="F1984" s="12" t="n">
        <v>46050</v>
      </c>
      <c r="G1984" s="12" t="n">
        <v>46069</v>
      </c>
      <c r="H1984" s="12" t="n">
        <v>46067</v>
      </c>
      <c r="I1984" s="12" t="n">
        <v>46067</v>
      </c>
      <c r="J1984" s="12" t="n">
        <v>46068</v>
      </c>
      <c r="K1984" s="2" t="n">
        <v>1377</v>
      </c>
      <c r="L1984" s="2" t="inlineStr">
        <is>
          <t>Road</t>
        </is>
      </c>
      <c r="M1984" s="2" t="inlineStr">
        <is>
          <t>No Delay</t>
        </is>
      </c>
      <c r="N1984" s="4">
        <f>IF(I1984&lt;=H1984,1,0)</f>
        <v/>
      </c>
      <c r="O1984" s="4">
        <f>IF(J1984&lt;=G1984,1,0)</f>
        <v/>
      </c>
      <c r="P1984" s="4">
        <f>MAX(0,I1984-H1984)</f>
        <v/>
      </c>
      <c r="Q1984" s="4">
        <f>MAX(0,J1984-G1984)</f>
        <v/>
      </c>
      <c r="R1984" s="4">
        <f>IF(AND(N1984=1,O1984=1),"On Track",IF(O1984=0,"Customer Delivery Late","Ship Late"))</f>
        <v/>
      </c>
    </row>
    <row r="1985">
      <c r="A1985" s="2" t="inlineStr">
        <is>
          <t>ORD-01984</t>
        </is>
      </c>
      <c r="B1985" s="2" t="inlineStr">
        <is>
          <t>Customer 20</t>
        </is>
      </c>
      <c r="C1985" s="2" t="inlineStr">
        <is>
          <t>Power Supply</t>
        </is>
      </c>
      <c r="D1985" s="2" t="inlineStr">
        <is>
          <t>Plant B</t>
        </is>
      </c>
      <c r="E1985" s="2" t="inlineStr">
        <is>
          <t>North</t>
        </is>
      </c>
      <c r="F1985" s="12" t="n">
        <v>46069</v>
      </c>
      <c r="G1985" s="12" t="n">
        <v>46094</v>
      </c>
      <c r="H1985" s="12" t="n">
        <v>46090</v>
      </c>
      <c r="I1985" s="12" t="n">
        <v>46089</v>
      </c>
      <c r="J1985" s="12" t="n">
        <v>46094</v>
      </c>
      <c r="K1985" s="2" t="n">
        <v>853</v>
      </c>
      <c r="L1985" s="2" t="inlineStr">
        <is>
          <t>Sea</t>
        </is>
      </c>
      <c r="M1985" s="2" t="inlineStr">
        <is>
          <t>No Delay</t>
        </is>
      </c>
      <c r="N1985" s="4">
        <f>IF(I1985&lt;=H1985,1,0)</f>
        <v/>
      </c>
      <c r="O1985" s="4">
        <f>IF(J1985&lt;=G1985,1,0)</f>
        <v/>
      </c>
      <c r="P1985" s="4">
        <f>MAX(0,I1985-H1985)</f>
        <v/>
      </c>
      <c r="Q1985" s="4">
        <f>MAX(0,J1985-G1985)</f>
        <v/>
      </c>
      <c r="R1985" s="4">
        <f>IF(AND(N1985=1,O1985=1),"On Track",IF(O1985=0,"Customer Delivery Late","Ship Late"))</f>
        <v/>
      </c>
    </row>
    <row r="1986">
      <c r="A1986" s="2" t="inlineStr">
        <is>
          <t>ORD-01985</t>
        </is>
      </c>
      <c r="B1986" s="2" t="inlineStr">
        <is>
          <t>Customer 13</t>
        </is>
      </c>
      <c r="C1986" s="2" t="inlineStr">
        <is>
          <t>Contactor</t>
        </is>
      </c>
      <c r="D1986" s="2" t="inlineStr">
        <is>
          <t>Plant A</t>
        </is>
      </c>
      <c r="E1986" s="2" t="inlineStr">
        <is>
          <t>South</t>
        </is>
      </c>
      <c r="F1986" s="12" t="n">
        <v>46163</v>
      </c>
      <c r="G1986" s="12" t="n">
        <v>46175</v>
      </c>
      <c r="H1986" s="12" t="n">
        <v>46173</v>
      </c>
      <c r="I1986" s="12" t="n">
        <v>46173</v>
      </c>
      <c r="J1986" s="12" t="n">
        <v>46174</v>
      </c>
      <c r="K1986" s="2" t="n">
        <v>1179</v>
      </c>
      <c r="L1986" s="2" t="inlineStr">
        <is>
          <t>Road</t>
        </is>
      </c>
      <c r="M1986" s="2" t="inlineStr">
        <is>
          <t>No Delay</t>
        </is>
      </c>
      <c r="N1986" s="4">
        <f>IF(I1986&lt;=H1986,1,0)</f>
        <v/>
      </c>
      <c r="O1986" s="4">
        <f>IF(J1986&lt;=G1986,1,0)</f>
        <v/>
      </c>
      <c r="P1986" s="4">
        <f>MAX(0,I1986-H1986)</f>
        <v/>
      </c>
      <c r="Q1986" s="4">
        <f>MAX(0,J1986-G1986)</f>
        <v/>
      </c>
      <c r="R1986" s="4">
        <f>IF(AND(N1986=1,O1986=1),"On Track",IF(O1986=0,"Customer Delivery Late","Ship Late"))</f>
        <v/>
      </c>
    </row>
    <row r="1987">
      <c r="A1987" s="2" t="inlineStr">
        <is>
          <t>ORD-01986</t>
        </is>
      </c>
      <c r="B1987" s="2" t="inlineStr">
        <is>
          <t>Customer 08</t>
        </is>
      </c>
      <c r="C1987" s="2" t="inlineStr">
        <is>
          <t>Sensor</t>
        </is>
      </c>
      <c r="D1987" s="2" t="inlineStr">
        <is>
          <t>Plant B</t>
        </is>
      </c>
      <c r="E1987" s="2" t="inlineStr">
        <is>
          <t>Central</t>
        </is>
      </c>
      <c r="F1987" s="12" t="n">
        <v>46052</v>
      </c>
      <c r="G1987" s="12" t="n">
        <v>46069</v>
      </c>
      <c r="H1987" s="12" t="n">
        <v>46067</v>
      </c>
      <c r="I1987" s="12" t="n">
        <v>46066</v>
      </c>
      <c r="J1987" s="12" t="n">
        <v>46067</v>
      </c>
      <c r="K1987" s="2" t="n">
        <v>985</v>
      </c>
      <c r="L1987" s="2" t="inlineStr">
        <is>
          <t>Sea</t>
        </is>
      </c>
      <c r="M1987" s="2" t="inlineStr">
        <is>
          <t>No Delay</t>
        </is>
      </c>
      <c r="N1987" s="4">
        <f>IF(I1987&lt;=H1987,1,0)</f>
        <v/>
      </c>
      <c r="O1987" s="4">
        <f>IF(J1987&lt;=G1987,1,0)</f>
        <v/>
      </c>
      <c r="P1987" s="4">
        <f>MAX(0,I1987-H1987)</f>
        <v/>
      </c>
      <c r="Q1987" s="4">
        <f>MAX(0,J1987-G1987)</f>
        <v/>
      </c>
      <c r="R1987" s="4">
        <f>IF(AND(N1987=1,O1987=1),"On Track",IF(O1987=0,"Customer Delivery Late","Ship Late"))</f>
        <v/>
      </c>
    </row>
    <row r="1988">
      <c r="A1988" s="2" t="inlineStr">
        <is>
          <t>ORD-01987</t>
        </is>
      </c>
      <c r="B1988" s="2" t="inlineStr">
        <is>
          <t>Customer 19</t>
        </is>
      </c>
      <c r="C1988" s="2" t="inlineStr">
        <is>
          <t>Sensor</t>
        </is>
      </c>
      <c r="D1988" s="2" t="inlineStr">
        <is>
          <t>Plant A</t>
        </is>
      </c>
      <c r="E1988" s="2" t="inlineStr">
        <is>
          <t>North</t>
        </is>
      </c>
      <c r="F1988" s="12" t="n">
        <v>46130</v>
      </c>
      <c r="G1988" s="12" t="n">
        <v>46150</v>
      </c>
      <c r="H1988" s="12" t="n">
        <v>46148</v>
      </c>
      <c r="I1988" s="12" t="n">
        <v>46147</v>
      </c>
      <c r="J1988" s="12" t="n">
        <v>46149</v>
      </c>
      <c r="K1988" s="2" t="n">
        <v>155</v>
      </c>
      <c r="L1988" s="2" t="inlineStr">
        <is>
          <t>Air</t>
        </is>
      </c>
      <c r="M1988" s="2" t="inlineStr">
        <is>
          <t>No Delay</t>
        </is>
      </c>
      <c r="N1988" s="4">
        <f>IF(I1988&lt;=H1988,1,0)</f>
        <v/>
      </c>
      <c r="O1988" s="4">
        <f>IF(J1988&lt;=G1988,1,0)</f>
        <v/>
      </c>
      <c r="P1988" s="4">
        <f>MAX(0,I1988-H1988)</f>
        <v/>
      </c>
      <c r="Q1988" s="4">
        <f>MAX(0,J1988-G1988)</f>
        <v/>
      </c>
      <c r="R1988" s="4">
        <f>IF(AND(N1988=1,O1988=1),"On Track",IF(O1988=0,"Customer Delivery Late","Ship Late"))</f>
        <v/>
      </c>
    </row>
    <row r="1989">
      <c r="A1989" s="2" t="inlineStr">
        <is>
          <t>ORD-01988</t>
        </is>
      </c>
      <c r="B1989" s="2" t="inlineStr">
        <is>
          <t>Customer 10</t>
        </is>
      </c>
      <c r="C1989" s="2" t="inlineStr">
        <is>
          <t>Contactor</t>
        </is>
      </c>
      <c r="D1989" s="2" t="inlineStr">
        <is>
          <t>Plant A</t>
        </is>
      </c>
      <c r="E1989" s="2" t="inlineStr">
        <is>
          <t>North</t>
        </is>
      </c>
      <c r="F1989" s="12" t="n">
        <v>46149</v>
      </c>
      <c r="G1989" s="12" t="n">
        <v>46173</v>
      </c>
      <c r="H1989" s="12" t="n">
        <v>46171</v>
      </c>
      <c r="I1989" s="12" t="n">
        <v>46170</v>
      </c>
      <c r="J1989" s="12" t="n">
        <v>46171</v>
      </c>
      <c r="K1989" s="2" t="n">
        <v>648</v>
      </c>
      <c r="L1989" s="2" t="inlineStr">
        <is>
          <t>Sea</t>
        </is>
      </c>
      <c r="M1989" s="2" t="inlineStr">
        <is>
          <t>No Delay</t>
        </is>
      </c>
      <c r="N1989" s="4">
        <f>IF(I1989&lt;=H1989,1,0)</f>
        <v/>
      </c>
      <c r="O1989" s="4">
        <f>IF(J1989&lt;=G1989,1,0)</f>
        <v/>
      </c>
      <c r="P1989" s="4">
        <f>MAX(0,I1989-H1989)</f>
        <v/>
      </c>
      <c r="Q1989" s="4">
        <f>MAX(0,J1989-G1989)</f>
        <v/>
      </c>
      <c r="R1989" s="4">
        <f>IF(AND(N1989=1,O1989=1),"On Track",IF(O1989=0,"Customer Delivery Late","Ship Late"))</f>
        <v/>
      </c>
    </row>
    <row r="1990">
      <c r="A1990" s="2" t="inlineStr">
        <is>
          <t>ORD-01989</t>
        </is>
      </c>
      <c r="B1990" s="2" t="inlineStr">
        <is>
          <t>Customer 18</t>
        </is>
      </c>
      <c r="C1990" s="2" t="inlineStr">
        <is>
          <t>Breaker</t>
        </is>
      </c>
      <c r="D1990" s="2" t="inlineStr">
        <is>
          <t>Plant C</t>
        </is>
      </c>
      <c r="E1990" s="2" t="inlineStr">
        <is>
          <t>North</t>
        </is>
      </c>
      <c r="F1990" s="12" t="n">
        <v>46064</v>
      </c>
      <c r="G1990" s="12" t="n">
        <v>46070</v>
      </c>
      <c r="H1990" s="12" t="n">
        <v>46068</v>
      </c>
      <c r="I1990" s="12" t="n">
        <v>46067</v>
      </c>
      <c r="J1990" s="12" t="n">
        <v>46068</v>
      </c>
      <c r="K1990" s="2" t="n">
        <v>1281</v>
      </c>
      <c r="L1990" s="2" t="inlineStr">
        <is>
          <t>Sea</t>
        </is>
      </c>
      <c r="M1990" s="2" t="inlineStr">
        <is>
          <t>No Delay</t>
        </is>
      </c>
      <c r="N1990" s="4">
        <f>IF(I1990&lt;=H1990,1,0)</f>
        <v/>
      </c>
      <c r="O1990" s="4">
        <f>IF(J1990&lt;=G1990,1,0)</f>
        <v/>
      </c>
      <c r="P1990" s="4">
        <f>MAX(0,I1990-H1990)</f>
        <v/>
      </c>
      <c r="Q1990" s="4">
        <f>MAX(0,J1990-G1990)</f>
        <v/>
      </c>
      <c r="R1990" s="4">
        <f>IF(AND(N1990=1,O1990=1),"On Track",IF(O1990=0,"Customer Delivery Late","Ship Late"))</f>
        <v/>
      </c>
    </row>
    <row r="1991">
      <c r="A1991" s="2" t="inlineStr">
        <is>
          <t>ORD-01990</t>
        </is>
      </c>
      <c r="B1991" s="2" t="inlineStr">
        <is>
          <t>Customer 30</t>
        </is>
      </c>
      <c r="C1991" s="2" t="inlineStr">
        <is>
          <t>Drive</t>
        </is>
      </c>
      <c r="D1991" s="2" t="inlineStr">
        <is>
          <t>Plant B</t>
        </is>
      </c>
      <c r="E1991" s="2" t="inlineStr">
        <is>
          <t>South</t>
        </is>
      </c>
      <c r="F1991" s="12" t="n">
        <v>46033</v>
      </c>
      <c r="G1991" s="12" t="n">
        <v>46045</v>
      </c>
      <c r="H1991" s="12" t="n">
        <v>46042</v>
      </c>
      <c r="I1991" s="12" t="n">
        <v>46040</v>
      </c>
      <c r="J1991" s="12" t="n">
        <v>46044</v>
      </c>
      <c r="K1991" s="2" t="n">
        <v>329</v>
      </c>
      <c r="L1991" s="2" t="inlineStr">
        <is>
          <t>Road</t>
        </is>
      </c>
      <c r="M1991" s="2" t="inlineStr">
        <is>
          <t>No Delay</t>
        </is>
      </c>
      <c r="N1991" s="4">
        <f>IF(I1991&lt;=H1991,1,0)</f>
        <v/>
      </c>
      <c r="O1991" s="4">
        <f>IF(J1991&lt;=G1991,1,0)</f>
        <v/>
      </c>
      <c r="P1991" s="4">
        <f>MAX(0,I1991-H1991)</f>
        <v/>
      </c>
      <c r="Q1991" s="4">
        <f>MAX(0,J1991-G1991)</f>
        <v/>
      </c>
      <c r="R1991" s="4">
        <f>IF(AND(N1991=1,O1991=1),"On Track",IF(O1991=0,"Customer Delivery Late","Ship Late"))</f>
        <v/>
      </c>
    </row>
    <row r="1992">
      <c r="A1992" s="2" t="inlineStr">
        <is>
          <t>ORD-01991</t>
        </is>
      </c>
      <c r="B1992" s="2" t="inlineStr">
        <is>
          <t>Customer 04</t>
        </is>
      </c>
      <c r="C1992" s="2" t="inlineStr">
        <is>
          <t>Switchgear</t>
        </is>
      </c>
      <c r="D1992" s="2" t="inlineStr">
        <is>
          <t>Plant C</t>
        </is>
      </c>
      <c r="E1992" s="2" t="inlineStr">
        <is>
          <t>North</t>
        </is>
      </c>
      <c r="F1992" s="12" t="n">
        <v>46076</v>
      </c>
      <c r="G1992" s="12" t="n">
        <v>46091</v>
      </c>
      <c r="H1992" s="12" t="n">
        <v>46089</v>
      </c>
      <c r="I1992" s="12" t="n">
        <v>46087</v>
      </c>
      <c r="J1992" s="12" t="n">
        <v>46090</v>
      </c>
      <c r="K1992" s="2" t="n">
        <v>430</v>
      </c>
      <c r="L1992" s="2" t="inlineStr">
        <is>
          <t>Sea</t>
        </is>
      </c>
      <c r="M1992" s="2" t="inlineStr">
        <is>
          <t>No Delay</t>
        </is>
      </c>
      <c r="N1992" s="4">
        <f>IF(I1992&lt;=H1992,1,0)</f>
        <v/>
      </c>
      <c r="O1992" s="4">
        <f>IF(J1992&lt;=G1992,1,0)</f>
        <v/>
      </c>
      <c r="P1992" s="4">
        <f>MAX(0,I1992-H1992)</f>
        <v/>
      </c>
      <c r="Q1992" s="4">
        <f>MAX(0,J1992-G1992)</f>
        <v/>
      </c>
      <c r="R1992" s="4">
        <f>IF(AND(N1992=1,O1992=1),"On Track",IF(O1992=0,"Customer Delivery Late","Ship Late"))</f>
        <v/>
      </c>
    </row>
    <row r="1993">
      <c r="A1993" s="2" t="inlineStr">
        <is>
          <t>ORD-01992</t>
        </is>
      </c>
      <c r="B1993" s="2" t="inlineStr">
        <is>
          <t>Customer 04</t>
        </is>
      </c>
      <c r="C1993" s="2" t="inlineStr">
        <is>
          <t>PLC</t>
        </is>
      </c>
      <c r="D1993" s="2" t="inlineStr">
        <is>
          <t>Plant A</t>
        </is>
      </c>
      <c r="E1993" s="2" t="inlineStr">
        <is>
          <t>North</t>
        </is>
      </c>
      <c r="F1993" s="12" t="n">
        <v>46120</v>
      </c>
      <c r="G1993" s="12" t="n">
        <v>46126</v>
      </c>
      <c r="H1993" s="12" t="n">
        <v>46125</v>
      </c>
      <c r="I1993" s="12" t="n">
        <v>46124</v>
      </c>
      <c r="J1993" s="12" t="n">
        <v>46125</v>
      </c>
      <c r="K1993" s="2" t="n">
        <v>1203</v>
      </c>
      <c r="L1993" s="2" t="inlineStr">
        <is>
          <t>Sea</t>
        </is>
      </c>
      <c r="M1993" s="2" t="inlineStr">
        <is>
          <t>No Delay</t>
        </is>
      </c>
      <c r="N1993" s="4">
        <f>IF(I1993&lt;=H1993,1,0)</f>
        <v/>
      </c>
      <c r="O1993" s="4">
        <f>IF(J1993&lt;=G1993,1,0)</f>
        <v/>
      </c>
      <c r="P1993" s="4">
        <f>MAX(0,I1993-H1993)</f>
        <v/>
      </c>
      <c r="Q1993" s="4">
        <f>MAX(0,J1993-G1993)</f>
        <v/>
      </c>
      <c r="R1993" s="4">
        <f>IF(AND(N1993=1,O1993=1),"On Track",IF(O1993=0,"Customer Delivery Late","Ship Late"))</f>
        <v/>
      </c>
    </row>
    <row r="1994">
      <c r="A1994" s="2" t="inlineStr">
        <is>
          <t>ORD-01993</t>
        </is>
      </c>
      <c r="B1994" s="2" t="inlineStr">
        <is>
          <t>Customer 17</t>
        </is>
      </c>
      <c r="C1994" s="2" t="inlineStr">
        <is>
          <t>Contactor</t>
        </is>
      </c>
      <c r="D1994" s="2" t="inlineStr">
        <is>
          <t>Plant B</t>
        </is>
      </c>
      <c r="E1994" s="2" t="inlineStr">
        <is>
          <t>North</t>
        </is>
      </c>
      <c r="F1994" s="12" t="n">
        <v>46102</v>
      </c>
      <c r="G1994" s="12" t="n">
        <v>46107</v>
      </c>
      <c r="H1994" s="12" t="n">
        <v>46105</v>
      </c>
      <c r="I1994" s="12" t="n">
        <v>46104</v>
      </c>
      <c r="J1994" s="12" t="n">
        <v>46106</v>
      </c>
      <c r="K1994" s="2" t="n">
        <v>254</v>
      </c>
      <c r="L1994" s="2" t="inlineStr">
        <is>
          <t>Road</t>
        </is>
      </c>
      <c r="M1994" s="2" t="inlineStr">
        <is>
          <t>No Delay</t>
        </is>
      </c>
      <c r="N1994" s="4">
        <f>IF(I1994&lt;=H1994,1,0)</f>
        <v/>
      </c>
      <c r="O1994" s="4">
        <f>IF(J1994&lt;=G1994,1,0)</f>
        <v/>
      </c>
      <c r="P1994" s="4">
        <f>MAX(0,I1994-H1994)</f>
        <v/>
      </c>
      <c r="Q1994" s="4">
        <f>MAX(0,J1994-G1994)</f>
        <v/>
      </c>
      <c r="R1994" s="4">
        <f>IF(AND(N1994=1,O1994=1),"On Track",IF(O1994=0,"Customer Delivery Late","Ship Late"))</f>
        <v/>
      </c>
    </row>
    <row r="1995">
      <c r="A1995" s="2" t="inlineStr">
        <is>
          <t>ORD-01994</t>
        </is>
      </c>
      <c r="B1995" s="2" t="inlineStr">
        <is>
          <t>Customer 14</t>
        </is>
      </c>
      <c r="C1995" s="2" t="inlineStr">
        <is>
          <t>Switchgear</t>
        </is>
      </c>
      <c r="D1995" s="2" t="inlineStr">
        <is>
          <t>Plant C</t>
        </is>
      </c>
      <c r="E1995" s="2" t="inlineStr">
        <is>
          <t>South</t>
        </is>
      </c>
      <c r="F1995" s="12" t="n">
        <v>46159</v>
      </c>
      <c r="G1995" s="12" t="n">
        <v>46178</v>
      </c>
      <c r="H1995" s="12" t="n">
        <v>46175</v>
      </c>
      <c r="I1995" s="12" t="n">
        <v>46174</v>
      </c>
      <c r="J1995" s="12" t="n">
        <v>46178</v>
      </c>
      <c r="K1995" s="2" t="n">
        <v>1015</v>
      </c>
      <c r="L1995" s="2" t="inlineStr">
        <is>
          <t>Air</t>
        </is>
      </c>
      <c r="M1995" s="2" t="inlineStr">
        <is>
          <t>No Delay</t>
        </is>
      </c>
      <c r="N1995" s="4">
        <f>IF(I1995&lt;=H1995,1,0)</f>
        <v/>
      </c>
      <c r="O1995" s="4">
        <f>IF(J1995&lt;=G1995,1,0)</f>
        <v/>
      </c>
      <c r="P1995" s="4">
        <f>MAX(0,I1995-H1995)</f>
        <v/>
      </c>
      <c r="Q1995" s="4">
        <f>MAX(0,J1995-G1995)</f>
        <v/>
      </c>
      <c r="R1995" s="4">
        <f>IF(AND(N1995=1,O1995=1),"On Track",IF(O1995=0,"Customer Delivery Late","Ship Late"))</f>
        <v/>
      </c>
    </row>
    <row r="1996">
      <c r="A1996" s="2" t="inlineStr">
        <is>
          <t>ORD-01995</t>
        </is>
      </c>
      <c r="B1996" s="2" t="inlineStr">
        <is>
          <t>Customer 16</t>
        </is>
      </c>
      <c r="C1996" s="2" t="inlineStr">
        <is>
          <t>Sensor</t>
        </is>
      </c>
      <c r="D1996" s="2" t="inlineStr">
        <is>
          <t>Plant C</t>
        </is>
      </c>
      <c r="E1996" s="2" t="inlineStr">
        <is>
          <t>North</t>
        </is>
      </c>
      <c r="F1996" s="12" t="n">
        <v>46098</v>
      </c>
      <c r="G1996" s="12" t="n">
        <v>46116</v>
      </c>
      <c r="H1996" s="12" t="n">
        <v>46114</v>
      </c>
      <c r="I1996" s="12" t="n">
        <v>46112</v>
      </c>
      <c r="J1996" s="12" t="n">
        <v>46113</v>
      </c>
      <c r="K1996" s="2" t="n">
        <v>1356</v>
      </c>
      <c r="L1996" s="2" t="inlineStr">
        <is>
          <t>Air</t>
        </is>
      </c>
      <c r="M1996" s="2" t="inlineStr">
        <is>
          <t>No Delay</t>
        </is>
      </c>
      <c r="N1996" s="4">
        <f>IF(I1996&lt;=H1996,1,0)</f>
        <v/>
      </c>
      <c r="O1996" s="4">
        <f>IF(J1996&lt;=G1996,1,0)</f>
        <v/>
      </c>
      <c r="P1996" s="4">
        <f>MAX(0,I1996-H1996)</f>
        <v/>
      </c>
      <c r="Q1996" s="4">
        <f>MAX(0,J1996-G1996)</f>
        <v/>
      </c>
      <c r="R1996" s="4">
        <f>IF(AND(N1996=1,O1996=1),"On Track",IF(O1996=0,"Customer Delivery Late","Ship Late"))</f>
        <v/>
      </c>
    </row>
    <row r="1997">
      <c r="A1997" s="2" t="inlineStr">
        <is>
          <t>ORD-01996</t>
        </is>
      </c>
      <c r="B1997" s="2" t="inlineStr">
        <is>
          <t>Customer 29</t>
        </is>
      </c>
      <c r="C1997" s="2" t="inlineStr">
        <is>
          <t>Breaker</t>
        </is>
      </c>
      <c r="D1997" s="2" t="inlineStr">
        <is>
          <t>Plant A</t>
        </is>
      </c>
      <c r="E1997" s="2" t="inlineStr">
        <is>
          <t>Central</t>
        </is>
      </c>
      <c r="F1997" s="12" t="n">
        <v>46054</v>
      </c>
      <c r="G1997" s="12" t="n">
        <v>46077</v>
      </c>
      <c r="H1997" s="12" t="n">
        <v>46074</v>
      </c>
      <c r="I1997" s="12" t="n">
        <v>46074</v>
      </c>
      <c r="J1997" s="12" t="n">
        <v>46076</v>
      </c>
      <c r="K1997" s="2" t="n">
        <v>178</v>
      </c>
      <c r="L1997" s="2" t="inlineStr">
        <is>
          <t>Air</t>
        </is>
      </c>
      <c r="M1997" s="2" t="inlineStr">
        <is>
          <t>No Delay</t>
        </is>
      </c>
      <c r="N1997" s="4">
        <f>IF(I1997&lt;=H1997,1,0)</f>
        <v/>
      </c>
      <c r="O1997" s="4">
        <f>IF(J1997&lt;=G1997,1,0)</f>
        <v/>
      </c>
      <c r="P1997" s="4">
        <f>MAX(0,I1997-H1997)</f>
        <v/>
      </c>
      <c r="Q1997" s="4">
        <f>MAX(0,J1997-G1997)</f>
        <v/>
      </c>
      <c r="R1997" s="4">
        <f>IF(AND(N1997=1,O1997=1),"On Track",IF(O1997=0,"Customer Delivery Late","Ship Late"))</f>
        <v/>
      </c>
    </row>
    <row r="1998">
      <c r="A1998" s="2" t="inlineStr">
        <is>
          <t>ORD-01997</t>
        </is>
      </c>
      <c r="B1998" s="2" t="inlineStr">
        <is>
          <t>Customer 14</t>
        </is>
      </c>
      <c r="C1998" s="2" t="inlineStr">
        <is>
          <t>Sensor</t>
        </is>
      </c>
      <c r="D1998" s="2" t="inlineStr">
        <is>
          <t>Plant B</t>
        </is>
      </c>
      <c r="E1998" s="2" t="inlineStr">
        <is>
          <t>South</t>
        </is>
      </c>
      <c r="F1998" s="12" t="n">
        <v>46078</v>
      </c>
      <c r="G1998" s="12" t="n">
        <v>46093</v>
      </c>
      <c r="H1998" s="12" t="n">
        <v>46092</v>
      </c>
      <c r="I1998" s="12" t="n">
        <v>46092</v>
      </c>
      <c r="J1998" s="12" t="n">
        <v>46093</v>
      </c>
      <c r="K1998" s="2" t="n">
        <v>352</v>
      </c>
      <c r="L1998" s="2" t="inlineStr">
        <is>
          <t>Air</t>
        </is>
      </c>
      <c r="M1998" s="2" t="inlineStr">
        <is>
          <t>No Delay</t>
        </is>
      </c>
      <c r="N1998" s="4">
        <f>IF(I1998&lt;=H1998,1,0)</f>
        <v/>
      </c>
      <c r="O1998" s="4">
        <f>IF(J1998&lt;=G1998,1,0)</f>
        <v/>
      </c>
      <c r="P1998" s="4">
        <f>MAX(0,I1998-H1998)</f>
        <v/>
      </c>
      <c r="Q1998" s="4">
        <f>MAX(0,J1998-G1998)</f>
        <v/>
      </c>
      <c r="R1998" s="4">
        <f>IF(AND(N1998=1,O1998=1),"On Track",IF(O1998=0,"Customer Delivery Late","Ship Late"))</f>
        <v/>
      </c>
    </row>
    <row r="1999">
      <c r="A1999" s="2" t="inlineStr">
        <is>
          <t>ORD-01998</t>
        </is>
      </c>
      <c r="B1999" s="2" t="inlineStr">
        <is>
          <t>Customer 10</t>
        </is>
      </c>
      <c r="C1999" s="2" t="inlineStr">
        <is>
          <t>Switchgear</t>
        </is>
      </c>
      <c r="D1999" s="2" t="inlineStr">
        <is>
          <t>Plant C</t>
        </is>
      </c>
      <c r="E1999" s="2" t="inlineStr">
        <is>
          <t>North</t>
        </is>
      </c>
      <c r="F1999" s="12" t="n">
        <v>46067</v>
      </c>
      <c r="G1999" s="12" t="n">
        <v>46092</v>
      </c>
      <c r="H1999" s="12" t="n">
        <v>46088</v>
      </c>
      <c r="I1999" s="12" t="n">
        <v>46086</v>
      </c>
      <c r="J1999" s="12" t="n">
        <v>46090</v>
      </c>
      <c r="K1999" s="2" t="n">
        <v>1459</v>
      </c>
      <c r="L1999" s="2" t="inlineStr">
        <is>
          <t>Air</t>
        </is>
      </c>
      <c r="M1999" s="2" t="inlineStr">
        <is>
          <t>No Delay</t>
        </is>
      </c>
      <c r="N1999" s="4">
        <f>IF(I1999&lt;=H1999,1,0)</f>
        <v/>
      </c>
      <c r="O1999" s="4">
        <f>IF(J1999&lt;=G1999,1,0)</f>
        <v/>
      </c>
      <c r="P1999" s="4">
        <f>MAX(0,I1999-H1999)</f>
        <v/>
      </c>
      <c r="Q1999" s="4">
        <f>MAX(0,J1999-G1999)</f>
        <v/>
      </c>
      <c r="R1999" s="4">
        <f>IF(AND(N1999=1,O1999=1),"On Track",IF(O1999=0,"Customer Delivery Late","Ship Late"))</f>
        <v/>
      </c>
    </row>
    <row r="2000">
      <c r="A2000" s="2" t="inlineStr">
        <is>
          <t>ORD-01999</t>
        </is>
      </c>
      <c r="B2000" s="2" t="inlineStr">
        <is>
          <t>Customer 10</t>
        </is>
      </c>
      <c r="C2000" s="2" t="inlineStr">
        <is>
          <t>PLC</t>
        </is>
      </c>
      <c r="D2000" s="2" t="inlineStr">
        <is>
          <t>Plant A</t>
        </is>
      </c>
      <c r="E2000" s="2" t="inlineStr">
        <is>
          <t>North</t>
        </is>
      </c>
      <c r="F2000" s="12" t="n">
        <v>46172</v>
      </c>
      <c r="G2000" s="12" t="n">
        <v>46194</v>
      </c>
      <c r="H2000" s="12" t="n">
        <v>46189</v>
      </c>
      <c r="I2000" s="12" t="n">
        <v>46188</v>
      </c>
      <c r="J2000" s="12" t="n">
        <v>46193</v>
      </c>
      <c r="K2000" s="2" t="n">
        <v>766</v>
      </c>
      <c r="L2000" s="2" t="inlineStr">
        <is>
          <t>Road</t>
        </is>
      </c>
      <c r="M2000" s="2" t="inlineStr">
        <is>
          <t>No Delay</t>
        </is>
      </c>
      <c r="N2000" s="4">
        <f>IF(I2000&lt;=H2000,1,0)</f>
        <v/>
      </c>
      <c r="O2000" s="4">
        <f>IF(J2000&lt;=G2000,1,0)</f>
        <v/>
      </c>
      <c r="P2000" s="4">
        <f>MAX(0,I2000-H2000)</f>
        <v/>
      </c>
      <c r="Q2000" s="4">
        <f>MAX(0,J2000-G2000)</f>
        <v/>
      </c>
      <c r="R2000" s="4">
        <f>IF(AND(N2000=1,O2000=1),"On Track",IF(O2000=0,"Customer Delivery Late","Ship Late"))</f>
        <v/>
      </c>
    </row>
    <row r="2001">
      <c r="A2001" s="2" t="inlineStr">
        <is>
          <t>ORD-02000</t>
        </is>
      </c>
      <c r="B2001" s="2" t="inlineStr">
        <is>
          <t>Customer 25</t>
        </is>
      </c>
      <c r="C2001" s="2" t="inlineStr">
        <is>
          <t>Sensor</t>
        </is>
      </c>
      <c r="D2001" s="2" t="inlineStr">
        <is>
          <t>Plant A</t>
        </is>
      </c>
      <c r="E2001" s="2" t="inlineStr">
        <is>
          <t>Central</t>
        </is>
      </c>
      <c r="F2001" s="12" t="n">
        <v>46174</v>
      </c>
      <c r="G2001" s="12" t="n">
        <v>46199</v>
      </c>
      <c r="H2001" s="12" t="n">
        <v>46196</v>
      </c>
      <c r="I2001" s="12" t="n">
        <v>46195</v>
      </c>
      <c r="J2001" s="12" t="n">
        <v>46198</v>
      </c>
      <c r="K2001" s="2" t="n">
        <v>928</v>
      </c>
      <c r="L2001" s="2" t="inlineStr">
        <is>
          <t>Sea</t>
        </is>
      </c>
      <c r="M2001" s="2" t="inlineStr">
        <is>
          <t>No Delay</t>
        </is>
      </c>
      <c r="N2001" s="4">
        <f>IF(I2001&lt;=H2001,1,0)</f>
        <v/>
      </c>
      <c r="O2001" s="4">
        <f>IF(J2001&lt;=G2001,1,0)</f>
        <v/>
      </c>
      <c r="P2001" s="4">
        <f>MAX(0,I2001-H2001)</f>
        <v/>
      </c>
      <c r="Q2001" s="4">
        <f>MAX(0,J2001-G2001)</f>
        <v/>
      </c>
      <c r="R2001" s="4">
        <f>IF(AND(N2001=1,O2001=1),"On Track",IF(O2001=0,"Customer Delivery Late","Ship Late"))</f>
        <v/>
      </c>
    </row>
    <row r="2002">
      <c r="A2002" s="2" t="inlineStr">
        <is>
          <t>ORD-02001</t>
        </is>
      </c>
      <c r="B2002" s="2" t="inlineStr">
        <is>
          <t>Customer 09</t>
        </is>
      </c>
      <c r="C2002" s="2" t="inlineStr">
        <is>
          <t>Power Supply</t>
        </is>
      </c>
      <c r="D2002" s="2" t="inlineStr">
        <is>
          <t>Plant A</t>
        </is>
      </c>
      <c r="E2002" s="2" t="inlineStr">
        <is>
          <t>Export</t>
        </is>
      </c>
      <c r="F2002" s="12" t="n">
        <v>46045</v>
      </c>
      <c r="G2002" s="12" t="n">
        <v>46064</v>
      </c>
      <c r="H2002" s="12" t="n">
        <v>46062</v>
      </c>
      <c r="I2002" s="12" t="n">
        <v>46060</v>
      </c>
      <c r="J2002" s="12" t="n">
        <v>46062</v>
      </c>
      <c r="K2002" s="2" t="n">
        <v>56</v>
      </c>
      <c r="L2002" s="2" t="inlineStr">
        <is>
          <t>Sea</t>
        </is>
      </c>
      <c r="M2002" s="2" t="inlineStr">
        <is>
          <t>No Delay</t>
        </is>
      </c>
      <c r="N2002" s="4">
        <f>IF(I2002&lt;=H2002,1,0)</f>
        <v/>
      </c>
      <c r="O2002" s="4">
        <f>IF(J2002&lt;=G2002,1,0)</f>
        <v/>
      </c>
      <c r="P2002" s="4">
        <f>MAX(0,I2002-H2002)</f>
        <v/>
      </c>
      <c r="Q2002" s="4">
        <f>MAX(0,J2002-G2002)</f>
        <v/>
      </c>
      <c r="R2002" s="4">
        <f>IF(AND(N2002=1,O2002=1),"On Track",IF(O2002=0,"Customer Delivery Late","Ship Late"))</f>
        <v/>
      </c>
    </row>
    <row r="2003">
      <c r="A2003" s="2" t="inlineStr">
        <is>
          <t>ORD-02002</t>
        </is>
      </c>
      <c r="B2003" s="2" t="inlineStr">
        <is>
          <t>Customer 01</t>
        </is>
      </c>
      <c r="C2003" s="2" t="inlineStr">
        <is>
          <t>Power Supply</t>
        </is>
      </c>
      <c r="D2003" s="2" t="inlineStr">
        <is>
          <t>Plant C</t>
        </is>
      </c>
      <c r="E2003" s="2" t="inlineStr">
        <is>
          <t>Export</t>
        </is>
      </c>
      <c r="F2003" s="12" t="n">
        <v>46033</v>
      </c>
      <c r="G2003" s="12" t="n">
        <v>46040</v>
      </c>
      <c r="H2003" s="12" t="n">
        <v>46037</v>
      </c>
      <c r="I2003" s="12" t="n">
        <v>46037</v>
      </c>
      <c r="J2003" s="12" t="n">
        <v>46039</v>
      </c>
      <c r="K2003" s="2" t="n">
        <v>378</v>
      </c>
      <c r="L2003" s="2" t="inlineStr">
        <is>
          <t>Air</t>
        </is>
      </c>
      <c r="M2003" s="2" t="inlineStr">
        <is>
          <t>No Delay</t>
        </is>
      </c>
      <c r="N2003" s="4">
        <f>IF(I2003&lt;=H2003,1,0)</f>
        <v/>
      </c>
      <c r="O2003" s="4">
        <f>IF(J2003&lt;=G2003,1,0)</f>
        <v/>
      </c>
      <c r="P2003" s="4">
        <f>MAX(0,I2003-H2003)</f>
        <v/>
      </c>
      <c r="Q2003" s="4">
        <f>MAX(0,J2003-G2003)</f>
        <v/>
      </c>
      <c r="R2003" s="4">
        <f>IF(AND(N2003=1,O2003=1),"On Track",IF(O2003=0,"Customer Delivery Late","Ship Late"))</f>
        <v/>
      </c>
    </row>
    <row r="2004">
      <c r="A2004" s="2" t="inlineStr">
        <is>
          <t>ORD-02003</t>
        </is>
      </c>
      <c r="B2004" s="2" t="inlineStr">
        <is>
          <t>Customer 27</t>
        </is>
      </c>
      <c r="C2004" s="2" t="inlineStr">
        <is>
          <t>Power Supply</t>
        </is>
      </c>
      <c r="D2004" s="2" t="inlineStr">
        <is>
          <t>Plant B</t>
        </is>
      </c>
      <c r="E2004" s="2" t="inlineStr">
        <is>
          <t>North</t>
        </is>
      </c>
      <c r="F2004" s="12" t="n">
        <v>46033</v>
      </c>
      <c r="G2004" s="12" t="n">
        <v>46054</v>
      </c>
      <c r="H2004" s="12" t="n">
        <v>46050</v>
      </c>
      <c r="I2004" s="12" t="n">
        <v>46048</v>
      </c>
      <c r="J2004" s="12" t="n">
        <v>46051</v>
      </c>
      <c r="K2004" s="2" t="n">
        <v>1386</v>
      </c>
      <c r="L2004" s="2" t="inlineStr">
        <is>
          <t>Air</t>
        </is>
      </c>
      <c r="M2004" s="2" t="inlineStr">
        <is>
          <t>No Delay</t>
        </is>
      </c>
      <c r="N2004" s="4">
        <f>IF(I2004&lt;=H2004,1,0)</f>
        <v/>
      </c>
      <c r="O2004" s="4">
        <f>IF(J2004&lt;=G2004,1,0)</f>
        <v/>
      </c>
      <c r="P2004" s="4">
        <f>MAX(0,I2004-H2004)</f>
        <v/>
      </c>
      <c r="Q2004" s="4">
        <f>MAX(0,J2004-G2004)</f>
        <v/>
      </c>
      <c r="R2004" s="4">
        <f>IF(AND(N2004=1,O2004=1),"On Track",IF(O2004=0,"Customer Delivery Late","Ship Late"))</f>
        <v/>
      </c>
    </row>
    <row r="2005">
      <c r="A2005" s="2" t="inlineStr">
        <is>
          <t>ORD-02004</t>
        </is>
      </c>
      <c r="B2005" s="2" t="inlineStr">
        <is>
          <t>Customer 17</t>
        </is>
      </c>
      <c r="C2005" s="2" t="inlineStr">
        <is>
          <t>Contactor</t>
        </is>
      </c>
      <c r="D2005" s="2" t="inlineStr">
        <is>
          <t>Plant A</t>
        </is>
      </c>
      <c r="E2005" s="2" t="inlineStr">
        <is>
          <t>South</t>
        </is>
      </c>
      <c r="F2005" s="12" t="n">
        <v>46048</v>
      </c>
      <c r="G2005" s="12" t="n">
        <v>46068</v>
      </c>
      <c r="H2005" s="12" t="n">
        <v>46066</v>
      </c>
      <c r="I2005" s="12" t="n">
        <v>46064</v>
      </c>
      <c r="J2005" s="12" t="n">
        <v>46066</v>
      </c>
      <c r="K2005" s="2" t="n">
        <v>1360</v>
      </c>
      <c r="L2005" s="2" t="inlineStr">
        <is>
          <t>Road</t>
        </is>
      </c>
      <c r="M2005" s="2" t="inlineStr">
        <is>
          <t>No Delay</t>
        </is>
      </c>
      <c r="N2005" s="4">
        <f>IF(I2005&lt;=H2005,1,0)</f>
        <v/>
      </c>
      <c r="O2005" s="4">
        <f>IF(J2005&lt;=G2005,1,0)</f>
        <v/>
      </c>
      <c r="P2005" s="4">
        <f>MAX(0,I2005-H2005)</f>
        <v/>
      </c>
      <c r="Q2005" s="4">
        <f>MAX(0,J2005-G2005)</f>
        <v/>
      </c>
      <c r="R2005" s="4">
        <f>IF(AND(N2005=1,O2005=1),"On Track",IF(O2005=0,"Customer Delivery Late","Ship Late"))</f>
        <v/>
      </c>
    </row>
    <row r="2006">
      <c r="A2006" s="2" t="inlineStr">
        <is>
          <t>ORD-02005</t>
        </is>
      </c>
      <c r="B2006" s="2" t="inlineStr">
        <is>
          <t>Customer 01</t>
        </is>
      </c>
      <c r="C2006" s="2" t="inlineStr">
        <is>
          <t>Sensor</t>
        </is>
      </c>
      <c r="D2006" s="2" t="inlineStr">
        <is>
          <t>Plant B</t>
        </is>
      </c>
      <c r="E2006" s="2" t="inlineStr">
        <is>
          <t>South</t>
        </is>
      </c>
      <c r="F2006" s="12" t="n">
        <v>46058</v>
      </c>
      <c r="G2006" s="12" t="n">
        <v>46070</v>
      </c>
      <c r="H2006" s="12" t="n">
        <v>46068</v>
      </c>
      <c r="I2006" s="12" t="n">
        <v>46066</v>
      </c>
      <c r="J2006" s="12" t="n">
        <v>46069</v>
      </c>
      <c r="K2006" s="2" t="n">
        <v>328</v>
      </c>
      <c r="L2006" s="2" t="inlineStr">
        <is>
          <t>Sea</t>
        </is>
      </c>
      <c r="M2006" s="2" t="inlineStr">
        <is>
          <t>No Delay</t>
        </is>
      </c>
      <c r="N2006" s="4">
        <f>IF(I2006&lt;=H2006,1,0)</f>
        <v/>
      </c>
      <c r="O2006" s="4">
        <f>IF(J2006&lt;=G2006,1,0)</f>
        <v/>
      </c>
      <c r="P2006" s="4">
        <f>MAX(0,I2006-H2006)</f>
        <v/>
      </c>
      <c r="Q2006" s="4">
        <f>MAX(0,J2006-G2006)</f>
        <v/>
      </c>
      <c r="R2006" s="4">
        <f>IF(AND(N2006=1,O2006=1),"On Track",IF(O2006=0,"Customer Delivery Late","Ship Late"))</f>
        <v/>
      </c>
    </row>
    <row r="2007">
      <c r="A2007" s="2" t="inlineStr">
        <is>
          <t>ORD-02006</t>
        </is>
      </c>
      <c r="B2007" s="2" t="inlineStr">
        <is>
          <t>Customer 02</t>
        </is>
      </c>
      <c r="C2007" s="2" t="inlineStr">
        <is>
          <t>Sensor</t>
        </is>
      </c>
      <c r="D2007" s="2" t="inlineStr">
        <is>
          <t>Plant B</t>
        </is>
      </c>
      <c r="E2007" s="2" t="inlineStr">
        <is>
          <t>North</t>
        </is>
      </c>
      <c r="F2007" s="12" t="n">
        <v>46072</v>
      </c>
      <c r="G2007" s="12" t="n">
        <v>46088</v>
      </c>
      <c r="H2007" s="12" t="n">
        <v>46083</v>
      </c>
      <c r="I2007" s="12" t="n">
        <v>46082</v>
      </c>
      <c r="J2007" s="12" t="n">
        <v>46086</v>
      </c>
      <c r="K2007" s="2" t="n">
        <v>477</v>
      </c>
      <c r="L2007" s="2" t="inlineStr">
        <is>
          <t>Air</t>
        </is>
      </c>
      <c r="M2007" s="2" t="inlineStr">
        <is>
          <t>No Delay</t>
        </is>
      </c>
      <c r="N2007" s="4">
        <f>IF(I2007&lt;=H2007,1,0)</f>
        <v/>
      </c>
      <c r="O2007" s="4">
        <f>IF(J2007&lt;=G2007,1,0)</f>
        <v/>
      </c>
      <c r="P2007" s="4">
        <f>MAX(0,I2007-H2007)</f>
        <v/>
      </c>
      <c r="Q2007" s="4">
        <f>MAX(0,J2007-G2007)</f>
        <v/>
      </c>
      <c r="R2007" s="4">
        <f>IF(AND(N2007=1,O2007=1),"On Track",IF(O2007=0,"Customer Delivery Late","Ship Late"))</f>
        <v/>
      </c>
    </row>
    <row r="2008">
      <c r="A2008" s="2" t="inlineStr">
        <is>
          <t>ORD-02007</t>
        </is>
      </c>
      <c r="B2008" s="2" t="inlineStr">
        <is>
          <t>Customer 25</t>
        </is>
      </c>
      <c r="C2008" s="2" t="inlineStr">
        <is>
          <t>Switchgear</t>
        </is>
      </c>
      <c r="D2008" s="2" t="inlineStr">
        <is>
          <t>Plant A</t>
        </is>
      </c>
      <c r="E2008" s="2" t="inlineStr">
        <is>
          <t>Central</t>
        </is>
      </c>
      <c r="F2008" s="12" t="n">
        <v>46049</v>
      </c>
      <c r="G2008" s="12" t="n">
        <v>46057</v>
      </c>
      <c r="H2008" s="12" t="n">
        <v>46055</v>
      </c>
      <c r="I2008" s="12" t="n">
        <v>46053</v>
      </c>
      <c r="J2008" s="12" t="n">
        <v>46055</v>
      </c>
      <c r="K2008" s="2" t="n">
        <v>1327</v>
      </c>
      <c r="L2008" s="2" t="inlineStr">
        <is>
          <t>Sea</t>
        </is>
      </c>
      <c r="M2008" s="2" t="inlineStr">
        <is>
          <t>No Delay</t>
        </is>
      </c>
      <c r="N2008" s="4">
        <f>IF(I2008&lt;=H2008,1,0)</f>
        <v/>
      </c>
      <c r="O2008" s="4">
        <f>IF(J2008&lt;=G2008,1,0)</f>
        <v/>
      </c>
      <c r="P2008" s="4">
        <f>MAX(0,I2008-H2008)</f>
        <v/>
      </c>
      <c r="Q2008" s="4">
        <f>MAX(0,J2008-G2008)</f>
        <v/>
      </c>
      <c r="R2008" s="4">
        <f>IF(AND(N2008=1,O2008=1),"On Track",IF(O2008=0,"Customer Delivery Late","Ship Late"))</f>
        <v/>
      </c>
    </row>
    <row r="2009">
      <c r="A2009" s="2" t="inlineStr">
        <is>
          <t>ORD-02008</t>
        </is>
      </c>
      <c r="B2009" s="2" t="inlineStr">
        <is>
          <t>Customer 30</t>
        </is>
      </c>
      <c r="C2009" s="2" t="inlineStr">
        <is>
          <t>Drive</t>
        </is>
      </c>
      <c r="D2009" s="2" t="inlineStr">
        <is>
          <t>Plant B</t>
        </is>
      </c>
      <c r="E2009" s="2" t="inlineStr">
        <is>
          <t>North</t>
        </is>
      </c>
      <c r="F2009" s="12" t="n">
        <v>46174</v>
      </c>
      <c r="G2009" s="12" t="n">
        <v>46183</v>
      </c>
      <c r="H2009" s="12" t="n">
        <v>46182</v>
      </c>
      <c r="I2009" s="12" t="n">
        <v>46181</v>
      </c>
      <c r="J2009" s="12" t="n">
        <v>46182</v>
      </c>
      <c r="K2009" s="2" t="n">
        <v>1236</v>
      </c>
      <c r="L2009" s="2" t="inlineStr">
        <is>
          <t>Air</t>
        </is>
      </c>
      <c r="M2009" s="2" t="inlineStr">
        <is>
          <t>No Delay</t>
        </is>
      </c>
      <c r="N2009" s="4">
        <f>IF(I2009&lt;=H2009,1,0)</f>
        <v/>
      </c>
      <c r="O2009" s="4">
        <f>IF(J2009&lt;=G2009,1,0)</f>
        <v/>
      </c>
      <c r="P2009" s="4">
        <f>MAX(0,I2009-H2009)</f>
        <v/>
      </c>
      <c r="Q2009" s="4">
        <f>MAX(0,J2009-G2009)</f>
        <v/>
      </c>
      <c r="R2009" s="4">
        <f>IF(AND(N2009=1,O2009=1),"On Track",IF(O2009=0,"Customer Delivery Late","Ship Late"))</f>
        <v/>
      </c>
    </row>
    <row r="2010">
      <c r="A2010" s="2" t="inlineStr">
        <is>
          <t>ORD-02009</t>
        </is>
      </c>
      <c r="B2010" s="2" t="inlineStr">
        <is>
          <t>Customer 10</t>
        </is>
      </c>
      <c r="C2010" s="2" t="inlineStr">
        <is>
          <t>Contactor</t>
        </is>
      </c>
      <c r="D2010" s="2" t="inlineStr">
        <is>
          <t>Plant C</t>
        </is>
      </c>
      <c r="E2010" s="2" t="inlineStr">
        <is>
          <t>South</t>
        </is>
      </c>
      <c r="F2010" s="12" t="n">
        <v>46157</v>
      </c>
      <c r="G2010" s="12" t="n">
        <v>46169</v>
      </c>
      <c r="H2010" s="12" t="n">
        <v>46168</v>
      </c>
      <c r="I2010" s="12" t="n">
        <v>46168</v>
      </c>
      <c r="J2010" s="12" t="n">
        <v>46169</v>
      </c>
      <c r="K2010" s="2" t="n">
        <v>1468</v>
      </c>
      <c r="L2010" s="2" t="inlineStr">
        <is>
          <t>Air</t>
        </is>
      </c>
      <c r="M2010" s="2" t="inlineStr">
        <is>
          <t>No Delay</t>
        </is>
      </c>
      <c r="N2010" s="4">
        <f>IF(I2010&lt;=H2010,1,0)</f>
        <v/>
      </c>
      <c r="O2010" s="4">
        <f>IF(J2010&lt;=G2010,1,0)</f>
        <v/>
      </c>
      <c r="P2010" s="4">
        <f>MAX(0,I2010-H2010)</f>
        <v/>
      </c>
      <c r="Q2010" s="4">
        <f>MAX(0,J2010-G2010)</f>
        <v/>
      </c>
      <c r="R2010" s="4">
        <f>IF(AND(N2010=1,O2010=1),"On Track",IF(O2010=0,"Customer Delivery Late","Ship Late"))</f>
        <v/>
      </c>
    </row>
    <row r="2011">
      <c r="A2011" s="2" t="inlineStr">
        <is>
          <t>ORD-02010</t>
        </is>
      </c>
      <c r="B2011" s="2" t="inlineStr">
        <is>
          <t>Customer 18</t>
        </is>
      </c>
      <c r="C2011" s="2" t="inlineStr">
        <is>
          <t>Power Supply</t>
        </is>
      </c>
      <c r="D2011" s="2" t="inlineStr">
        <is>
          <t>Plant B</t>
        </is>
      </c>
      <c r="E2011" s="2" t="inlineStr">
        <is>
          <t>South</t>
        </is>
      </c>
      <c r="F2011" s="12" t="n">
        <v>46085</v>
      </c>
      <c r="G2011" s="12" t="n">
        <v>46099</v>
      </c>
      <c r="H2011" s="12" t="n">
        <v>46098</v>
      </c>
      <c r="I2011" s="12" t="n">
        <v>46096</v>
      </c>
      <c r="J2011" s="12" t="n">
        <v>46097</v>
      </c>
      <c r="K2011" s="2" t="n">
        <v>1297</v>
      </c>
      <c r="L2011" s="2" t="inlineStr">
        <is>
          <t>Road</t>
        </is>
      </c>
      <c r="M2011" s="2" t="inlineStr">
        <is>
          <t>No Delay</t>
        </is>
      </c>
      <c r="N2011" s="4">
        <f>IF(I2011&lt;=H2011,1,0)</f>
        <v/>
      </c>
      <c r="O2011" s="4">
        <f>IF(J2011&lt;=G2011,1,0)</f>
        <v/>
      </c>
      <c r="P2011" s="4">
        <f>MAX(0,I2011-H2011)</f>
        <v/>
      </c>
      <c r="Q2011" s="4">
        <f>MAX(0,J2011-G2011)</f>
        <v/>
      </c>
      <c r="R2011" s="4">
        <f>IF(AND(N2011=1,O2011=1),"On Track",IF(O2011=0,"Customer Delivery Late","Ship Late"))</f>
        <v/>
      </c>
    </row>
    <row r="2012">
      <c r="A2012" s="2" t="inlineStr">
        <is>
          <t>ORD-02011</t>
        </is>
      </c>
      <c r="B2012" s="2" t="inlineStr">
        <is>
          <t>Customer 25</t>
        </is>
      </c>
      <c r="C2012" s="2" t="inlineStr">
        <is>
          <t>Drive</t>
        </is>
      </c>
      <c r="D2012" s="2" t="inlineStr">
        <is>
          <t>Plant B</t>
        </is>
      </c>
      <c r="E2012" s="2" t="inlineStr">
        <is>
          <t>North</t>
        </is>
      </c>
      <c r="F2012" s="12" t="n">
        <v>46163</v>
      </c>
      <c r="G2012" s="12" t="n">
        <v>46169</v>
      </c>
      <c r="H2012" s="12" t="n">
        <v>46167</v>
      </c>
      <c r="I2012" s="12" t="n">
        <v>46167</v>
      </c>
      <c r="J2012" s="12" t="n">
        <v>46168</v>
      </c>
      <c r="K2012" s="2" t="n">
        <v>1389</v>
      </c>
      <c r="L2012" s="2" t="inlineStr">
        <is>
          <t>Road</t>
        </is>
      </c>
      <c r="M2012" s="2" t="inlineStr">
        <is>
          <t>No Delay</t>
        </is>
      </c>
      <c r="N2012" s="4">
        <f>IF(I2012&lt;=H2012,1,0)</f>
        <v/>
      </c>
      <c r="O2012" s="4">
        <f>IF(J2012&lt;=G2012,1,0)</f>
        <v/>
      </c>
      <c r="P2012" s="4">
        <f>MAX(0,I2012-H2012)</f>
        <v/>
      </c>
      <c r="Q2012" s="4">
        <f>MAX(0,J2012-G2012)</f>
        <v/>
      </c>
      <c r="R2012" s="4">
        <f>IF(AND(N2012=1,O2012=1),"On Track",IF(O2012=0,"Customer Delivery Late","Ship Late"))</f>
        <v/>
      </c>
    </row>
    <row r="2013">
      <c r="A2013" s="2" t="inlineStr">
        <is>
          <t>ORD-02012</t>
        </is>
      </c>
      <c r="B2013" s="2" t="inlineStr">
        <is>
          <t>Customer 22</t>
        </is>
      </c>
      <c r="C2013" s="2" t="inlineStr">
        <is>
          <t>Switchgear</t>
        </is>
      </c>
      <c r="D2013" s="2" t="inlineStr">
        <is>
          <t>Plant B</t>
        </is>
      </c>
      <c r="E2013" s="2" t="inlineStr">
        <is>
          <t>Central</t>
        </is>
      </c>
      <c r="F2013" s="12" t="n">
        <v>46141</v>
      </c>
      <c r="G2013" s="12" t="n">
        <v>46163</v>
      </c>
      <c r="H2013" s="12" t="n">
        <v>46158</v>
      </c>
      <c r="I2013" s="12" t="n">
        <v>46158</v>
      </c>
      <c r="J2013" s="12" t="n">
        <v>46162</v>
      </c>
      <c r="K2013" s="2" t="n">
        <v>1485</v>
      </c>
      <c r="L2013" s="2" t="inlineStr">
        <is>
          <t>Air</t>
        </is>
      </c>
      <c r="M2013" s="2" t="inlineStr">
        <is>
          <t>No Delay</t>
        </is>
      </c>
      <c r="N2013" s="4">
        <f>IF(I2013&lt;=H2013,1,0)</f>
        <v/>
      </c>
      <c r="O2013" s="4">
        <f>IF(J2013&lt;=G2013,1,0)</f>
        <v/>
      </c>
      <c r="P2013" s="4">
        <f>MAX(0,I2013-H2013)</f>
        <v/>
      </c>
      <c r="Q2013" s="4">
        <f>MAX(0,J2013-G2013)</f>
        <v/>
      </c>
      <c r="R2013" s="4">
        <f>IF(AND(N2013=1,O2013=1),"On Track",IF(O2013=0,"Customer Delivery Late","Ship Late"))</f>
        <v/>
      </c>
    </row>
    <row r="2014">
      <c r="A2014" s="2" t="inlineStr">
        <is>
          <t>ORD-02013</t>
        </is>
      </c>
      <c r="B2014" s="2" t="inlineStr">
        <is>
          <t>Customer 26</t>
        </is>
      </c>
      <c r="C2014" s="2" t="inlineStr">
        <is>
          <t>Drive</t>
        </is>
      </c>
      <c r="D2014" s="2" t="inlineStr">
        <is>
          <t>Plant C</t>
        </is>
      </c>
      <c r="E2014" s="2" t="inlineStr">
        <is>
          <t>South</t>
        </is>
      </c>
      <c r="F2014" s="12" t="n">
        <v>46175</v>
      </c>
      <c r="G2014" s="12" t="n">
        <v>46198</v>
      </c>
      <c r="H2014" s="12" t="n">
        <v>46197</v>
      </c>
      <c r="I2014" s="12" t="n">
        <v>46196</v>
      </c>
      <c r="J2014" s="12" t="n">
        <v>46197</v>
      </c>
      <c r="K2014" s="2" t="n">
        <v>1439</v>
      </c>
      <c r="L2014" s="2" t="inlineStr">
        <is>
          <t>Road</t>
        </is>
      </c>
      <c r="M2014" s="2" t="inlineStr">
        <is>
          <t>No Delay</t>
        </is>
      </c>
      <c r="N2014" s="4">
        <f>IF(I2014&lt;=H2014,1,0)</f>
        <v/>
      </c>
      <c r="O2014" s="4">
        <f>IF(J2014&lt;=G2014,1,0)</f>
        <v/>
      </c>
      <c r="P2014" s="4">
        <f>MAX(0,I2014-H2014)</f>
        <v/>
      </c>
      <c r="Q2014" s="4">
        <f>MAX(0,J2014-G2014)</f>
        <v/>
      </c>
      <c r="R2014" s="4">
        <f>IF(AND(N2014=1,O2014=1),"On Track",IF(O2014=0,"Customer Delivery Late","Ship Late"))</f>
        <v/>
      </c>
    </row>
    <row r="2015">
      <c r="A2015" s="2" t="inlineStr">
        <is>
          <t>ORD-02014</t>
        </is>
      </c>
      <c r="B2015" s="2" t="inlineStr">
        <is>
          <t>Customer 14</t>
        </is>
      </c>
      <c r="C2015" s="2" t="inlineStr">
        <is>
          <t>Breaker</t>
        </is>
      </c>
      <c r="D2015" s="2" t="inlineStr">
        <is>
          <t>Plant C</t>
        </is>
      </c>
      <c r="E2015" s="2" t="inlineStr">
        <is>
          <t>South</t>
        </is>
      </c>
      <c r="F2015" s="12" t="n">
        <v>46162</v>
      </c>
      <c r="G2015" s="12" t="n">
        <v>46175</v>
      </c>
      <c r="H2015" s="12" t="n">
        <v>46173</v>
      </c>
      <c r="I2015" s="12" t="n">
        <v>46173</v>
      </c>
      <c r="J2015" s="12" t="n">
        <v>46175</v>
      </c>
      <c r="K2015" s="2" t="n">
        <v>745</v>
      </c>
      <c r="L2015" s="2" t="inlineStr">
        <is>
          <t>Road</t>
        </is>
      </c>
      <c r="M2015" s="2" t="inlineStr">
        <is>
          <t>No Delay</t>
        </is>
      </c>
      <c r="N2015" s="4">
        <f>IF(I2015&lt;=H2015,1,0)</f>
        <v/>
      </c>
      <c r="O2015" s="4">
        <f>IF(J2015&lt;=G2015,1,0)</f>
        <v/>
      </c>
      <c r="P2015" s="4">
        <f>MAX(0,I2015-H2015)</f>
        <v/>
      </c>
      <c r="Q2015" s="4">
        <f>MAX(0,J2015-G2015)</f>
        <v/>
      </c>
      <c r="R2015" s="4">
        <f>IF(AND(N2015=1,O2015=1),"On Track",IF(O2015=0,"Customer Delivery Late","Ship Late"))</f>
        <v/>
      </c>
    </row>
    <row r="2016">
      <c r="A2016" s="2" t="inlineStr">
        <is>
          <t>ORD-02015</t>
        </is>
      </c>
      <c r="B2016" s="2" t="inlineStr">
        <is>
          <t>Customer 14</t>
        </is>
      </c>
      <c r="C2016" s="2" t="inlineStr">
        <is>
          <t>Switchgear</t>
        </is>
      </c>
      <c r="D2016" s="2" t="inlineStr">
        <is>
          <t>Plant A</t>
        </is>
      </c>
      <c r="E2016" s="2" t="inlineStr">
        <is>
          <t>Central</t>
        </is>
      </c>
      <c r="F2016" s="12" t="n">
        <v>46156</v>
      </c>
      <c r="G2016" s="12" t="n">
        <v>46180</v>
      </c>
      <c r="H2016" s="12" t="n">
        <v>46175</v>
      </c>
      <c r="I2016" s="12" t="n">
        <v>46174</v>
      </c>
      <c r="J2016" s="12" t="n">
        <v>46178</v>
      </c>
      <c r="K2016" s="2" t="n">
        <v>936</v>
      </c>
      <c r="L2016" s="2" t="inlineStr">
        <is>
          <t>Air</t>
        </is>
      </c>
      <c r="M2016" s="2" t="inlineStr">
        <is>
          <t>No Delay</t>
        </is>
      </c>
      <c r="N2016" s="4">
        <f>IF(I2016&lt;=H2016,1,0)</f>
        <v/>
      </c>
      <c r="O2016" s="4">
        <f>IF(J2016&lt;=G2016,1,0)</f>
        <v/>
      </c>
      <c r="P2016" s="4">
        <f>MAX(0,I2016-H2016)</f>
        <v/>
      </c>
      <c r="Q2016" s="4">
        <f>MAX(0,J2016-G2016)</f>
        <v/>
      </c>
      <c r="R2016" s="4">
        <f>IF(AND(N2016=1,O2016=1),"On Track",IF(O2016=0,"Customer Delivery Late","Ship Late"))</f>
        <v/>
      </c>
    </row>
    <row r="2017">
      <c r="A2017" s="2" t="inlineStr">
        <is>
          <t>ORD-02016</t>
        </is>
      </c>
      <c r="B2017" s="2" t="inlineStr">
        <is>
          <t>Customer 30</t>
        </is>
      </c>
      <c r="C2017" s="2" t="inlineStr">
        <is>
          <t>PLC</t>
        </is>
      </c>
      <c r="D2017" s="2" t="inlineStr">
        <is>
          <t>Plant B</t>
        </is>
      </c>
      <c r="E2017" s="2" t="inlineStr">
        <is>
          <t>North</t>
        </is>
      </c>
      <c r="F2017" s="12" t="n">
        <v>46118</v>
      </c>
      <c r="G2017" s="12" t="n">
        <v>46137</v>
      </c>
      <c r="H2017" s="12" t="n">
        <v>46136</v>
      </c>
      <c r="I2017" s="12" t="n">
        <v>46135</v>
      </c>
      <c r="J2017" s="12" t="n">
        <v>46136</v>
      </c>
      <c r="K2017" s="2" t="n">
        <v>622</v>
      </c>
      <c r="L2017" s="2" t="inlineStr">
        <is>
          <t>Sea</t>
        </is>
      </c>
      <c r="M2017" s="2" t="inlineStr">
        <is>
          <t>No Delay</t>
        </is>
      </c>
      <c r="N2017" s="4">
        <f>IF(I2017&lt;=H2017,1,0)</f>
        <v/>
      </c>
      <c r="O2017" s="4">
        <f>IF(J2017&lt;=G2017,1,0)</f>
        <v/>
      </c>
      <c r="P2017" s="4">
        <f>MAX(0,I2017-H2017)</f>
        <v/>
      </c>
      <c r="Q2017" s="4">
        <f>MAX(0,J2017-G2017)</f>
        <v/>
      </c>
      <c r="R2017" s="4">
        <f>IF(AND(N2017=1,O2017=1),"On Track",IF(O2017=0,"Customer Delivery Late","Ship Late"))</f>
        <v/>
      </c>
    </row>
    <row r="2018">
      <c r="A2018" s="2" t="inlineStr">
        <is>
          <t>ORD-02017</t>
        </is>
      </c>
      <c r="B2018" s="2" t="inlineStr">
        <is>
          <t>Customer 24</t>
        </is>
      </c>
      <c r="C2018" s="2" t="inlineStr">
        <is>
          <t>Power Supply</t>
        </is>
      </c>
      <c r="D2018" s="2" t="inlineStr">
        <is>
          <t>Plant C</t>
        </is>
      </c>
      <c r="E2018" s="2" t="inlineStr">
        <is>
          <t>Central</t>
        </is>
      </c>
      <c r="F2018" s="12" t="n">
        <v>46164</v>
      </c>
      <c r="G2018" s="12" t="n">
        <v>46170</v>
      </c>
      <c r="H2018" s="12" t="n">
        <v>46168</v>
      </c>
      <c r="I2018" s="12" t="n">
        <v>46168</v>
      </c>
      <c r="J2018" s="12" t="n">
        <v>46171</v>
      </c>
      <c r="K2018" s="2" t="n">
        <v>1321</v>
      </c>
      <c r="L2018" s="2" t="inlineStr">
        <is>
          <t>Sea</t>
        </is>
      </c>
      <c r="M2018" s="2" t="inlineStr">
        <is>
          <t>Documentation Issue</t>
        </is>
      </c>
      <c r="N2018" s="4">
        <f>IF(I2018&lt;=H2018,1,0)</f>
        <v/>
      </c>
      <c r="O2018" s="4">
        <f>IF(J2018&lt;=G2018,1,0)</f>
        <v/>
      </c>
      <c r="P2018" s="4">
        <f>MAX(0,I2018-H2018)</f>
        <v/>
      </c>
      <c r="Q2018" s="4">
        <f>MAX(0,J2018-G2018)</f>
        <v/>
      </c>
      <c r="R2018" s="4">
        <f>IF(AND(N2018=1,O2018=1),"On Track",IF(O2018=0,"Customer Delivery Late","Ship Late"))</f>
        <v/>
      </c>
    </row>
    <row r="2019">
      <c r="A2019" s="2" t="inlineStr">
        <is>
          <t>ORD-02018</t>
        </is>
      </c>
      <c r="B2019" s="2" t="inlineStr">
        <is>
          <t>Customer 26</t>
        </is>
      </c>
      <c r="C2019" s="2" t="inlineStr">
        <is>
          <t>Breaker</t>
        </is>
      </c>
      <c r="D2019" s="2" t="inlineStr">
        <is>
          <t>Plant C</t>
        </is>
      </c>
      <c r="E2019" s="2" t="inlineStr">
        <is>
          <t>South</t>
        </is>
      </c>
      <c r="F2019" s="12" t="n">
        <v>46124</v>
      </c>
      <c r="G2019" s="12" t="n">
        <v>46138</v>
      </c>
      <c r="H2019" s="12" t="n">
        <v>46135</v>
      </c>
      <c r="I2019" s="12" t="n">
        <v>46134</v>
      </c>
      <c r="J2019" s="12" t="n">
        <v>46137</v>
      </c>
      <c r="K2019" s="2" t="n">
        <v>1393</v>
      </c>
      <c r="L2019" s="2" t="inlineStr">
        <is>
          <t>Road</t>
        </is>
      </c>
      <c r="M2019" s="2" t="inlineStr">
        <is>
          <t>No Delay</t>
        </is>
      </c>
      <c r="N2019" s="4">
        <f>IF(I2019&lt;=H2019,1,0)</f>
        <v/>
      </c>
      <c r="O2019" s="4">
        <f>IF(J2019&lt;=G2019,1,0)</f>
        <v/>
      </c>
      <c r="P2019" s="4">
        <f>MAX(0,I2019-H2019)</f>
        <v/>
      </c>
      <c r="Q2019" s="4">
        <f>MAX(0,J2019-G2019)</f>
        <v/>
      </c>
      <c r="R2019" s="4">
        <f>IF(AND(N2019=1,O2019=1),"On Track",IF(O2019=0,"Customer Delivery Late","Ship Late"))</f>
        <v/>
      </c>
    </row>
    <row r="2020">
      <c r="A2020" s="2" t="inlineStr">
        <is>
          <t>ORD-02019</t>
        </is>
      </c>
      <c r="B2020" s="2" t="inlineStr">
        <is>
          <t>Customer 15</t>
        </is>
      </c>
      <c r="C2020" s="2" t="inlineStr">
        <is>
          <t>Relay</t>
        </is>
      </c>
      <c r="D2020" s="2" t="inlineStr">
        <is>
          <t>Plant B</t>
        </is>
      </c>
      <c r="E2020" s="2" t="inlineStr">
        <is>
          <t>North</t>
        </is>
      </c>
      <c r="F2020" s="12" t="n">
        <v>46084</v>
      </c>
      <c r="G2020" s="12" t="n">
        <v>46093</v>
      </c>
      <c r="H2020" s="12" t="n">
        <v>46090</v>
      </c>
      <c r="I2020" s="12" t="n">
        <v>46089</v>
      </c>
      <c r="J2020" s="12" t="n">
        <v>46091</v>
      </c>
      <c r="K2020" s="2" t="n">
        <v>1484</v>
      </c>
      <c r="L2020" s="2" t="inlineStr">
        <is>
          <t>Air</t>
        </is>
      </c>
      <c r="M2020" s="2" t="inlineStr">
        <is>
          <t>No Delay</t>
        </is>
      </c>
      <c r="N2020" s="4">
        <f>IF(I2020&lt;=H2020,1,0)</f>
        <v/>
      </c>
      <c r="O2020" s="4">
        <f>IF(J2020&lt;=G2020,1,0)</f>
        <v/>
      </c>
      <c r="P2020" s="4">
        <f>MAX(0,I2020-H2020)</f>
        <v/>
      </c>
      <c r="Q2020" s="4">
        <f>MAX(0,J2020-G2020)</f>
        <v/>
      </c>
      <c r="R2020" s="4">
        <f>IF(AND(N2020=1,O2020=1),"On Track",IF(O2020=0,"Customer Delivery Late","Ship Late"))</f>
        <v/>
      </c>
    </row>
    <row r="2021">
      <c r="A2021" s="2" t="inlineStr">
        <is>
          <t>ORD-02020</t>
        </is>
      </c>
      <c r="B2021" s="2" t="inlineStr">
        <is>
          <t>Customer 28</t>
        </is>
      </c>
      <c r="C2021" s="2" t="inlineStr">
        <is>
          <t>Breaker</t>
        </is>
      </c>
      <c r="D2021" s="2" t="inlineStr">
        <is>
          <t>Plant B</t>
        </is>
      </c>
      <c r="E2021" s="2" t="inlineStr">
        <is>
          <t>Central</t>
        </is>
      </c>
      <c r="F2021" s="12" t="n">
        <v>46110</v>
      </c>
      <c r="G2021" s="12" t="n">
        <v>46122</v>
      </c>
      <c r="H2021" s="12" t="n">
        <v>46118</v>
      </c>
      <c r="I2021" s="12" t="n">
        <v>46117</v>
      </c>
      <c r="J2021" s="12" t="n">
        <v>46121</v>
      </c>
      <c r="K2021" s="2" t="n">
        <v>1031</v>
      </c>
      <c r="L2021" s="2" t="inlineStr">
        <is>
          <t>Sea</t>
        </is>
      </c>
      <c r="M2021" s="2" t="inlineStr">
        <is>
          <t>No Delay</t>
        </is>
      </c>
      <c r="N2021" s="4">
        <f>IF(I2021&lt;=H2021,1,0)</f>
        <v/>
      </c>
      <c r="O2021" s="4">
        <f>IF(J2021&lt;=G2021,1,0)</f>
        <v/>
      </c>
      <c r="P2021" s="4">
        <f>MAX(0,I2021-H2021)</f>
        <v/>
      </c>
      <c r="Q2021" s="4">
        <f>MAX(0,J2021-G2021)</f>
        <v/>
      </c>
      <c r="R2021" s="4">
        <f>IF(AND(N2021=1,O2021=1),"On Track",IF(O2021=0,"Customer Delivery Late","Ship Late"))</f>
        <v/>
      </c>
    </row>
    <row r="2022">
      <c r="A2022" s="2" t="inlineStr">
        <is>
          <t>ORD-02021</t>
        </is>
      </c>
      <c r="B2022" s="2" t="inlineStr">
        <is>
          <t>Customer 25</t>
        </is>
      </c>
      <c r="C2022" s="2" t="inlineStr">
        <is>
          <t>PLC</t>
        </is>
      </c>
      <c r="D2022" s="2" t="inlineStr">
        <is>
          <t>Plant A</t>
        </is>
      </c>
      <c r="E2022" s="2" t="inlineStr">
        <is>
          <t>Central</t>
        </is>
      </c>
      <c r="F2022" s="12" t="n">
        <v>46119</v>
      </c>
      <c r="G2022" s="12" t="n">
        <v>46124</v>
      </c>
      <c r="H2022" s="12" t="n">
        <v>46122</v>
      </c>
      <c r="I2022" s="12" t="n">
        <v>46121</v>
      </c>
      <c r="J2022" s="12" t="n">
        <v>46122</v>
      </c>
      <c r="K2022" s="2" t="n">
        <v>1280</v>
      </c>
      <c r="L2022" s="2" t="inlineStr">
        <is>
          <t>Air</t>
        </is>
      </c>
      <c r="M2022" s="2" t="inlineStr">
        <is>
          <t>No Delay</t>
        </is>
      </c>
      <c r="N2022" s="4">
        <f>IF(I2022&lt;=H2022,1,0)</f>
        <v/>
      </c>
      <c r="O2022" s="4">
        <f>IF(J2022&lt;=G2022,1,0)</f>
        <v/>
      </c>
      <c r="P2022" s="4">
        <f>MAX(0,I2022-H2022)</f>
        <v/>
      </c>
      <c r="Q2022" s="4">
        <f>MAX(0,J2022-G2022)</f>
        <v/>
      </c>
      <c r="R2022" s="4">
        <f>IF(AND(N2022=1,O2022=1),"On Track",IF(O2022=0,"Customer Delivery Late","Ship Late"))</f>
        <v/>
      </c>
    </row>
    <row r="2023">
      <c r="A2023" s="2" t="inlineStr">
        <is>
          <t>ORD-02022</t>
        </is>
      </c>
      <c r="B2023" s="2" t="inlineStr">
        <is>
          <t>Customer 30</t>
        </is>
      </c>
      <c r="C2023" s="2" t="inlineStr">
        <is>
          <t>Relay</t>
        </is>
      </c>
      <c r="D2023" s="2" t="inlineStr">
        <is>
          <t>Plant C</t>
        </is>
      </c>
      <c r="E2023" s="2" t="inlineStr">
        <is>
          <t>Export</t>
        </is>
      </c>
      <c r="F2023" s="12" t="n">
        <v>46195</v>
      </c>
      <c r="G2023" s="12" t="n">
        <v>46219</v>
      </c>
      <c r="H2023" s="12" t="n">
        <v>46216</v>
      </c>
      <c r="I2023" s="12" t="n">
        <v>46214</v>
      </c>
      <c r="J2023" s="12" t="n">
        <v>46217</v>
      </c>
      <c r="K2023" s="2" t="n">
        <v>473</v>
      </c>
      <c r="L2023" s="2" t="inlineStr">
        <is>
          <t>Road</t>
        </is>
      </c>
      <c r="M2023" s="2" t="inlineStr">
        <is>
          <t>No Delay</t>
        </is>
      </c>
      <c r="N2023" s="4">
        <f>IF(I2023&lt;=H2023,1,0)</f>
        <v/>
      </c>
      <c r="O2023" s="4">
        <f>IF(J2023&lt;=G2023,1,0)</f>
        <v/>
      </c>
      <c r="P2023" s="4">
        <f>MAX(0,I2023-H2023)</f>
        <v/>
      </c>
      <c r="Q2023" s="4">
        <f>MAX(0,J2023-G2023)</f>
        <v/>
      </c>
      <c r="R2023" s="4">
        <f>IF(AND(N2023=1,O2023=1),"On Track",IF(O2023=0,"Customer Delivery Late","Ship Late"))</f>
        <v/>
      </c>
    </row>
    <row r="2024">
      <c r="A2024" s="2" t="inlineStr">
        <is>
          <t>ORD-02023</t>
        </is>
      </c>
      <c r="B2024" s="2" t="inlineStr">
        <is>
          <t>Customer 15</t>
        </is>
      </c>
      <c r="C2024" s="2" t="inlineStr">
        <is>
          <t>Relay</t>
        </is>
      </c>
      <c r="D2024" s="2" t="inlineStr">
        <is>
          <t>Plant A</t>
        </is>
      </c>
      <c r="E2024" s="2" t="inlineStr">
        <is>
          <t>Export</t>
        </is>
      </c>
      <c r="F2024" s="12" t="n">
        <v>46094</v>
      </c>
      <c r="G2024" s="12" t="n">
        <v>46099</v>
      </c>
      <c r="H2024" s="12" t="n">
        <v>46097</v>
      </c>
      <c r="I2024" s="12" t="n">
        <v>46096</v>
      </c>
      <c r="J2024" s="12" t="n">
        <v>46099</v>
      </c>
      <c r="K2024" s="2" t="n">
        <v>615</v>
      </c>
      <c r="L2024" s="2" t="inlineStr">
        <is>
          <t>Road</t>
        </is>
      </c>
      <c r="M2024" s="2" t="inlineStr">
        <is>
          <t>No Delay</t>
        </is>
      </c>
      <c r="N2024" s="4">
        <f>IF(I2024&lt;=H2024,1,0)</f>
        <v/>
      </c>
      <c r="O2024" s="4">
        <f>IF(J2024&lt;=G2024,1,0)</f>
        <v/>
      </c>
      <c r="P2024" s="4">
        <f>MAX(0,I2024-H2024)</f>
        <v/>
      </c>
      <c r="Q2024" s="4">
        <f>MAX(0,J2024-G2024)</f>
        <v/>
      </c>
      <c r="R2024" s="4">
        <f>IF(AND(N2024=1,O2024=1),"On Track",IF(O2024=0,"Customer Delivery Late","Ship Late"))</f>
        <v/>
      </c>
    </row>
    <row r="2025">
      <c r="A2025" s="2" t="inlineStr">
        <is>
          <t>ORD-02024</t>
        </is>
      </c>
      <c r="B2025" s="2" t="inlineStr">
        <is>
          <t>Customer 25</t>
        </is>
      </c>
      <c r="C2025" s="2" t="inlineStr">
        <is>
          <t>Relay</t>
        </is>
      </c>
      <c r="D2025" s="2" t="inlineStr">
        <is>
          <t>Plant A</t>
        </is>
      </c>
      <c r="E2025" s="2" t="inlineStr">
        <is>
          <t>South</t>
        </is>
      </c>
      <c r="F2025" s="12" t="n">
        <v>46176</v>
      </c>
      <c r="G2025" s="12" t="n">
        <v>46185</v>
      </c>
      <c r="H2025" s="12" t="n">
        <v>46183</v>
      </c>
      <c r="I2025" s="12" t="n">
        <v>46181</v>
      </c>
      <c r="J2025" s="12" t="n">
        <v>46183</v>
      </c>
      <c r="K2025" s="2" t="n">
        <v>1411</v>
      </c>
      <c r="L2025" s="2" t="inlineStr">
        <is>
          <t>Road</t>
        </is>
      </c>
      <c r="M2025" s="2" t="inlineStr">
        <is>
          <t>No Delay</t>
        </is>
      </c>
      <c r="N2025" s="4">
        <f>IF(I2025&lt;=H2025,1,0)</f>
        <v/>
      </c>
      <c r="O2025" s="4">
        <f>IF(J2025&lt;=G2025,1,0)</f>
        <v/>
      </c>
      <c r="P2025" s="4">
        <f>MAX(0,I2025-H2025)</f>
        <v/>
      </c>
      <c r="Q2025" s="4">
        <f>MAX(0,J2025-G2025)</f>
        <v/>
      </c>
      <c r="R2025" s="4">
        <f>IF(AND(N2025=1,O2025=1),"On Track",IF(O2025=0,"Customer Delivery Late","Ship Late"))</f>
        <v/>
      </c>
    </row>
    <row r="2026">
      <c r="A2026" s="2" t="inlineStr">
        <is>
          <t>ORD-02025</t>
        </is>
      </c>
      <c r="B2026" s="2" t="inlineStr">
        <is>
          <t>Customer 05</t>
        </is>
      </c>
      <c r="C2026" s="2" t="inlineStr">
        <is>
          <t>Drive</t>
        </is>
      </c>
      <c r="D2026" s="2" t="inlineStr">
        <is>
          <t>Plant A</t>
        </is>
      </c>
      <c r="E2026" s="2" t="inlineStr">
        <is>
          <t>Central</t>
        </is>
      </c>
      <c r="F2026" s="12" t="n">
        <v>46174</v>
      </c>
      <c r="G2026" s="12" t="n">
        <v>46184</v>
      </c>
      <c r="H2026" s="12" t="n">
        <v>46180</v>
      </c>
      <c r="I2026" s="12" t="n">
        <v>46178</v>
      </c>
      <c r="J2026" s="12" t="n">
        <v>46181</v>
      </c>
      <c r="K2026" s="2" t="n">
        <v>258</v>
      </c>
      <c r="L2026" s="2" t="inlineStr">
        <is>
          <t>Road</t>
        </is>
      </c>
      <c r="M2026" s="2" t="inlineStr">
        <is>
          <t>No Delay</t>
        </is>
      </c>
      <c r="N2026" s="4">
        <f>IF(I2026&lt;=H2026,1,0)</f>
        <v/>
      </c>
      <c r="O2026" s="4">
        <f>IF(J2026&lt;=G2026,1,0)</f>
        <v/>
      </c>
      <c r="P2026" s="4">
        <f>MAX(0,I2026-H2026)</f>
        <v/>
      </c>
      <c r="Q2026" s="4">
        <f>MAX(0,J2026-G2026)</f>
        <v/>
      </c>
      <c r="R2026" s="4">
        <f>IF(AND(N2026=1,O2026=1),"On Track",IF(O2026=0,"Customer Delivery Late","Ship Late"))</f>
        <v/>
      </c>
    </row>
    <row r="2027">
      <c r="A2027" s="2" t="inlineStr">
        <is>
          <t>ORD-02026</t>
        </is>
      </c>
      <c r="B2027" s="2" t="inlineStr">
        <is>
          <t>Customer 02</t>
        </is>
      </c>
      <c r="C2027" s="2" t="inlineStr">
        <is>
          <t>Power Supply</t>
        </is>
      </c>
      <c r="D2027" s="2" t="inlineStr">
        <is>
          <t>Plant A</t>
        </is>
      </c>
      <c r="E2027" s="2" t="inlineStr">
        <is>
          <t>North</t>
        </is>
      </c>
      <c r="F2027" s="12" t="n">
        <v>46173</v>
      </c>
      <c r="G2027" s="12" t="n">
        <v>46183</v>
      </c>
      <c r="H2027" s="12" t="n">
        <v>46178</v>
      </c>
      <c r="I2027" s="12" t="n">
        <v>46178</v>
      </c>
      <c r="J2027" s="12" t="n">
        <v>46182</v>
      </c>
      <c r="K2027" s="2" t="n">
        <v>227</v>
      </c>
      <c r="L2027" s="2" t="inlineStr">
        <is>
          <t>Sea</t>
        </is>
      </c>
      <c r="M2027" s="2" t="inlineStr">
        <is>
          <t>No Delay</t>
        </is>
      </c>
      <c r="N2027" s="4">
        <f>IF(I2027&lt;=H2027,1,0)</f>
        <v/>
      </c>
      <c r="O2027" s="4">
        <f>IF(J2027&lt;=G2027,1,0)</f>
        <v/>
      </c>
      <c r="P2027" s="4">
        <f>MAX(0,I2027-H2027)</f>
        <v/>
      </c>
      <c r="Q2027" s="4">
        <f>MAX(0,J2027-G2027)</f>
        <v/>
      </c>
      <c r="R2027" s="4">
        <f>IF(AND(N2027=1,O2027=1),"On Track",IF(O2027=0,"Customer Delivery Late","Ship Late"))</f>
        <v/>
      </c>
    </row>
    <row r="2028">
      <c r="A2028" s="2" t="inlineStr">
        <is>
          <t>ORD-02027</t>
        </is>
      </c>
      <c r="B2028" s="2" t="inlineStr">
        <is>
          <t>Customer 03</t>
        </is>
      </c>
      <c r="C2028" s="2" t="inlineStr">
        <is>
          <t>Breaker</t>
        </is>
      </c>
      <c r="D2028" s="2" t="inlineStr">
        <is>
          <t>Plant A</t>
        </is>
      </c>
      <c r="E2028" s="2" t="inlineStr">
        <is>
          <t>North</t>
        </is>
      </c>
      <c r="F2028" s="12" t="n">
        <v>46084</v>
      </c>
      <c r="G2028" s="12" t="n">
        <v>46109</v>
      </c>
      <c r="H2028" s="12" t="n">
        <v>46107</v>
      </c>
      <c r="I2028" s="12" t="n">
        <v>46107</v>
      </c>
      <c r="J2028" s="12" t="n">
        <v>46109</v>
      </c>
      <c r="K2028" s="2" t="n">
        <v>1333</v>
      </c>
      <c r="L2028" s="2" t="inlineStr">
        <is>
          <t>Road</t>
        </is>
      </c>
      <c r="M2028" s="2" t="inlineStr">
        <is>
          <t>No Delay</t>
        </is>
      </c>
      <c r="N2028" s="4">
        <f>IF(I2028&lt;=H2028,1,0)</f>
        <v/>
      </c>
      <c r="O2028" s="4">
        <f>IF(J2028&lt;=G2028,1,0)</f>
        <v/>
      </c>
      <c r="P2028" s="4">
        <f>MAX(0,I2028-H2028)</f>
        <v/>
      </c>
      <c r="Q2028" s="4">
        <f>MAX(0,J2028-G2028)</f>
        <v/>
      </c>
      <c r="R2028" s="4">
        <f>IF(AND(N2028=1,O2028=1),"On Track",IF(O2028=0,"Customer Delivery Late","Ship Late"))</f>
        <v/>
      </c>
    </row>
    <row r="2029">
      <c r="A2029" s="2" t="inlineStr">
        <is>
          <t>ORD-02028</t>
        </is>
      </c>
      <c r="B2029" s="2" t="inlineStr">
        <is>
          <t>Customer 13</t>
        </is>
      </c>
      <c r="C2029" s="2" t="inlineStr">
        <is>
          <t>Sensor</t>
        </is>
      </c>
      <c r="D2029" s="2" t="inlineStr">
        <is>
          <t>Plant C</t>
        </is>
      </c>
      <c r="E2029" s="2" t="inlineStr">
        <is>
          <t>Export</t>
        </is>
      </c>
      <c r="F2029" s="12" t="n">
        <v>46070</v>
      </c>
      <c r="G2029" s="12" t="n">
        <v>46093</v>
      </c>
      <c r="H2029" s="12" t="n">
        <v>46090</v>
      </c>
      <c r="I2029" s="12" t="n">
        <v>46089</v>
      </c>
      <c r="J2029" s="12" t="n">
        <v>46092</v>
      </c>
      <c r="K2029" s="2" t="n">
        <v>141</v>
      </c>
      <c r="L2029" s="2" t="inlineStr">
        <is>
          <t>Sea</t>
        </is>
      </c>
      <c r="M2029" s="2" t="inlineStr">
        <is>
          <t>No Delay</t>
        </is>
      </c>
      <c r="N2029" s="4">
        <f>IF(I2029&lt;=H2029,1,0)</f>
        <v/>
      </c>
      <c r="O2029" s="4">
        <f>IF(J2029&lt;=G2029,1,0)</f>
        <v/>
      </c>
      <c r="P2029" s="4">
        <f>MAX(0,I2029-H2029)</f>
        <v/>
      </c>
      <c r="Q2029" s="4">
        <f>MAX(0,J2029-G2029)</f>
        <v/>
      </c>
      <c r="R2029" s="4">
        <f>IF(AND(N2029=1,O2029=1),"On Track",IF(O2029=0,"Customer Delivery Late","Ship Late"))</f>
        <v/>
      </c>
    </row>
    <row r="2030">
      <c r="A2030" s="2" t="inlineStr">
        <is>
          <t>ORD-02029</t>
        </is>
      </c>
      <c r="B2030" s="2" t="inlineStr">
        <is>
          <t>Customer 08</t>
        </is>
      </c>
      <c r="C2030" s="2" t="inlineStr">
        <is>
          <t>Breaker</t>
        </is>
      </c>
      <c r="D2030" s="2" t="inlineStr">
        <is>
          <t>Plant B</t>
        </is>
      </c>
      <c r="E2030" s="2" t="inlineStr">
        <is>
          <t>South</t>
        </is>
      </c>
      <c r="F2030" s="12" t="n">
        <v>46117</v>
      </c>
      <c r="G2030" s="12" t="n">
        <v>46133</v>
      </c>
      <c r="H2030" s="12" t="n">
        <v>46128</v>
      </c>
      <c r="I2030" s="12" t="n">
        <v>46128</v>
      </c>
      <c r="J2030" s="12" t="n">
        <v>46134</v>
      </c>
      <c r="K2030" s="2" t="n">
        <v>1498</v>
      </c>
      <c r="L2030" s="2" t="inlineStr">
        <is>
          <t>Road</t>
        </is>
      </c>
      <c r="M2030" s="2" t="inlineStr">
        <is>
          <t>Production Delay</t>
        </is>
      </c>
      <c r="N2030" s="4">
        <f>IF(I2030&lt;=H2030,1,0)</f>
        <v/>
      </c>
      <c r="O2030" s="4">
        <f>IF(J2030&lt;=G2030,1,0)</f>
        <v/>
      </c>
      <c r="P2030" s="4">
        <f>MAX(0,I2030-H2030)</f>
        <v/>
      </c>
      <c r="Q2030" s="4">
        <f>MAX(0,J2030-G2030)</f>
        <v/>
      </c>
      <c r="R2030" s="4">
        <f>IF(AND(N2030=1,O2030=1),"On Track",IF(O2030=0,"Customer Delivery Late","Ship Late"))</f>
        <v/>
      </c>
    </row>
    <row r="2031">
      <c r="A2031" s="2" t="inlineStr">
        <is>
          <t>ORD-02030</t>
        </is>
      </c>
      <c r="B2031" s="2" t="inlineStr">
        <is>
          <t>Customer 18</t>
        </is>
      </c>
      <c r="C2031" s="2" t="inlineStr">
        <is>
          <t>Contactor</t>
        </is>
      </c>
      <c r="D2031" s="2" t="inlineStr">
        <is>
          <t>Plant B</t>
        </is>
      </c>
      <c r="E2031" s="2" t="inlineStr">
        <is>
          <t>South</t>
        </is>
      </c>
      <c r="F2031" s="12" t="n">
        <v>46057</v>
      </c>
      <c r="G2031" s="12" t="n">
        <v>46069</v>
      </c>
      <c r="H2031" s="12" t="n">
        <v>46068</v>
      </c>
      <c r="I2031" s="12" t="n">
        <v>46068</v>
      </c>
      <c r="J2031" s="12" t="n">
        <v>46069</v>
      </c>
      <c r="K2031" s="2" t="n">
        <v>781</v>
      </c>
      <c r="L2031" s="2" t="inlineStr">
        <is>
          <t>Air</t>
        </is>
      </c>
      <c r="M2031" s="2" t="inlineStr">
        <is>
          <t>No Delay</t>
        </is>
      </c>
      <c r="N2031" s="4">
        <f>IF(I2031&lt;=H2031,1,0)</f>
        <v/>
      </c>
      <c r="O2031" s="4">
        <f>IF(J2031&lt;=G2031,1,0)</f>
        <v/>
      </c>
      <c r="P2031" s="4">
        <f>MAX(0,I2031-H2031)</f>
        <v/>
      </c>
      <c r="Q2031" s="4">
        <f>MAX(0,J2031-G2031)</f>
        <v/>
      </c>
      <c r="R2031" s="4">
        <f>IF(AND(N2031=1,O2031=1),"On Track",IF(O2031=0,"Customer Delivery Late","Ship Late"))</f>
        <v/>
      </c>
    </row>
    <row r="2032">
      <c r="A2032" s="2" t="inlineStr">
        <is>
          <t>ORD-02031</t>
        </is>
      </c>
      <c r="B2032" s="2" t="inlineStr">
        <is>
          <t>Customer 07</t>
        </is>
      </c>
      <c r="C2032" s="2" t="inlineStr">
        <is>
          <t>Contactor</t>
        </is>
      </c>
      <c r="D2032" s="2" t="inlineStr">
        <is>
          <t>Plant A</t>
        </is>
      </c>
      <c r="E2032" s="2" t="inlineStr">
        <is>
          <t>Export</t>
        </is>
      </c>
      <c r="F2032" s="12" t="n">
        <v>46135</v>
      </c>
      <c r="G2032" s="12" t="n">
        <v>46149</v>
      </c>
      <c r="H2032" s="12" t="n">
        <v>46147</v>
      </c>
      <c r="I2032" s="12" t="n">
        <v>46147</v>
      </c>
      <c r="J2032" s="12" t="n">
        <v>46150</v>
      </c>
      <c r="K2032" s="2" t="n">
        <v>1031</v>
      </c>
      <c r="L2032" s="2" t="inlineStr">
        <is>
          <t>Air</t>
        </is>
      </c>
      <c r="M2032" s="2" t="inlineStr">
        <is>
          <t>Carrier Delay</t>
        </is>
      </c>
      <c r="N2032" s="4">
        <f>IF(I2032&lt;=H2032,1,0)</f>
        <v/>
      </c>
      <c r="O2032" s="4">
        <f>IF(J2032&lt;=G2032,1,0)</f>
        <v/>
      </c>
      <c r="P2032" s="4">
        <f>MAX(0,I2032-H2032)</f>
        <v/>
      </c>
      <c r="Q2032" s="4">
        <f>MAX(0,J2032-G2032)</f>
        <v/>
      </c>
      <c r="R2032" s="4">
        <f>IF(AND(N2032=1,O2032=1),"On Track",IF(O2032=0,"Customer Delivery Late","Ship Late"))</f>
        <v/>
      </c>
    </row>
    <row r="2033">
      <c r="A2033" s="2" t="inlineStr">
        <is>
          <t>ORD-02032</t>
        </is>
      </c>
      <c r="B2033" s="2" t="inlineStr">
        <is>
          <t>Customer 01</t>
        </is>
      </c>
      <c r="C2033" s="2" t="inlineStr">
        <is>
          <t>Relay</t>
        </is>
      </c>
      <c r="D2033" s="2" t="inlineStr">
        <is>
          <t>Plant C</t>
        </is>
      </c>
      <c r="E2033" s="2" t="inlineStr">
        <is>
          <t>North</t>
        </is>
      </c>
      <c r="F2033" s="12" t="n">
        <v>46130</v>
      </c>
      <c r="G2033" s="12" t="n">
        <v>46148</v>
      </c>
      <c r="H2033" s="12" t="n">
        <v>46145</v>
      </c>
      <c r="I2033" s="12" t="n">
        <v>46143</v>
      </c>
      <c r="J2033" s="12" t="n">
        <v>46146</v>
      </c>
      <c r="K2033" s="2" t="n">
        <v>1444</v>
      </c>
      <c r="L2033" s="2" t="inlineStr">
        <is>
          <t>Sea</t>
        </is>
      </c>
      <c r="M2033" s="2" t="inlineStr">
        <is>
          <t>No Delay</t>
        </is>
      </c>
      <c r="N2033" s="4">
        <f>IF(I2033&lt;=H2033,1,0)</f>
        <v/>
      </c>
      <c r="O2033" s="4">
        <f>IF(J2033&lt;=G2033,1,0)</f>
        <v/>
      </c>
      <c r="P2033" s="4">
        <f>MAX(0,I2033-H2033)</f>
        <v/>
      </c>
      <c r="Q2033" s="4">
        <f>MAX(0,J2033-G2033)</f>
        <v/>
      </c>
      <c r="R2033" s="4">
        <f>IF(AND(N2033=1,O2033=1),"On Track",IF(O2033=0,"Customer Delivery Late","Ship Late"))</f>
        <v/>
      </c>
    </row>
    <row r="2034">
      <c r="A2034" s="2" t="inlineStr">
        <is>
          <t>ORD-02033</t>
        </is>
      </c>
      <c r="B2034" s="2" t="inlineStr">
        <is>
          <t>Customer 08</t>
        </is>
      </c>
      <c r="C2034" s="2" t="inlineStr">
        <is>
          <t>Contactor</t>
        </is>
      </c>
      <c r="D2034" s="2" t="inlineStr">
        <is>
          <t>Plant C</t>
        </is>
      </c>
      <c r="E2034" s="2" t="inlineStr">
        <is>
          <t>North</t>
        </is>
      </c>
      <c r="F2034" s="12" t="n">
        <v>46105</v>
      </c>
      <c r="G2034" s="12" t="n">
        <v>46125</v>
      </c>
      <c r="H2034" s="12" t="n">
        <v>46120</v>
      </c>
      <c r="I2034" s="12" t="n">
        <v>46120</v>
      </c>
      <c r="J2034" s="12" t="n">
        <v>46126</v>
      </c>
      <c r="K2034" s="2" t="n">
        <v>810</v>
      </c>
      <c r="L2034" s="2" t="inlineStr">
        <is>
          <t>Air</t>
        </is>
      </c>
      <c r="M2034" s="2" t="inlineStr">
        <is>
          <t>Production Delay</t>
        </is>
      </c>
      <c r="N2034" s="4">
        <f>IF(I2034&lt;=H2034,1,0)</f>
        <v/>
      </c>
      <c r="O2034" s="4">
        <f>IF(J2034&lt;=G2034,1,0)</f>
        <v/>
      </c>
      <c r="P2034" s="4">
        <f>MAX(0,I2034-H2034)</f>
        <v/>
      </c>
      <c r="Q2034" s="4">
        <f>MAX(0,J2034-G2034)</f>
        <v/>
      </c>
      <c r="R2034" s="4">
        <f>IF(AND(N2034=1,O2034=1),"On Track",IF(O2034=0,"Customer Delivery Late","Ship Late"))</f>
        <v/>
      </c>
    </row>
    <row r="2035">
      <c r="A2035" s="2" t="inlineStr">
        <is>
          <t>ORD-02034</t>
        </is>
      </c>
      <c r="B2035" s="2" t="inlineStr">
        <is>
          <t>Customer 08</t>
        </is>
      </c>
      <c r="C2035" s="2" t="inlineStr">
        <is>
          <t>Relay</t>
        </is>
      </c>
      <c r="D2035" s="2" t="inlineStr">
        <is>
          <t>Plant A</t>
        </is>
      </c>
      <c r="E2035" s="2" t="inlineStr">
        <is>
          <t>Central</t>
        </is>
      </c>
      <c r="F2035" s="12" t="n">
        <v>46183</v>
      </c>
      <c r="G2035" s="12" t="n">
        <v>46205</v>
      </c>
      <c r="H2035" s="12" t="n">
        <v>46201</v>
      </c>
      <c r="I2035" s="12" t="n">
        <v>46201</v>
      </c>
      <c r="J2035" s="12" t="n">
        <v>46205</v>
      </c>
      <c r="K2035" s="2" t="n">
        <v>1410</v>
      </c>
      <c r="L2035" s="2" t="inlineStr">
        <is>
          <t>Air</t>
        </is>
      </c>
      <c r="M2035" s="2" t="inlineStr">
        <is>
          <t>No Delay</t>
        </is>
      </c>
      <c r="N2035" s="4">
        <f>IF(I2035&lt;=H2035,1,0)</f>
        <v/>
      </c>
      <c r="O2035" s="4">
        <f>IF(J2035&lt;=G2035,1,0)</f>
        <v/>
      </c>
      <c r="P2035" s="4">
        <f>MAX(0,I2035-H2035)</f>
        <v/>
      </c>
      <c r="Q2035" s="4">
        <f>MAX(0,J2035-G2035)</f>
        <v/>
      </c>
      <c r="R2035" s="4">
        <f>IF(AND(N2035=1,O2035=1),"On Track",IF(O2035=0,"Customer Delivery Late","Ship Late"))</f>
        <v/>
      </c>
    </row>
    <row r="2036">
      <c r="A2036" s="2" t="inlineStr">
        <is>
          <t>ORD-02035</t>
        </is>
      </c>
      <c r="B2036" s="2" t="inlineStr">
        <is>
          <t>Customer 17</t>
        </is>
      </c>
      <c r="C2036" s="2" t="inlineStr">
        <is>
          <t>Sensor</t>
        </is>
      </c>
      <c r="D2036" s="2" t="inlineStr">
        <is>
          <t>Plant C</t>
        </is>
      </c>
      <c r="E2036" s="2" t="inlineStr">
        <is>
          <t>South</t>
        </is>
      </c>
      <c r="F2036" s="12" t="n">
        <v>46054</v>
      </c>
      <c r="G2036" s="12" t="n">
        <v>46076</v>
      </c>
      <c r="H2036" s="12" t="n">
        <v>46073</v>
      </c>
      <c r="I2036" s="12" t="n">
        <v>46071</v>
      </c>
      <c r="J2036" s="12" t="n">
        <v>46074</v>
      </c>
      <c r="K2036" s="2" t="n">
        <v>858</v>
      </c>
      <c r="L2036" s="2" t="inlineStr">
        <is>
          <t>Road</t>
        </is>
      </c>
      <c r="M2036" s="2" t="inlineStr">
        <is>
          <t>No Delay</t>
        </is>
      </c>
      <c r="N2036" s="4">
        <f>IF(I2036&lt;=H2036,1,0)</f>
        <v/>
      </c>
      <c r="O2036" s="4">
        <f>IF(J2036&lt;=G2036,1,0)</f>
        <v/>
      </c>
      <c r="P2036" s="4">
        <f>MAX(0,I2036-H2036)</f>
        <v/>
      </c>
      <c r="Q2036" s="4">
        <f>MAX(0,J2036-G2036)</f>
        <v/>
      </c>
      <c r="R2036" s="4">
        <f>IF(AND(N2036=1,O2036=1),"On Track",IF(O2036=0,"Customer Delivery Late","Ship Late"))</f>
        <v/>
      </c>
    </row>
    <row r="2037">
      <c r="A2037" s="2" t="inlineStr">
        <is>
          <t>ORD-02036</t>
        </is>
      </c>
      <c r="B2037" s="2" t="inlineStr">
        <is>
          <t>Customer 01</t>
        </is>
      </c>
      <c r="C2037" s="2" t="inlineStr">
        <is>
          <t>PLC</t>
        </is>
      </c>
      <c r="D2037" s="2" t="inlineStr">
        <is>
          <t>Plant B</t>
        </is>
      </c>
      <c r="E2037" s="2" t="inlineStr">
        <is>
          <t>South</t>
        </is>
      </c>
      <c r="F2037" s="12" t="n">
        <v>46150</v>
      </c>
      <c r="G2037" s="12" t="n">
        <v>46157</v>
      </c>
      <c r="H2037" s="12" t="n">
        <v>46156</v>
      </c>
      <c r="I2037" s="12" t="n">
        <v>46154</v>
      </c>
      <c r="J2037" s="12" t="n">
        <v>46155</v>
      </c>
      <c r="K2037" s="2" t="n">
        <v>513</v>
      </c>
      <c r="L2037" s="2" t="inlineStr">
        <is>
          <t>Sea</t>
        </is>
      </c>
      <c r="M2037" s="2" t="inlineStr">
        <is>
          <t>No Delay</t>
        </is>
      </c>
      <c r="N2037" s="4">
        <f>IF(I2037&lt;=H2037,1,0)</f>
        <v/>
      </c>
      <c r="O2037" s="4">
        <f>IF(J2037&lt;=G2037,1,0)</f>
        <v/>
      </c>
      <c r="P2037" s="4">
        <f>MAX(0,I2037-H2037)</f>
        <v/>
      </c>
      <c r="Q2037" s="4">
        <f>MAX(0,J2037-G2037)</f>
        <v/>
      </c>
      <c r="R2037" s="4">
        <f>IF(AND(N2037=1,O2037=1),"On Track",IF(O2037=0,"Customer Delivery Late","Ship Late"))</f>
        <v/>
      </c>
    </row>
    <row r="2038">
      <c r="A2038" s="2" t="inlineStr">
        <is>
          <t>ORD-02037</t>
        </is>
      </c>
      <c r="B2038" s="2" t="inlineStr">
        <is>
          <t>Customer 14</t>
        </is>
      </c>
      <c r="C2038" s="2" t="inlineStr">
        <is>
          <t>Drive</t>
        </is>
      </c>
      <c r="D2038" s="2" t="inlineStr">
        <is>
          <t>Plant C</t>
        </is>
      </c>
      <c r="E2038" s="2" t="inlineStr">
        <is>
          <t>Export</t>
        </is>
      </c>
      <c r="F2038" s="12" t="n">
        <v>46160</v>
      </c>
      <c r="G2038" s="12" t="n">
        <v>46183</v>
      </c>
      <c r="H2038" s="12" t="n">
        <v>46181</v>
      </c>
      <c r="I2038" s="12" t="n">
        <v>46181</v>
      </c>
      <c r="J2038" s="12" t="n">
        <v>46183</v>
      </c>
      <c r="K2038" s="2" t="n">
        <v>788</v>
      </c>
      <c r="L2038" s="2" t="inlineStr">
        <is>
          <t>Sea</t>
        </is>
      </c>
      <c r="M2038" s="2" t="inlineStr">
        <is>
          <t>No Delay</t>
        </is>
      </c>
      <c r="N2038" s="4">
        <f>IF(I2038&lt;=H2038,1,0)</f>
        <v/>
      </c>
      <c r="O2038" s="4">
        <f>IF(J2038&lt;=G2038,1,0)</f>
        <v/>
      </c>
      <c r="P2038" s="4">
        <f>MAX(0,I2038-H2038)</f>
        <v/>
      </c>
      <c r="Q2038" s="4">
        <f>MAX(0,J2038-G2038)</f>
        <v/>
      </c>
      <c r="R2038" s="4">
        <f>IF(AND(N2038=1,O2038=1),"On Track",IF(O2038=0,"Customer Delivery Late","Ship Late"))</f>
        <v/>
      </c>
    </row>
    <row r="2039">
      <c r="A2039" s="2" t="inlineStr">
        <is>
          <t>ORD-02038</t>
        </is>
      </c>
      <c r="B2039" s="2" t="inlineStr">
        <is>
          <t>Customer 18</t>
        </is>
      </c>
      <c r="C2039" s="2" t="inlineStr">
        <is>
          <t>PLC</t>
        </is>
      </c>
      <c r="D2039" s="2" t="inlineStr">
        <is>
          <t>Plant C</t>
        </is>
      </c>
      <c r="E2039" s="2" t="inlineStr">
        <is>
          <t>Export</t>
        </is>
      </c>
      <c r="F2039" s="12" t="n">
        <v>46076</v>
      </c>
      <c r="G2039" s="12" t="n">
        <v>46085</v>
      </c>
      <c r="H2039" s="12" t="n">
        <v>46081</v>
      </c>
      <c r="I2039" s="12" t="n">
        <v>46081</v>
      </c>
      <c r="J2039" s="12" t="n">
        <v>46084</v>
      </c>
      <c r="K2039" s="2" t="n">
        <v>855</v>
      </c>
      <c r="L2039" s="2" t="inlineStr">
        <is>
          <t>Air</t>
        </is>
      </c>
      <c r="M2039" s="2" t="inlineStr">
        <is>
          <t>No Delay</t>
        </is>
      </c>
      <c r="N2039" s="4">
        <f>IF(I2039&lt;=H2039,1,0)</f>
        <v/>
      </c>
      <c r="O2039" s="4">
        <f>IF(J2039&lt;=G2039,1,0)</f>
        <v/>
      </c>
      <c r="P2039" s="4">
        <f>MAX(0,I2039-H2039)</f>
        <v/>
      </c>
      <c r="Q2039" s="4">
        <f>MAX(0,J2039-G2039)</f>
        <v/>
      </c>
      <c r="R2039" s="4">
        <f>IF(AND(N2039=1,O2039=1),"On Track",IF(O2039=0,"Customer Delivery Late","Ship Late"))</f>
        <v/>
      </c>
    </row>
    <row r="2040">
      <c r="A2040" s="2" t="inlineStr">
        <is>
          <t>ORD-02039</t>
        </is>
      </c>
      <c r="B2040" s="2" t="inlineStr">
        <is>
          <t>Customer 25</t>
        </is>
      </c>
      <c r="C2040" s="2" t="inlineStr">
        <is>
          <t>Sensor</t>
        </is>
      </c>
      <c r="D2040" s="2" t="inlineStr">
        <is>
          <t>Plant C</t>
        </is>
      </c>
      <c r="E2040" s="2" t="inlineStr">
        <is>
          <t>North</t>
        </is>
      </c>
      <c r="F2040" s="12" t="n">
        <v>46168</v>
      </c>
      <c r="G2040" s="12" t="n">
        <v>46175</v>
      </c>
      <c r="H2040" s="12" t="n">
        <v>46172</v>
      </c>
      <c r="I2040" s="12" t="n">
        <v>46172</v>
      </c>
      <c r="J2040" s="12" t="n">
        <v>46174</v>
      </c>
      <c r="K2040" s="2" t="n">
        <v>804</v>
      </c>
      <c r="L2040" s="2" t="inlineStr">
        <is>
          <t>Air</t>
        </is>
      </c>
      <c r="M2040" s="2" t="inlineStr">
        <is>
          <t>No Delay</t>
        </is>
      </c>
      <c r="N2040" s="4">
        <f>IF(I2040&lt;=H2040,1,0)</f>
        <v/>
      </c>
      <c r="O2040" s="4">
        <f>IF(J2040&lt;=G2040,1,0)</f>
        <v/>
      </c>
      <c r="P2040" s="4">
        <f>MAX(0,I2040-H2040)</f>
        <v/>
      </c>
      <c r="Q2040" s="4">
        <f>MAX(0,J2040-G2040)</f>
        <v/>
      </c>
      <c r="R2040" s="4">
        <f>IF(AND(N2040=1,O2040=1),"On Track",IF(O2040=0,"Customer Delivery Late","Ship Late"))</f>
        <v/>
      </c>
    </row>
    <row r="2041">
      <c r="A2041" s="2" t="inlineStr">
        <is>
          <t>ORD-02040</t>
        </is>
      </c>
      <c r="B2041" s="2" t="inlineStr">
        <is>
          <t>Customer 12</t>
        </is>
      </c>
      <c r="C2041" s="2" t="inlineStr">
        <is>
          <t>Contactor</t>
        </is>
      </c>
      <c r="D2041" s="2" t="inlineStr">
        <is>
          <t>Plant A</t>
        </is>
      </c>
      <c r="E2041" s="2" t="inlineStr">
        <is>
          <t>Export</t>
        </is>
      </c>
      <c r="F2041" s="12" t="n">
        <v>46064</v>
      </c>
      <c r="G2041" s="12" t="n">
        <v>46082</v>
      </c>
      <c r="H2041" s="12" t="n">
        <v>46078</v>
      </c>
      <c r="I2041" s="12" t="n">
        <v>46077</v>
      </c>
      <c r="J2041" s="12" t="n">
        <v>46081</v>
      </c>
      <c r="K2041" s="2" t="n">
        <v>384</v>
      </c>
      <c r="L2041" s="2" t="inlineStr">
        <is>
          <t>Air</t>
        </is>
      </c>
      <c r="M2041" s="2" t="inlineStr">
        <is>
          <t>No Delay</t>
        </is>
      </c>
      <c r="N2041" s="4">
        <f>IF(I2041&lt;=H2041,1,0)</f>
        <v/>
      </c>
      <c r="O2041" s="4">
        <f>IF(J2041&lt;=G2041,1,0)</f>
        <v/>
      </c>
      <c r="P2041" s="4">
        <f>MAX(0,I2041-H2041)</f>
        <v/>
      </c>
      <c r="Q2041" s="4">
        <f>MAX(0,J2041-G2041)</f>
        <v/>
      </c>
      <c r="R2041" s="4">
        <f>IF(AND(N2041=1,O2041=1),"On Track",IF(O2041=0,"Customer Delivery Late","Ship Late"))</f>
        <v/>
      </c>
    </row>
    <row r="2042">
      <c r="A2042" s="2" t="inlineStr">
        <is>
          <t>ORD-02041</t>
        </is>
      </c>
      <c r="B2042" s="2" t="inlineStr">
        <is>
          <t>Customer 11</t>
        </is>
      </c>
      <c r="C2042" s="2" t="inlineStr">
        <is>
          <t>Power Supply</t>
        </is>
      </c>
      <c r="D2042" s="2" t="inlineStr">
        <is>
          <t>Plant C</t>
        </is>
      </c>
      <c r="E2042" s="2" t="inlineStr">
        <is>
          <t>Export</t>
        </is>
      </c>
      <c r="F2042" s="12" t="n">
        <v>46103</v>
      </c>
      <c r="G2042" s="12" t="n">
        <v>46119</v>
      </c>
      <c r="H2042" s="12" t="n">
        <v>46117</v>
      </c>
      <c r="I2042" s="12" t="n">
        <v>46115</v>
      </c>
      <c r="J2042" s="12" t="n">
        <v>46117</v>
      </c>
      <c r="K2042" s="2" t="n">
        <v>851</v>
      </c>
      <c r="L2042" s="2" t="inlineStr">
        <is>
          <t>Air</t>
        </is>
      </c>
      <c r="M2042" s="2" t="inlineStr">
        <is>
          <t>No Delay</t>
        </is>
      </c>
      <c r="N2042" s="4">
        <f>IF(I2042&lt;=H2042,1,0)</f>
        <v/>
      </c>
      <c r="O2042" s="4">
        <f>IF(J2042&lt;=G2042,1,0)</f>
        <v/>
      </c>
      <c r="P2042" s="4">
        <f>MAX(0,I2042-H2042)</f>
        <v/>
      </c>
      <c r="Q2042" s="4">
        <f>MAX(0,J2042-G2042)</f>
        <v/>
      </c>
      <c r="R2042" s="4">
        <f>IF(AND(N2042=1,O2042=1),"On Track",IF(O2042=0,"Customer Delivery Late","Ship Late"))</f>
        <v/>
      </c>
    </row>
    <row r="2043">
      <c r="A2043" s="2" t="inlineStr">
        <is>
          <t>ORD-02042</t>
        </is>
      </c>
      <c r="B2043" s="2" t="inlineStr">
        <is>
          <t>Customer 26</t>
        </is>
      </c>
      <c r="C2043" s="2" t="inlineStr">
        <is>
          <t>Sensor</t>
        </is>
      </c>
      <c r="D2043" s="2" t="inlineStr">
        <is>
          <t>Plant C</t>
        </is>
      </c>
      <c r="E2043" s="2" t="inlineStr">
        <is>
          <t>South</t>
        </is>
      </c>
      <c r="F2043" s="12" t="n">
        <v>46158</v>
      </c>
      <c r="G2043" s="12" t="n">
        <v>46177</v>
      </c>
      <c r="H2043" s="12" t="n">
        <v>46172</v>
      </c>
      <c r="I2043" s="12" t="n">
        <v>46171</v>
      </c>
      <c r="J2043" s="12" t="n">
        <v>46176</v>
      </c>
      <c r="K2043" s="2" t="n">
        <v>256</v>
      </c>
      <c r="L2043" s="2" t="inlineStr">
        <is>
          <t>Road</t>
        </is>
      </c>
      <c r="M2043" s="2" t="inlineStr">
        <is>
          <t>No Delay</t>
        </is>
      </c>
      <c r="N2043" s="4">
        <f>IF(I2043&lt;=H2043,1,0)</f>
        <v/>
      </c>
      <c r="O2043" s="4">
        <f>IF(J2043&lt;=G2043,1,0)</f>
        <v/>
      </c>
      <c r="P2043" s="4">
        <f>MAX(0,I2043-H2043)</f>
        <v/>
      </c>
      <c r="Q2043" s="4">
        <f>MAX(0,J2043-G2043)</f>
        <v/>
      </c>
      <c r="R2043" s="4">
        <f>IF(AND(N2043=1,O2043=1),"On Track",IF(O2043=0,"Customer Delivery Late","Ship Late"))</f>
        <v/>
      </c>
    </row>
    <row r="2044">
      <c r="A2044" s="2" t="inlineStr">
        <is>
          <t>ORD-02043</t>
        </is>
      </c>
      <c r="B2044" s="2" t="inlineStr">
        <is>
          <t>Customer 13</t>
        </is>
      </c>
      <c r="C2044" s="2" t="inlineStr">
        <is>
          <t>Drive</t>
        </is>
      </c>
      <c r="D2044" s="2" t="inlineStr">
        <is>
          <t>Plant A</t>
        </is>
      </c>
      <c r="E2044" s="2" t="inlineStr">
        <is>
          <t>Central</t>
        </is>
      </c>
      <c r="F2044" s="12" t="n">
        <v>46101</v>
      </c>
      <c r="G2044" s="12" t="n">
        <v>46119</v>
      </c>
      <c r="H2044" s="12" t="n">
        <v>46117</v>
      </c>
      <c r="I2044" s="12" t="n">
        <v>46116</v>
      </c>
      <c r="J2044" s="12" t="n">
        <v>46119</v>
      </c>
      <c r="K2044" s="2" t="n">
        <v>1386</v>
      </c>
      <c r="L2044" s="2" t="inlineStr">
        <is>
          <t>Road</t>
        </is>
      </c>
      <c r="M2044" s="2" t="inlineStr">
        <is>
          <t>No Delay</t>
        </is>
      </c>
      <c r="N2044" s="4">
        <f>IF(I2044&lt;=H2044,1,0)</f>
        <v/>
      </c>
      <c r="O2044" s="4">
        <f>IF(J2044&lt;=G2044,1,0)</f>
        <v/>
      </c>
      <c r="P2044" s="4">
        <f>MAX(0,I2044-H2044)</f>
        <v/>
      </c>
      <c r="Q2044" s="4">
        <f>MAX(0,J2044-G2044)</f>
        <v/>
      </c>
      <c r="R2044" s="4">
        <f>IF(AND(N2044=1,O2044=1),"On Track",IF(O2044=0,"Customer Delivery Late","Ship Late"))</f>
        <v/>
      </c>
    </row>
    <row r="2045">
      <c r="A2045" s="2" t="inlineStr">
        <is>
          <t>ORD-02044</t>
        </is>
      </c>
      <c r="B2045" s="2" t="inlineStr">
        <is>
          <t>Customer 08</t>
        </is>
      </c>
      <c r="C2045" s="2" t="inlineStr">
        <is>
          <t>Drive</t>
        </is>
      </c>
      <c r="D2045" s="2" t="inlineStr">
        <is>
          <t>Plant C</t>
        </is>
      </c>
      <c r="E2045" s="2" t="inlineStr">
        <is>
          <t>North</t>
        </is>
      </c>
      <c r="F2045" s="12" t="n">
        <v>46130</v>
      </c>
      <c r="G2045" s="12" t="n">
        <v>46139</v>
      </c>
      <c r="H2045" s="12" t="n">
        <v>46135</v>
      </c>
      <c r="I2045" s="12" t="n">
        <v>46135</v>
      </c>
      <c r="J2045" s="12" t="n">
        <v>46139</v>
      </c>
      <c r="K2045" s="2" t="n">
        <v>1267</v>
      </c>
      <c r="L2045" s="2" t="inlineStr">
        <is>
          <t>Air</t>
        </is>
      </c>
      <c r="M2045" s="2" t="inlineStr">
        <is>
          <t>No Delay</t>
        </is>
      </c>
      <c r="N2045" s="4">
        <f>IF(I2045&lt;=H2045,1,0)</f>
        <v/>
      </c>
      <c r="O2045" s="4">
        <f>IF(J2045&lt;=G2045,1,0)</f>
        <v/>
      </c>
      <c r="P2045" s="4">
        <f>MAX(0,I2045-H2045)</f>
        <v/>
      </c>
      <c r="Q2045" s="4">
        <f>MAX(0,J2045-G2045)</f>
        <v/>
      </c>
      <c r="R2045" s="4">
        <f>IF(AND(N2045=1,O2045=1),"On Track",IF(O2045=0,"Customer Delivery Late","Ship Late"))</f>
        <v/>
      </c>
    </row>
    <row r="2046">
      <c r="A2046" s="2" t="inlineStr">
        <is>
          <t>ORD-02045</t>
        </is>
      </c>
      <c r="B2046" s="2" t="inlineStr">
        <is>
          <t>Customer 04</t>
        </is>
      </c>
      <c r="C2046" s="2" t="inlineStr">
        <is>
          <t>Sensor</t>
        </is>
      </c>
      <c r="D2046" s="2" t="inlineStr">
        <is>
          <t>Plant B</t>
        </is>
      </c>
      <c r="E2046" s="2" t="inlineStr">
        <is>
          <t>South</t>
        </is>
      </c>
      <c r="F2046" s="12" t="n">
        <v>46172</v>
      </c>
      <c r="G2046" s="12" t="n">
        <v>46183</v>
      </c>
      <c r="H2046" s="12" t="n">
        <v>46180</v>
      </c>
      <c r="I2046" s="12" t="n">
        <v>46179</v>
      </c>
      <c r="J2046" s="12" t="n">
        <v>46181</v>
      </c>
      <c r="K2046" s="2" t="n">
        <v>18</v>
      </c>
      <c r="L2046" s="2" t="inlineStr">
        <is>
          <t>Road</t>
        </is>
      </c>
      <c r="M2046" s="2" t="inlineStr">
        <is>
          <t>No Delay</t>
        </is>
      </c>
      <c r="N2046" s="4">
        <f>IF(I2046&lt;=H2046,1,0)</f>
        <v/>
      </c>
      <c r="O2046" s="4">
        <f>IF(J2046&lt;=G2046,1,0)</f>
        <v/>
      </c>
      <c r="P2046" s="4">
        <f>MAX(0,I2046-H2046)</f>
        <v/>
      </c>
      <c r="Q2046" s="4">
        <f>MAX(0,J2046-G2046)</f>
        <v/>
      </c>
      <c r="R2046" s="4">
        <f>IF(AND(N2046=1,O2046=1),"On Track",IF(O2046=0,"Customer Delivery Late","Ship Late"))</f>
        <v/>
      </c>
    </row>
    <row r="2047">
      <c r="A2047" s="2" t="inlineStr">
        <is>
          <t>ORD-02046</t>
        </is>
      </c>
      <c r="B2047" s="2" t="inlineStr">
        <is>
          <t>Customer 16</t>
        </is>
      </c>
      <c r="C2047" s="2" t="inlineStr">
        <is>
          <t>Switchgear</t>
        </is>
      </c>
      <c r="D2047" s="2" t="inlineStr">
        <is>
          <t>Plant A</t>
        </is>
      </c>
      <c r="E2047" s="2" t="inlineStr">
        <is>
          <t>South</t>
        </is>
      </c>
      <c r="F2047" s="12" t="n">
        <v>46060</v>
      </c>
      <c r="G2047" s="12" t="n">
        <v>46071</v>
      </c>
      <c r="H2047" s="12" t="n">
        <v>46068</v>
      </c>
      <c r="I2047" s="12" t="n">
        <v>46067</v>
      </c>
      <c r="J2047" s="12" t="n">
        <v>46070</v>
      </c>
      <c r="K2047" s="2" t="n">
        <v>248</v>
      </c>
      <c r="L2047" s="2" t="inlineStr">
        <is>
          <t>Sea</t>
        </is>
      </c>
      <c r="M2047" s="2" t="inlineStr">
        <is>
          <t>No Delay</t>
        </is>
      </c>
      <c r="N2047" s="4">
        <f>IF(I2047&lt;=H2047,1,0)</f>
        <v/>
      </c>
      <c r="O2047" s="4">
        <f>IF(J2047&lt;=G2047,1,0)</f>
        <v/>
      </c>
      <c r="P2047" s="4">
        <f>MAX(0,I2047-H2047)</f>
        <v/>
      </c>
      <c r="Q2047" s="4">
        <f>MAX(0,J2047-G2047)</f>
        <v/>
      </c>
      <c r="R2047" s="4">
        <f>IF(AND(N2047=1,O2047=1),"On Track",IF(O2047=0,"Customer Delivery Late","Ship Late"))</f>
        <v/>
      </c>
    </row>
    <row r="2048">
      <c r="A2048" s="2" t="inlineStr">
        <is>
          <t>ORD-02047</t>
        </is>
      </c>
      <c r="B2048" s="2" t="inlineStr">
        <is>
          <t>Customer 03</t>
        </is>
      </c>
      <c r="C2048" s="2" t="inlineStr">
        <is>
          <t>Sensor</t>
        </is>
      </c>
      <c r="D2048" s="2" t="inlineStr">
        <is>
          <t>Plant B</t>
        </is>
      </c>
      <c r="E2048" s="2" t="inlineStr">
        <is>
          <t>Central</t>
        </is>
      </c>
      <c r="F2048" s="12" t="n">
        <v>46097</v>
      </c>
      <c r="G2048" s="12" t="n">
        <v>46122</v>
      </c>
      <c r="H2048" s="12" t="n">
        <v>46121</v>
      </c>
      <c r="I2048" s="12" t="n">
        <v>46119</v>
      </c>
      <c r="J2048" s="12" t="n">
        <v>46121</v>
      </c>
      <c r="K2048" s="2" t="n">
        <v>507</v>
      </c>
      <c r="L2048" s="2" t="inlineStr">
        <is>
          <t>Road</t>
        </is>
      </c>
      <c r="M2048" s="2" t="inlineStr">
        <is>
          <t>No Delay</t>
        </is>
      </c>
      <c r="N2048" s="4">
        <f>IF(I2048&lt;=H2048,1,0)</f>
        <v/>
      </c>
      <c r="O2048" s="4">
        <f>IF(J2048&lt;=G2048,1,0)</f>
        <v/>
      </c>
      <c r="P2048" s="4">
        <f>MAX(0,I2048-H2048)</f>
        <v/>
      </c>
      <c r="Q2048" s="4">
        <f>MAX(0,J2048-G2048)</f>
        <v/>
      </c>
      <c r="R2048" s="4">
        <f>IF(AND(N2048=1,O2048=1),"On Track",IF(O2048=0,"Customer Delivery Late","Ship Late"))</f>
        <v/>
      </c>
    </row>
    <row r="2049">
      <c r="A2049" s="2" t="inlineStr">
        <is>
          <t>ORD-02048</t>
        </is>
      </c>
      <c r="B2049" s="2" t="inlineStr">
        <is>
          <t>Customer 30</t>
        </is>
      </c>
      <c r="C2049" s="2" t="inlineStr">
        <is>
          <t>Power Supply</t>
        </is>
      </c>
      <c r="D2049" s="2" t="inlineStr">
        <is>
          <t>Plant B</t>
        </is>
      </c>
      <c r="E2049" s="2" t="inlineStr">
        <is>
          <t>Export</t>
        </is>
      </c>
      <c r="F2049" s="12" t="n">
        <v>46136</v>
      </c>
      <c r="G2049" s="12" t="n">
        <v>46161</v>
      </c>
      <c r="H2049" s="12" t="n">
        <v>46159</v>
      </c>
      <c r="I2049" s="12" t="n">
        <v>46159</v>
      </c>
      <c r="J2049" s="12" t="n">
        <v>46161</v>
      </c>
      <c r="K2049" s="2" t="n">
        <v>921</v>
      </c>
      <c r="L2049" s="2" t="inlineStr">
        <is>
          <t>Road</t>
        </is>
      </c>
      <c r="M2049" s="2" t="inlineStr">
        <is>
          <t>No Delay</t>
        </is>
      </c>
      <c r="N2049" s="4">
        <f>IF(I2049&lt;=H2049,1,0)</f>
        <v/>
      </c>
      <c r="O2049" s="4">
        <f>IF(J2049&lt;=G2049,1,0)</f>
        <v/>
      </c>
      <c r="P2049" s="4">
        <f>MAX(0,I2049-H2049)</f>
        <v/>
      </c>
      <c r="Q2049" s="4">
        <f>MAX(0,J2049-G2049)</f>
        <v/>
      </c>
      <c r="R2049" s="4">
        <f>IF(AND(N2049=1,O2049=1),"On Track",IF(O2049=0,"Customer Delivery Late","Ship Late"))</f>
        <v/>
      </c>
    </row>
    <row r="2050">
      <c r="A2050" s="2" t="inlineStr">
        <is>
          <t>ORD-02049</t>
        </is>
      </c>
      <c r="B2050" s="2" t="inlineStr">
        <is>
          <t>Customer 04</t>
        </is>
      </c>
      <c r="C2050" s="2" t="inlineStr">
        <is>
          <t>Contactor</t>
        </is>
      </c>
      <c r="D2050" s="2" t="inlineStr">
        <is>
          <t>Plant A</t>
        </is>
      </c>
      <c r="E2050" s="2" t="inlineStr">
        <is>
          <t>Central</t>
        </is>
      </c>
      <c r="F2050" s="12" t="n">
        <v>46124</v>
      </c>
      <c r="G2050" s="12" t="n">
        <v>46135</v>
      </c>
      <c r="H2050" s="12" t="n">
        <v>46131</v>
      </c>
      <c r="I2050" s="12" t="n">
        <v>46131</v>
      </c>
      <c r="J2050" s="12" t="n">
        <v>46136</v>
      </c>
      <c r="K2050" s="2" t="n">
        <v>65</v>
      </c>
      <c r="L2050" s="2" t="inlineStr">
        <is>
          <t>Road</t>
        </is>
      </c>
      <c r="M2050" s="2" t="inlineStr">
        <is>
          <t>Material Shortage</t>
        </is>
      </c>
      <c r="N2050" s="4">
        <f>IF(I2050&lt;=H2050,1,0)</f>
        <v/>
      </c>
      <c r="O2050" s="4">
        <f>IF(J2050&lt;=G2050,1,0)</f>
        <v/>
      </c>
      <c r="P2050" s="4">
        <f>MAX(0,I2050-H2050)</f>
        <v/>
      </c>
      <c r="Q2050" s="4">
        <f>MAX(0,J2050-G2050)</f>
        <v/>
      </c>
      <c r="R2050" s="4">
        <f>IF(AND(N2050=1,O2050=1),"On Track",IF(O2050=0,"Customer Delivery Late","Ship Late"))</f>
        <v/>
      </c>
    </row>
    <row r="2051">
      <c r="A2051" s="2" t="inlineStr">
        <is>
          <t>ORD-02050</t>
        </is>
      </c>
      <c r="B2051" s="2" t="inlineStr">
        <is>
          <t>Customer 25</t>
        </is>
      </c>
      <c r="C2051" s="2" t="inlineStr">
        <is>
          <t>PLC</t>
        </is>
      </c>
      <c r="D2051" s="2" t="inlineStr">
        <is>
          <t>Plant A</t>
        </is>
      </c>
      <c r="E2051" s="2" t="inlineStr">
        <is>
          <t>Central</t>
        </is>
      </c>
      <c r="F2051" s="12" t="n">
        <v>46196</v>
      </c>
      <c r="G2051" s="12" t="n">
        <v>46217</v>
      </c>
      <c r="H2051" s="12" t="n">
        <v>46214</v>
      </c>
      <c r="I2051" s="12" t="n">
        <v>46213</v>
      </c>
      <c r="J2051" s="12" t="n">
        <v>46216</v>
      </c>
      <c r="K2051" s="2" t="n">
        <v>876</v>
      </c>
      <c r="L2051" s="2" t="inlineStr">
        <is>
          <t>Air</t>
        </is>
      </c>
      <c r="M2051" s="2" t="inlineStr">
        <is>
          <t>No Delay</t>
        </is>
      </c>
      <c r="N2051" s="4">
        <f>IF(I2051&lt;=H2051,1,0)</f>
        <v/>
      </c>
      <c r="O2051" s="4">
        <f>IF(J2051&lt;=G2051,1,0)</f>
        <v/>
      </c>
      <c r="P2051" s="4">
        <f>MAX(0,I2051-H2051)</f>
        <v/>
      </c>
      <c r="Q2051" s="4">
        <f>MAX(0,J2051-G2051)</f>
        <v/>
      </c>
      <c r="R2051" s="4">
        <f>IF(AND(N2051=1,O2051=1),"On Track",IF(O2051=0,"Customer Delivery Late","Ship Late"))</f>
        <v/>
      </c>
    </row>
    <row r="2052">
      <c r="A2052" s="2" t="inlineStr">
        <is>
          <t>ORD-02051</t>
        </is>
      </c>
      <c r="B2052" s="2" t="inlineStr">
        <is>
          <t>Customer 24</t>
        </is>
      </c>
      <c r="C2052" s="2" t="inlineStr">
        <is>
          <t>Contactor</t>
        </is>
      </c>
      <c r="D2052" s="2" t="inlineStr">
        <is>
          <t>Plant C</t>
        </is>
      </c>
      <c r="E2052" s="2" t="inlineStr">
        <is>
          <t>Central</t>
        </is>
      </c>
      <c r="F2052" s="12" t="n">
        <v>46195</v>
      </c>
      <c r="G2052" s="12" t="n">
        <v>46218</v>
      </c>
      <c r="H2052" s="12" t="n">
        <v>46214</v>
      </c>
      <c r="I2052" s="12" t="n">
        <v>46214</v>
      </c>
      <c r="J2052" s="12" t="n">
        <v>46219</v>
      </c>
      <c r="K2052" s="2" t="n">
        <v>790</v>
      </c>
      <c r="L2052" s="2" t="inlineStr">
        <is>
          <t>Road</t>
        </is>
      </c>
      <c r="M2052" s="2" t="inlineStr">
        <is>
          <t>Documentation Issue</t>
        </is>
      </c>
      <c r="N2052" s="4">
        <f>IF(I2052&lt;=H2052,1,0)</f>
        <v/>
      </c>
      <c r="O2052" s="4">
        <f>IF(J2052&lt;=G2052,1,0)</f>
        <v/>
      </c>
      <c r="P2052" s="4">
        <f>MAX(0,I2052-H2052)</f>
        <v/>
      </c>
      <c r="Q2052" s="4">
        <f>MAX(0,J2052-G2052)</f>
        <v/>
      </c>
      <c r="R2052" s="4">
        <f>IF(AND(N2052=1,O2052=1),"On Track",IF(O2052=0,"Customer Delivery Late","Ship Late"))</f>
        <v/>
      </c>
    </row>
    <row r="2053">
      <c r="A2053" s="2" t="inlineStr">
        <is>
          <t>ORD-02052</t>
        </is>
      </c>
      <c r="B2053" s="2" t="inlineStr">
        <is>
          <t>Customer 18</t>
        </is>
      </c>
      <c r="C2053" s="2" t="inlineStr">
        <is>
          <t>Drive</t>
        </is>
      </c>
      <c r="D2053" s="2" t="inlineStr">
        <is>
          <t>Plant B</t>
        </is>
      </c>
      <c r="E2053" s="2" t="inlineStr">
        <is>
          <t>South</t>
        </is>
      </c>
      <c r="F2053" s="12" t="n">
        <v>46108</v>
      </c>
      <c r="G2053" s="12" t="n">
        <v>46133</v>
      </c>
      <c r="H2053" s="12" t="n">
        <v>46130</v>
      </c>
      <c r="I2053" s="12" t="n">
        <v>46129</v>
      </c>
      <c r="J2053" s="12" t="n">
        <v>46133</v>
      </c>
      <c r="K2053" s="2" t="n">
        <v>1173</v>
      </c>
      <c r="L2053" s="2" t="inlineStr">
        <is>
          <t>Sea</t>
        </is>
      </c>
      <c r="M2053" s="2" t="inlineStr">
        <is>
          <t>No Delay</t>
        </is>
      </c>
      <c r="N2053" s="4">
        <f>IF(I2053&lt;=H2053,1,0)</f>
        <v/>
      </c>
      <c r="O2053" s="4">
        <f>IF(J2053&lt;=G2053,1,0)</f>
        <v/>
      </c>
      <c r="P2053" s="4">
        <f>MAX(0,I2053-H2053)</f>
        <v/>
      </c>
      <c r="Q2053" s="4">
        <f>MAX(0,J2053-G2053)</f>
        <v/>
      </c>
      <c r="R2053" s="4">
        <f>IF(AND(N2053=1,O2053=1),"On Track",IF(O2053=0,"Customer Delivery Late","Ship Late"))</f>
        <v/>
      </c>
    </row>
    <row r="2054">
      <c r="A2054" s="2" t="inlineStr">
        <is>
          <t>ORD-02053</t>
        </is>
      </c>
      <c r="B2054" s="2" t="inlineStr">
        <is>
          <t>Customer 30</t>
        </is>
      </c>
      <c r="C2054" s="2" t="inlineStr">
        <is>
          <t>PLC</t>
        </is>
      </c>
      <c r="D2054" s="2" t="inlineStr">
        <is>
          <t>Plant B</t>
        </is>
      </c>
      <c r="E2054" s="2" t="inlineStr">
        <is>
          <t>North</t>
        </is>
      </c>
      <c r="F2054" s="12" t="n">
        <v>46036</v>
      </c>
      <c r="G2054" s="12" t="n">
        <v>46044</v>
      </c>
      <c r="H2054" s="12" t="n">
        <v>46042</v>
      </c>
      <c r="I2054" s="12" t="n">
        <v>46042</v>
      </c>
      <c r="J2054" s="12" t="n">
        <v>46043</v>
      </c>
      <c r="K2054" s="2" t="n">
        <v>1347</v>
      </c>
      <c r="L2054" s="2" t="inlineStr">
        <is>
          <t>Road</t>
        </is>
      </c>
      <c r="M2054" s="2" t="inlineStr">
        <is>
          <t>No Delay</t>
        </is>
      </c>
      <c r="N2054" s="4">
        <f>IF(I2054&lt;=H2054,1,0)</f>
        <v/>
      </c>
      <c r="O2054" s="4">
        <f>IF(J2054&lt;=G2054,1,0)</f>
        <v/>
      </c>
      <c r="P2054" s="4">
        <f>MAX(0,I2054-H2054)</f>
        <v/>
      </c>
      <c r="Q2054" s="4">
        <f>MAX(0,J2054-G2054)</f>
        <v/>
      </c>
      <c r="R2054" s="4">
        <f>IF(AND(N2054=1,O2054=1),"On Track",IF(O2054=0,"Customer Delivery Late","Ship Late"))</f>
        <v/>
      </c>
    </row>
    <row r="2055">
      <c r="A2055" s="2" t="inlineStr">
        <is>
          <t>ORD-02054</t>
        </is>
      </c>
      <c r="B2055" s="2" t="inlineStr">
        <is>
          <t>Customer 17</t>
        </is>
      </c>
      <c r="C2055" s="2" t="inlineStr">
        <is>
          <t>Breaker</t>
        </is>
      </c>
      <c r="D2055" s="2" t="inlineStr">
        <is>
          <t>Plant C</t>
        </is>
      </c>
      <c r="E2055" s="2" t="inlineStr">
        <is>
          <t>North</t>
        </is>
      </c>
      <c r="F2055" s="12" t="n">
        <v>46042</v>
      </c>
      <c r="G2055" s="12" t="n">
        <v>46050</v>
      </c>
      <c r="H2055" s="12" t="n">
        <v>46047</v>
      </c>
      <c r="I2055" s="12" t="n">
        <v>46045</v>
      </c>
      <c r="J2055" s="12" t="n">
        <v>46048</v>
      </c>
      <c r="K2055" s="2" t="n">
        <v>453</v>
      </c>
      <c r="L2055" s="2" t="inlineStr">
        <is>
          <t>Sea</t>
        </is>
      </c>
      <c r="M2055" s="2" t="inlineStr">
        <is>
          <t>No Delay</t>
        </is>
      </c>
      <c r="N2055" s="4">
        <f>IF(I2055&lt;=H2055,1,0)</f>
        <v/>
      </c>
      <c r="O2055" s="4">
        <f>IF(J2055&lt;=G2055,1,0)</f>
        <v/>
      </c>
      <c r="P2055" s="4">
        <f>MAX(0,I2055-H2055)</f>
        <v/>
      </c>
      <c r="Q2055" s="4">
        <f>MAX(0,J2055-G2055)</f>
        <v/>
      </c>
      <c r="R2055" s="4">
        <f>IF(AND(N2055=1,O2055=1),"On Track",IF(O2055=0,"Customer Delivery Late","Ship Late"))</f>
        <v/>
      </c>
    </row>
    <row r="2056">
      <c r="A2056" s="2" t="inlineStr">
        <is>
          <t>ORD-02055</t>
        </is>
      </c>
      <c r="B2056" s="2" t="inlineStr">
        <is>
          <t>Customer 09</t>
        </is>
      </c>
      <c r="C2056" s="2" t="inlineStr">
        <is>
          <t>PLC</t>
        </is>
      </c>
      <c r="D2056" s="2" t="inlineStr">
        <is>
          <t>Plant A</t>
        </is>
      </c>
      <c r="E2056" s="2" t="inlineStr">
        <is>
          <t>South</t>
        </is>
      </c>
      <c r="F2056" s="12" t="n">
        <v>46153</v>
      </c>
      <c r="G2056" s="12" t="n">
        <v>46176</v>
      </c>
      <c r="H2056" s="12" t="n">
        <v>46175</v>
      </c>
      <c r="I2056" s="12" t="n">
        <v>46175</v>
      </c>
      <c r="J2056" s="12" t="n">
        <v>46176</v>
      </c>
      <c r="K2056" s="2" t="n">
        <v>840</v>
      </c>
      <c r="L2056" s="2" t="inlineStr">
        <is>
          <t>Air</t>
        </is>
      </c>
      <c r="M2056" s="2" t="inlineStr">
        <is>
          <t>No Delay</t>
        </is>
      </c>
      <c r="N2056" s="4">
        <f>IF(I2056&lt;=H2056,1,0)</f>
        <v/>
      </c>
      <c r="O2056" s="4">
        <f>IF(J2056&lt;=G2056,1,0)</f>
        <v/>
      </c>
      <c r="P2056" s="4">
        <f>MAX(0,I2056-H2056)</f>
        <v/>
      </c>
      <c r="Q2056" s="4">
        <f>MAX(0,J2056-G2056)</f>
        <v/>
      </c>
      <c r="R2056" s="4">
        <f>IF(AND(N2056=1,O2056=1),"On Track",IF(O2056=0,"Customer Delivery Late","Ship Late"))</f>
        <v/>
      </c>
    </row>
    <row r="2057">
      <c r="A2057" s="2" t="inlineStr">
        <is>
          <t>ORD-02056</t>
        </is>
      </c>
      <c r="B2057" s="2" t="inlineStr">
        <is>
          <t>Customer 04</t>
        </is>
      </c>
      <c r="C2057" s="2" t="inlineStr">
        <is>
          <t>Sensor</t>
        </is>
      </c>
      <c r="D2057" s="2" t="inlineStr">
        <is>
          <t>Plant C</t>
        </is>
      </c>
      <c r="E2057" s="2" t="inlineStr">
        <is>
          <t>Central</t>
        </is>
      </c>
      <c r="F2057" s="12" t="n">
        <v>46153</v>
      </c>
      <c r="G2057" s="12" t="n">
        <v>46168</v>
      </c>
      <c r="H2057" s="12" t="n">
        <v>46167</v>
      </c>
      <c r="I2057" s="12" t="n">
        <v>46166</v>
      </c>
      <c r="J2057" s="12" t="n">
        <v>46168</v>
      </c>
      <c r="K2057" s="2" t="n">
        <v>987</v>
      </c>
      <c r="L2057" s="2" t="inlineStr">
        <is>
          <t>Air</t>
        </is>
      </c>
      <c r="M2057" s="2" t="inlineStr">
        <is>
          <t>No Delay</t>
        </is>
      </c>
      <c r="N2057" s="4">
        <f>IF(I2057&lt;=H2057,1,0)</f>
        <v/>
      </c>
      <c r="O2057" s="4">
        <f>IF(J2057&lt;=G2057,1,0)</f>
        <v/>
      </c>
      <c r="P2057" s="4">
        <f>MAX(0,I2057-H2057)</f>
        <v/>
      </c>
      <c r="Q2057" s="4">
        <f>MAX(0,J2057-G2057)</f>
        <v/>
      </c>
      <c r="R2057" s="4">
        <f>IF(AND(N2057=1,O2057=1),"On Track",IF(O2057=0,"Customer Delivery Late","Ship Late"))</f>
        <v/>
      </c>
    </row>
    <row r="2058">
      <c r="A2058" s="2" t="inlineStr">
        <is>
          <t>ORD-02057</t>
        </is>
      </c>
      <c r="B2058" s="2" t="inlineStr">
        <is>
          <t>Customer 04</t>
        </is>
      </c>
      <c r="C2058" s="2" t="inlineStr">
        <is>
          <t>Power Supply</t>
        </is>
      </c>
      <c r="D2058" s="2" t="inlineStr">
        <is>
          <t>Plant C</t>
        </is>
      </c>
      <c r="E2058" s="2" t="inlineStr">
        <is>
          <t>South</t>
        </is>
      </c>
      <c r="F2058" s="12" t="n">
        <v>46140</v>
      </c>
      <c r="G2058" s="12" t="n">
        <v>46155</v>
      </c>
      <c r="H2058" s="12" t="n">
        <v>46152</v>
      </c>
      <c r="I2058" s="12" t="n">
        <v>46150</v>
      </c>
      <c r="J2058" s="12" t="n">
        <v>46154</v>
      </c>
      <c r="K2058" s="2" t="n">
        <v>791</v>
      </c>
      <c r="L2058" s="2" t="inlineStr">
        <is>
          <t>Air</t>
        </is>
      </c>
      <c r="M2058" s="2" t="inlineStr">
        <is>
          <t>No Delay</t>
        </is>
      </c>
      <c r="N2058" s="4">
        <f>IF(I2058&lt;=H2058,1,0)</f>
        <v/>
      </c>
      <c r="O2058" s="4">
        <f>IF(J2058&lt;=G2058,1,0)</f>
        <v/>
      </c>
      <c r="P2058" s="4">
        <f>MAX(0,I2058-H2058)</f>
        <v/>
      </c>
      <c r="Q2058" s="4">
        <f>MAX(0,J2058-G2058)</f>
        <v/>
      </c>
      <c r="R2058" s="4">
        <f>IF(AND(N2058=1,O2058=1),"On Track",IF(O2058=0,"Customer Delivery Late","Ship Late"))</f>
        <v/>
      </c>
    </row>
    <row r="2059">
      <c r="A2059" s="2" t="inlineStr">
        <is>
          <t>ORD-02058</t>
        </is>
      </c>
      <c r="B2059" s="2" t="inlineStr">
        <is>
          <t>Customer 30</t>
        </is>
      </c>
      <c r="C2059" s="2" t="inlineStr">
        <is>
          <t>Breaker</t>
        </is>
      </c>
      <c r="D2059" s="2" t="inlineStr">
        <is>
          <t>Plant A</t>
        </is>
      </c>
      <c r="E2059" s="2" t="inlineStr">
        <is>
          <t>Export</t>
        </is>
      </c>
      <c r="F2059" s="12" t="n">
        <v>46137</v>
      </c>
      <c r="G2059" s="12" t="n">
        <v>46145</v>
      </c>
      <c r="H2059" s="12" t="n">
        <v>46141</v>
      </c>
      <c r="I2059" s="12" t="n">
        <v>46140</v>
      </c>
      <c r="J2059" s="12" t="n">
        <v>46143</v>
      </c>
      <c r="K2059" s="2" t="n">
        <v>1355</v>
      </c>
      <c r="L2059" s="2" t="inlineStr">
        <is>
          <t>Road</t>
        </is>
      </c>
      <c r="M2059" s="2" t="inlineStr">
        <is>
          <t>No Delay</t>
        </is>
      </c>
      <c r="N2059" s="4">
        <f>IF(I2059&lt;=H2059,1,0)</f>
        <v/>
      </c>
      <c r="O2059" s="4">
        <f>IF(J2059&lt;=G2059,1,0)</f>
        <v/>
      </c>
      <c r="P2059" s="4">
        <f>MAX(0,I2059-H2059)</f>
        <v/>
      </c>
      <c r="Q2059" s="4">
        <f>MAX(0,J2059-G2059)</f>
        <v/>
      </c>
      <c r="R2059" s="4">
        <f>IF(AND(N2059=1,O2059=1),"On Track",IF(O2059=0,"Customer Delivery Late","Ship Late"))</f>
        <v/>
      </c>
    </row>
    <row r="2060">
      <c r="A2060" s="2" t="inlineStr">
        <is>
          <t>ORD-02059</t>
        </is>
      </c>
      <c r="B2060" s="2" t="inlineStr">
        <is>
          <t>Customer 14</t>
        </is>
      </c>
      <c r="C2060" s="2" t="inlineStr">
        <is>
          <t>Contactor</t>
        </is>
      </c>
      <c r="D2060" s="2" t="inlineStr">
        <is>
          <t>Plant A</t>
        </is>
      </c>
      <c r="E2060" s="2" t="inlineStr">
        <is>
          <t>South</t>
        </is>
      </c>
      <c r="F2060" s="12" t="n">
        <v>46126</v>
      </c>
      <c r="G2060" s="12" t="n">
        <v>46150</v>
      </c>
      <c r="H2060" s="12" t="n">
        <v>46145</v>
      </c>
      <c r="I2060" s="12" t="n">
        <v>46145</v>
      </c>
      <c r="J2060" s="12" t="n">
        <v>46150</v>
      </c>
      <c r="K2060" s="2" t="n">
        <v>1066</v>
      </c>
      <c r="L2060" s="2" t="inlineStr">
        <is>
          <t>Air</t>
        </is>
      </c>
      <c r="M2060" s="2" t="inlineStr">
        <is>
          <t>No Delay</t>
        </is>
      </c>
      <c r="N2060" s="4">
        <f>IF(I2060&lt;=H2060,1,0)</f>
        <v/>
      </c>
      <c r="O2060" s="4">
        <f>IF(J2060&lt;=G2060,1,0)</f>
        <v/>
      </c>
      <c r="P2060" s="4">
        <f>MAX(0,I2060-H2060)</f>
        <v/>
      </c>
      <c r="Q2060" s="4">
        <f>MAX(0,J2060-G2060)</f>
        <v/>
      </c>
      <c r="R2060" s="4">
        <f>IF(AND(N2060=1,O2060=1),"On Track",IF(O2060=0,"Customer Delivery Late","Ship Late"))</f>
        <v/>
      </c>
    </row>
    <row r="2061">
      <c r="A2061" s="2" t="inlineStr">
        <is>
          <t>ORD-02060</t>
        </is>
      </c>
      <c r="B2061" s="2" t="inlineStr">
        <is>
          <t>Customer 19</t>
        </is>
      </c>
      <c r="C2061" s="2" t="inlineStr">
        <is>
          <t>PLC</t>
        </is>
      </c>
      <c r="D2061" s="2" t="inlineStr">
        <is>
          <t>Plant C</t>
        </is>
      </c>
      <c r="E2061" s="2" t="inlineStr">
        <is>
          <t>Central</t>
        </is>
      </c>
      <c r="F2061" s="12" t="n">
        <v>46131</v>
      </c>
      <c r="G2061" s="12" t="n">
        <v>46152</v>
      </c>
      <c r="H2061" s="12" t="n">
        <v>46148</v>
      </c>
      <c r="I2061" s="12" t="n">
        <v>46148</v>
      </c>
      <c r="J2061" s="12" t="n">
        <v>46152</v>
      </c>
      <c r="K2061" s="2" t="n">
        <v>337</v>
      </c>
      <c r="L2061" s="2" t="inlineStr">
        <is>
          <t>Air</t>
        </is>
      </c>
      <c r="M2061" s="2" t="inlineStr">
        <is>
          <t>No Delay</t>
        </is>
      </c>
      <c r="N2061" s="4">
        <f>IF(I2061&lt;=H2061,1,0)</f>
        <v/>
      </c>
      <c r="O2061" s="4">
        <f>IF(J2061&lt;=G2061,1,0)</f>
        <v/>
      </c>
      <c r="P2061" s="4">
        <f>MAX(0,I2061-H2061)</f>
        <v/>
      </c>
      <c r="Q2061" s="4">
        <f>MAX(0,J2061-G2061)</f>
        <v/>
      </c>
      <c r="R2061" s="4">
        <f>IF(AND(N2061=1,O2061=1),"On Track",IF(O2061=0,"Customer Delivery Late","Ship Late"))</f>
        <v/>
      </c>
    </row>
    <row r="2062">
      <c r="A2062" s="2" t="inlineStr">
        <is>
          <t>ORD-02061</t>
        </is>
      </c>
      <c r="B2062" s="2" t="inlineStr">
        <is>
          <t>Customer 07</t>
        </is>
      </c>
      <c r="C2062" s="2" t="inlineStr">
        <is>
          <t>Sensor</t>
        </is>
      </c>
      <c r="D2062" s="2" t="inlineStr">
        <is>
          <t>Plant B</t>
        </is>
      </c>
      <c r="E2062" s="2" t="inlineStr">
        <is>
          <t>North</t>
        </is>
      </c>
      <c r="F2062" s="12" t="n">
        <v>46039</v>
      </c>
      <c r="G2062" s="12" t="n">
        <v>46059</v>
      </c>
      <c r="H2062" s="12" t="n">
        <v>46058</v>
      </c>
      <c r="I2062" s="12" t="n">
        <v>46056</v>
      </c>
      <c r="J2062" s="12" t="n">
        <v>46058</v>
      </c>
      <c r="K2062" s="2" t="n">
        <v>1214</v>
      </c>
      <c r="L2062" s="2" t="inlineStr">
        <is>
          <t>Air</t>
        </is>
      </c>
      <c r="M2062" s="2" t="inlineStr">
        <is>
          <t>No Delay</t>
        </is>
      </c>
      <c r="N2062" s="4">
        <f>IF(I2062&lt;=H2062,1,0)</f>
        <v/>
      </c>
      <c r="O2062" s="4">
        <f>IF(J2062&lt;=G2062,1,0)</f>
        <v/>
      </c>
      <c r="P2062" s="4">
        <f>MAX(0,I2062-H2062)</f>
        <v/>
      </c>
      <c r="Q2062" s="4">
        <f>MAX(0,J2062-G2062)</f>
        <v/>
      </c>
      <c r="R2062" s="4">
        <f>IF(AND(N2062=1,O2062=1),"On Track",IF(O2062=0,"Customer Delivery Late","Ship Late"))</f>
        <v/>
      </c>
    </row>
    <row r="2063">
      <c r="A2063" s="2" t="inlineStr">
        <is>
          <t>ORD-02062</t>
        </is>
      </c>
      <c r="B2063" s="2" t="inlineStr">
        <is>
          <t>Customer 08</t>
        </is>
      </c>
      <c r="C2063" s="2" t="inlineStr">
        <is>
          <t>PLC</t>
        </is>
      </c>
      <c r="D2063" s="2" t="inlineStr">
        <is>
          <t>Plant C</t>
        </is>
      </c>
      <c r="E2063" s="2" t="inlineStr">
        <is>
          <t>Central</t>
        </is>
      </c>
      <c r="F2063" s="12" t="n">
        <v>46131</v>
      </c>
      <c r="G2063" s="12" t="n">
        <v>46146</v>
      </c>
      <c r="H2063" s="12" t="n">
        <v>46142</v>
      </c>
      <c r="I2063" s="12" t="n">
        <v>46142</v>
      </c>
      <c r="J2063" s="12" t="n">
        <v>46146</v>
      </c>
      <c r="K2063" s="2" t="n">
        <v>588</v>
      </c>
      <c r="L2063" s="2" t="inlineStr">
        <is>
          <t>Road</t>
        </is>
      </c>
      <c r="M2063" s="2" t="inlineStr">
        <is>
          <t>No Delay</t>
        </is>
      </c>
      <c r="N2063" s="4">
        <f>IF(I2063&lt;=H2063,1,0)</f>
        <v/>
      </c>
      <c r="O2063" s="4">
        <f>IF(J2063&lt;=G2063,1,0)</f>
        <v/>
      </c>
      <c r="P2063" s="4">
        <f>MAX(0,I2063-H2063)</f>
        <v/>
      </c>
      <c r="Q2063" s="4">
        <f>MAX(0,J2063-G2063)</f>
        <v/>
      </c>
      <c r="R2063" s="4">
        <f>IF(AND(N2063=1,O2063=1),"On Track",IF(O2063=0,"Customer Delivery Late","Ship Late"))</f>
        <v/>
      </c>
    </row>
    <row r="2064">
      <c r="A2064" s="2" t="inlineStr">
        <is>
          <t>ORD-02063</t>
        </is>
      </c>
      <c r="B2064" s="2" t="inlineStr">
        <is>
          <t>Customer 03</t>
        </is>
      </c>
      <c r="C2064" s="2" t="inlineStr">
        <is>
          <t>Drive</t>
        </is>
      </c>
      <c r="D2064" s="2" t="inlineStr">
        <is>
          <t>Plant C</t>
        </is>
      </c>
      <c r="E2064" s="2" t="inlineStr">
        <is>
          <t>South</t>
        </is>
      </c>
      <c r="F2064" s="12" t="n">
        <v>46122</v>
      </c>
      <c r="G2064" s="12" t="n">
        <v>46139</v>
      </c>
      <c r="H2064" s="12" t="n">
        <v>46137</v>
      </c>
      <c r="I2064" s="12" t="n">
        <v>46137</v>
      </c>
      <c r="J2064" s="12" t="n">
        <v>46139</v>
      </c>
      <c r="K2064" s="2" t="n">
        <v>881</v>
      </c>
      <c r="L2064" s="2" t="inlineStr">
        <is>
          <t>Air</t>
        </is>
      </c>
      <c r="M2064" s="2" t="inlineStr">
        <is>
          <t>No Delay</t>
        </is>
      </c>
      <c r="N2064" s="4">
        <f>IF(I2064&lt;=H2064,1,0)</f>
        <v/>
      </c>
      <c r="O2064" s="4">
        <f>IF(J2064&lt;=G2064,1,0)</f>
        <v/>
      </c>
      <c r="P2064" s="4">
        <f>MAX(0,I2064-H2064)</f>
        <v/>
      </c>
      <c r="Q2064" s="4">
        <f>MAX(0,J2064-G2064)</f>
        <v/>
      </c>
      <c r="R2064" s="4">
        <f>IF(AND(N2064=1,O2064=1),"On Track",IF(O2064=0,"Customer Delivery Late","Ship Late"))</f>
        <v/>
      </c>
    </row>
    <row r="2065">
      <c r="A2065" s="2" t="inlineStr">
        <is>
          <t>ORD-02064</t>
        </is>
      </c>
      <c r="B2065" s="2" t="inlineStr">
        <is>
          <t>Customer 17</t>
        </is>
      </c>
      <c r="C2065" s="2" t="inlineStr">
        <is>
          <t>Drive</t>
        </is>
      </c>
      <c r="D2065" s="2" t="inlineStr">
        <is>
          <t>Plant A</t>
        </is>
      </c>
      <c r="E2065" s="2" t="inlineStr">
        <is>
          <t>Central</t>
        </is>
      </c>
      <c r="F2065" s="12" t="n">
        <v>46163</v>
      </c>
      <c r="G2065" s="12" t="n">
        <v>46183</v>
      </c>
      <c r="H2065" s="12" t="n">
        <v>46178</v>
      </c>
      <c r="I2065" s="12" t="n">
        <v>46176</v>
      </c>
      <c r="J2065" s="12" t="n">
        <v>46180</v>
      </c>
      <c r="K2065" s="2" t="n">
        <v>956</v>
      </c>
      <c r="L2065" s="2" t="inlineStr">
        <is>
          <t>Road</t>
        </is>
      </c>
      <c r="M2065" s="2" t="inlineStr">
        <is>
          <t>No Delay</t>
        </is>
      </c>
      <c r="N2065" s="4">
        <f>IF(I2065&lt;=H2065,1,0)</f>
        <v/>
      </c>
      <c r="O2065" s="4">
        <f>IF(J2065&lt;=G2065,1,0)</f>
        <v/>
      </c>
      <c r="P2065" s="4">
        <f>MAX(0,I2065-H2065)</f>
        <v/>
      </c>
      <c r="Q2065" s="4">
        <f>MAX(0,J2065-G2065)</f>
        <v/>
      </c>
      <c r="R2065" s="4">
        <f>IF(AND(N2065=1,O2065=1),"On Track",IF(O2065=0,"Customer Delivery Late","Ship Late"))</f>
        <v/>
      </c>
    </row>
    <row r="2066">
      <c r="A2066" s="2" t="inlineStr">
        <is>
          <t>ORD-02065</t>
        </is>
      </c>
      <c r="B2066" s="2" t="inlineStr">
        <is>
          <t>Customer 21</t>
        </is>
      </c>
      <c r="C2066" s="2" t="inlineStr">
        <is>
          <t>Drive</t>
        </is>
      </c>
      <c r="D2066" s="2" t="inlineStr">
        <is>
          <t>Plant C</t>
        </is>
      </c>
      <c r="E2066" s="2" t="inlineStr">
        <is>
          <t>North</t>
        </is>
      </c>
      <c r="F2066" s="12" t="n">
        <v>46145</v>
      </c>
      <c r="G2066" s="12" t="n">
        <v>46162</v>
      </c>
      <c r="H2066" s="12" t="n">
        <v>46158</v>
      </c>
      <c r="I2066" s="12" t="n">
        <v>46158</v>
      </c>
      <c r="J2066" s="12" t="n">
        <v>46162</v>
      </c>
      <c r="K2066" s="2" t="n">
        <v>347</v>
      </c>
      <c r="L2066" s="2" t="inlineStr">
        <is>
          <t>Air</t>
        </is>
      </c>
      <c r="M2066" s="2" t="inlineStr">
        <is>
          <t>No Delay</t>
        </is>
      </c>
      <c r="N2066" s="4">
        <f>IF(I2066&lt;=H2066,1,0)</f>
        <v/>
      </c>
      <c r="O2066" s="4">
        <f>IF(J2066&lt;=G2066,1,0)</f>
        <v/>
      </c>
      <c r="P2066" s="4">
        <f>MAX(0,I2066-H2066)</f>
        <v/>
      </c>
      <c r="Q2066" s="4">
        <f>MAX(0,J2066-G2066)</f>
        <v/>
      </c>
      <c r="R2066" s="4">
        <f>IF(AND(N2066=1,O2066=1),"On Track",IF(O2066=0,"Customer Delivery Late","Ship Late"))</f>
        <v/>
      </c>
    </row>
    <row r="2067">
      <c r="A2067" s="2" t="inlineStr">
        <is>
          <t>ORD-02066</t>
        </is>
      </c>
      <c r="B2067" s="2" t="inlineStr">
        <is>
          <t>Customer 27</t>
        </is>
      </c>
      <c r="C2067" s="2" t="inlineStr">
        <is>
          <t>PLC</t>
        </is>
      </c>
      <c r="D2067" s="2" t="inlineStr">
        <is>
          <t>Plant A</t>
        </is>
      </c>
      <c r="E2067" s="2" t="inlineStr">
        <is>
          <t>Export</t>
        </is>
      </c>
      <c r="F2067" s="12" t="n">
        <v>46055</v>
      </c>
      <c r="G2067" s="12" t="n">
        <v>46076</v>
      </c>
      <c r="H2067" s="12" t="n">
        <v>46073</v>
      </c>
      <c r="I2067" s="12" t="n">
        <v>46072</v>
      </c>
      <c r="J2067" s="12" t="n">
        <v>46081</v>
      </c>
      <c r="K2067" s="2" t="n">
        <v>266</v>
      </c>
      <c r="L2067" s="2" t="inlineStr">
        <is>
          <t>Sea</t>
        </is>
      </c>
      <c r="M2067" s="2" t="inlineStr">
        <is>
          <t>Documentation Issue</t>
        </is>
      </c>
      <c r="N2067" s="4">
        <f>IF(I2067&lt;=H2067,1,0)</f>
        <v/>
      </c>
      <c r="O2067" s="4">
        <f>IF(J2067&lt;=G2067,1,0)</f>
        <v/>
      </c>
      <c r="P2067" s="4">
        <f>MAX(0,I2067-H2067)</f>
        <v/>
      </c>
      <c r="Q2067" s="4">
        <f>MAX(0,J2067-G2067)</f>
        <v/>
      </c>
      <c r="R2067" s="4">
        <f>IF(AND(N2067=1,O2067=1),"On Track",IF(O2067=0,"Customer Delivery Late","Ship Late"))</f>
        <v/>
      </c>
    </row>
    <row r="2068">
      <c r="A2068" s="2" t="inlineStr">
        <is>
          <t>ORD-02067</t>
        </is>
      </c>
      <c r="B2068" s="2" t="inlineStr">
        <is>
          <t>Customer 16</t>
        </is>
      </c>
      <c r="C2068" s="2" t="inlineStr">
        <is>
          <t>Switchgear</t>
        </is>
      </c>
      <c r="D2068" s="2" t="inlineStr">
        <is>
          <t>Plant C</t>
        </is>
      </c>
      <c r="E2068" s="2" t="inlineStr">
        <is>
          <t>North</t>
        </is>
      </c>
      <c r="F2068" s="12" t="n">
        <v>46025</v>
      </c>
      <c r="G2068" s="12" t="n">
        <v>46050</v>
      </c>
      <c r="H2068" s="12" t="n">
        <v>46046</v>
      </c>
      <c r="I2068" s="12" t="n">
        <v>46044</v>
      </c>
      <c r="J2068" s="12" t="n">
        <v>46048</v>
      </c>
      <c r="K2068" s="2" t="n">
        <v>257</v>
      </c>
      <c r="L2068" s="2" t="inlineStr">
        <is>
          <t>Sea</t>
        </is>
      </c>
      <c r="M2068" s="2" t="inlineStr">
        <is>
          <t>No Delay</t>
        </is>
      </c>
      <c r="N2068" s="4">
        <f>IF(I2068&lt;=H2068,1,0)</f>
        <v/>
      </c>
      <c r="O2068" s="4">
        <f>IF(J2068&lt;=G2068,1,0)</f>
        <v/>
      </c>
      <c r="P2068" s="4">
        <f>MAX(0,I2068-H2068)</f>
        <v/>
      </c>
      <c r="Q2068" s="4">
        <f>MAX(0,J2068-G2068)</f>
        <v/>
      </c>
      <c r="R2068" s="4">
        <f>IF(AND(N2068=1,O2068=1),"On Track",IF(O2068=0,"Customer Delivery Late","Ship Late"))</f>
        <v/>
      </c>
    </row>
    <row r="2069">
      <c r="A2069" s="2" t="inlineStr">
        <is>
          <t>ORD-02068</t>
        </is>
      </c>
      <c r="B2069" s="2" t="inlineStr">
        <is>
          <t>Customer 01</t>
        </is>
      </c>
      <c r="C2069" s="2" t="inlineStr">
        <is>
          <t>Breaker</t>
        </is>
      </c>
      <c r="D2069" s="2" t="inlineStr">
        <is>
          <t>Plant A</t>
        </is>
      </c>
      <c r="E2069" s="2" t="inlineStr">
        <is>
          <t>Export</t>
        </is>
      </c>
      <c r="F2069" s="12" t="n">
        <v>46097</v>
      </c>
      <c r="G2069" s="12" t="n">
        <v>46106</v>
      </c>
      <c r="H2069" s="12" t="n">
        <v>46103</v>
      </c>
      <c r="I2069" s="12" t="n">
        <v>46103</v>
      </c>
      <c r="J2069" s="12" t="n">
        <v>46107</v>
      </c>
      <c r="K2069" s="2" t="n">
        <v>179</v>
      </c>
      <c r="L2069" s="2" t="inlineStr">
        <is>
          <t>Road</t>
        </is>
      </c>
      <c r="M2069" s="2" t="inlineStr">
        <is>
          <t>Production Delay</t>
        </is>
      </c>
      <c r="N2069" s="4">
        <f>IF(I2069&lt;=H2069,1,0)</f>
        <v/>
      </c>
      <c r="O2069" s="4">
        <f>IF(J2069&lt;=G2069,1,0)</f>
        <v/>
      </c>
      <c r="P2069" s="4">
        <f>MAX(0,I2069-H2069)</f>
        <v/>
      </c>
      <c r="Q2069" s="4">
        <f>MAX(0,J2069-G2069)</f>
        <v/>
      </c>
      <c r="R2069" s="4">
        <f>IF(AND(N2069=1,O2069=1),"On Track",IF(O2069=0,"Customer Delivery Late","Ship Late"))</f>
        <v/>
      </c>
    </row>
    <row r="2070">
      <c r="A2070" s="2" t="inlineStr">
        <is>
          <t>ORD-02069</t>
        </is>
      </c>
      <c r="B2070" s="2" t="inlineStr">
        <is>
          <t>Customer 10</t>
        </is>
      </c>
      <c r="C2070" s="2" t="inlineStr">
        <is>
          <t>Switchgear</t>
        </is>
      </c>
      <c r="D2070" s="2" t="inlineStr">
        <is>
          <t>Plant A</t>
        </is>
      </c>
      <c r="E2070" s="2" t="inlineStr">
        <is>
          <t>North</t>
        </is>
      </c>
      <c r="F2070" s="12" t="n">
        <v>46041</v>
      </c>
      <c r="G2070" s="12" t="n">
        <v>46047</v>
      </c>
      <c r="H2070" s="12" t="n">
        <v>46045</v>
      </c>
      <c r="I2070" s="12" t="n">
        <v>46044</v>
      </c>
      <c r="J2070" s="12" t="n">
        <v>46046</v>
      </c>
      <c r="K2070" s="2" t="n">
        <v>724</v>
      </c>
      <c r="L2070" s="2" t="inlineStr">
        <is>
          <t>Sea</t>
        </is>
      </c>
      <c r="M2070" s="2" t="inlineStr">
        <is>
          <t>No Delay</t>
        </is>
      </c>
      <c r="N2070" s="4">
        <f>IF(I2070&lt;=H2070,1,0)</f>
        <v/>
      </c>
      <c r="O2070" s="4">
        <f>IF(J2070&lt;=G2070,1,0)</f>
        <v/>
      </c>
      <c r="P2070" s="4">
        <f>MAX(0,I2070-H2070)</f>
        <v/>
      </c>
      <c r="Q2070" s="4">
        <f>MAX(0,J2070-G2070)</f>
        <v/>
      </c>
      <c r="R2070" s="4">
        <f>IF(AND(N2070=1,O2070=1),"On Track",IF(O2070=0,"Customer Delivery Late","Ship Late"))</f>
        <v/>
      </c>
    </row>
    <row r="2071">
      <c r="A2071" s="2" t="inlineStr">
        <is>
          <t>ORD-02070</t>
        </is>
      </c>
      <c r="B2071" s="2" t="inlineStr">
        <is>
          <t>Customer 21</t>
        </is>
      </c>
      <c r="C2071" s="2" t="inlineStr">
        <is>
          <t>Switchgear</t>
        </is>
      </c>
      <c r="D2071" s="2" t="inlineStr">
        <is>
          <t>Plant A</t>
        </is>
      </c>
      <c r="E2071" s="2" t="inlineStr">
        <is>
          <t>Export</t>
        </is>
      </c>
      <c r="F2071" s="12" t="n">
        <v>46191</v>
      </c>
      <c r="G2071" s="12" t="n">
        <v>46211</v>
      </c>
      <c r="H2071" s="12" t="n">
        <v>46207</v>
      </c>
      <c r="I2071" s="12" t="n">
        <v>46209</v>
      </c>
      <c r="J2071" s="12" t="n">
        <v>46212</v>
      </c>
      <c r="K2071" s="2" t="n">
        <v>757</v>
      </c>
      <c r="L2071" s="2" t="inlineStr">
        <is>
          <t>Sea</t>
        </is>
      </c>
      <c r="M2071" s="2" t="inlineStr">
        <is>
          <t>Capacity Constraint</t>
        </is>
      </c>
      <c r="N2071" s="4">
        <f>IF(I2071&lt;=H2071,1,0)</f>
        <v/>
      </c>
      <c r="O2071" s="4">
        <f>IF(J2071&lt;=G2071,1,0)</f>
        <v/>
      </c>
      <c r="P2071" s="4">
        <f>MAX(0,I2071-H2071)</f>
        <v/>
      </c>
      <c r="Q2071" s="4">
        <f>MAX(0,J2071-G2071)</f>
        <v/>
      </c>
      <c r="R2071" s="4">
        <f>IF(AND(N2071=1,O2071=1),"On Track",IF(O2071=0,"Customer Delivery Late","Ship Late"))</f>
        <v/>
      </c>
    </row>
    <row r="2072">
      <c r="A2072" s="2" t="inlineStr">
        <is>
          <t>ORD-02071</t>
        </is>
      </c>
      <c r="B2072" s="2" t="inlineStr">
        <is>
          <t>Customer 20</t>
        </is>
      </c>
      <c r="C2072" s="2" t="inlineStr">
        <is>
          <t>Power Supply</t>
        </is>
      </c>
      <c r="D2072" s="2" t="inlineStr">
        <is>
          <t>Plant C</t>
        </is>
      </c>
      <c r="E2072" s="2" t="inlineStr">
        <is>
          <t>Central</t>
        </is>
      </c>
      <c r="F2072" s="12" t="n">
        <v>46179</v>
      </c>
      <c r="G2072" s="12" t="n">
        <v>46197</v>
      </c>
      <c r="H2072" s="12" t="n">
        <v>46194</v>
      </c>
      <c r="I2072" s="12" t="n">
        <v>46193</v>
      </c>
      <c r="J2072" s="12" t="n">
        <v>46196</v>
      </c>
      <c r="K2072" s="2" t="n">
        <v>408</v>
      </c>
      <c r="L2072" s="2" t="inlineStr">
        <is>
          <t>Air</t>
        </is>
      </c>
      <c r="M2072" s="2" t="inlineStr">
        <is>
          <t>No Delay</t>
        </is>
      </c>
      <c r="N2072" s="4">
        <f>IF(I2072&lt;=H2072,1,0)</f>
        <v/>
      </c>
      <c r="O2072" s="4">
        <f>IF(J2072&lt;=G2072,1,0)</f>
        <v/>
      </c>
      <c r="P2072" s="4">
        <f>MAX(0,I2072-H2072)</f>
        <v/>
      </c>
      <c r="Q2072" s="4">
        <f>MAX(0,J2072-G2072)</f>
        <v/>
      </c>
      <c r="R2072" s="4">
        <f>IF(AND(N2072=1,O2072=1),"On Track",IF(O2072=0,"Customer Delivery Late","Ship Late"))</f>
        <v/>
      </c>
    </row>
    <row r="2073">
      <c r="A2073" s="2" t="inlineStr">
        <is>
          <t>ORD-02072</t>
        </is>
      </c>
      <c r="B2073" s="2" t="inlineStr">
        <is>
          <t>Customer 27</t>
        </is>
      </c>
      <c r="C2073" s="2" t="inlineStr">
        <is>
          <t>Sensor</t>
        </is>
      </c>
      <c r="D2073" s="2" t="inlineStr">
        <is>
          <t>Plant A</t>
        </is>
      </c>
      <c r="E2073" s="2" t="inlineStr">
        <is>
          <t>Export</t>
        </is>
      </c>
      <c r="F2073" s="12" t="n">
        <v>46091</v>
      </c>
      <c r="G2073" s="12" t="n">
        <v>46096</v>
      </c>
      <c r="H2073" s="12" t="n">
        <v>46095</v>
      </c>
      <c r="I2073" s="12" t="n">
        <v>46094</v>
      </c>
      <c r="J2073" s="12" t="n">
        <v>46095</v>
      </c>
      <c r="K2073" s="2" t="n">
        <v>1407</v>
      </c>
      <c r="L2073" s="2" t="inlineStr">
        <is>
          <t>Sea</t>
        </is>
      </c>
      <c r="M2073" s="2" t="inlineStr">
        <is>
          <t>No Delay</t>
        </is>
      </c>
      <c r="N2073" s="4">
        <f>IF(I2073&lt;=H2073,1,0)</f>
        <v/>
      </c>
      <c r="O2073" s="4">
        <f>IF(J2073&lt;=G2073,1,0)</f>
        <v/>
      </c>
      <c r="P2073" s="4">
        <f>MAX(0,I2073-H2073)</f>
        <v/>
      </c>
      <c r="Q2073" s="4">
        <f>MAX(0,J2073-G2073)</f>
        <v/>
      </c>
      <c r="R2073" s="4">
        <f>IF(AND(N2073=1,O2073=1),"On Track",IF(O2073=0,"Customer Delivery Late","Ship Late"))</f>
        <v/>
      </c>
    </row>
    <row r="2074">
      <c r="A2074" s="2" t="inlineStr">
        <is>
          <t>ORD-02073</t>
        </is>
      </c>
      <c r="B2074" s="2" t="inlineStr">
        <is>
          <t>Customer 19</t>
        </is>
      </c>
      <c r="C2074" s="2" t="inlineStr">
        <is>
          <t>Contactor</t>
        </is>
      </c>
      <c r="D2074" s="2" t="inlineStr">
        <is>
          <t>Plant B</t>
        </is>
      </c>
      <c r="E2074" s="2" t="inlineStr">
        <is>
          <t>Central</t>
        </is>
      </c>
      <c r="F2074" s="12" t="n">
        <v>46116</v>
      </c>
      <c r="G2074" s="12" t="n">
        <v>46127</v>
      </c>
      <c r="H2074" s="12" t="n">
        <v>46123</v>
      </c>
      <c r="I2074" s="12" t="n">
        <v>46123</v>
      </c>
      <c r="J2074" s="12" t="n">
        <v>46127</v>
      </c>
      <c r="K2074" s="2" t="n">
        <v>1287</v>
      </c>
      <c r="L2074" s="2" t="inlineStr">
        <is>
          <t>Sea</t>
        </is>
      </c>
      <c r="M2074" s="2" t="inlineStr">
        <is>
          <t>No Delay</t>
        </is>
      </c>
      <c r="N2074" s="4">
        <f>IF(I2074&lt;=H2074,1,0)</f>
        <v/>
      </c>
      <c r="O2074" s="4">
        <f>IF(J2074&lt;=G2074,1,0)</f>
        <v/>
      </c>
      <c r="P2074" s="4">
        <f>MAX(0,I2074-H2074)</f>
        <v/>
      </c>
      <c r="Q2074" s="4">
        <f>MAX(0,J2074-G2074)</f>
        <v/>
      </c>
      <c r="R2074" s="4">
        <f>IF(AND(N2074=1,O2074=1),"On Track",IF(O2074=0,"Customer Delivery Late","Ship Late"))</f>
        <v/>
      </c>
    </row>
    <row r="2075">
      <c r="A2075" s="2" t="inlineStr">
        <is>
          <t>ORD-02074</t>
        </is>
      </c>
      <c r="B2075" s="2" t="inlineStr">
        <is>
          <t>Customer 25</t>
        </is>
      </c>
      <c r="C2075" s="2" t="inlineStr">
        <is>
          <t>Contactor</t>
        </is>
      </c>
      <c r="D2075" s="2" t="inlineStr">
        <is>
          <t>Plant B</t>
        </is>
      </c>
      <c r="E2075" s="2" t="inlineStr">
        <is>
          <t>Export</t>
        </is>
      </c>
      <c r="F2075" s="12" t="n">
        <v>46026</v>
      </c>
      <c r="G2075" s="12" t="n">
        <v>46045</v>
      </c>
      <c r="H2075" s="12" t="n">
        <v>46044</v>
      </c>
      <c r="I2075" s="12" t="n">
        <v>46043</v>
      </c>
      <c r="J2075" s="12" t="n">
        <v>46044</v>
      </c>
      <c r="K2075" s="2" t="n">
        <v>1321</v>
      </c>
      <c r="L2075" s="2" t="inlineStr">
        <is>
          <t>Sea</t>
        </is>
      </c>
      <c r="M2075" s="2" t="inlineStr">
        <is>
          <t>No Delay</t>
        </is>
      </c>
      <c r="N2075" s="4">
        <f>IF(I2075&lt;=H2075,1,0)</f>
        <v/>
      </c>
      <c r="O2075" s="4">
        <f>IF(J2075&lt;=G2075,1,0)</f>
        <v/>
      </c>
      <c r="P2075" s="4">
        <f>MAX(0,I2075-H2075)</f>
        <v/>
      </c>
      <c r="Q2075" s="4">
        <f>MAX(0,J2075-G2075)</f>
        <v/>
      </c>
      <c r="R2075" s="4">
        <f>IF(AND(N2075=1,O2075=1),"On Track",IF(O2075=0,"Customer Delivery Late","Ship Late"))</f>
        <v/>
      </c>
    </row>
    <row r="2076">
      <c r="A2076" s="2" t="inlineStr">
        <is>
          <t>ORD-02075</t>
        </is>
      </c>
      <c r="B2076" s="2" t="inlineStr">
        <is>
          <t>Customer 23</t>
        </is>
      </c>
      <c r="C2076" s="2" t="inlineStr">
        <is>
          <t>Relay</t>
        </is>
      </c>
      <c r="D2076" s="2" t="inlineStr">
        <is>
          <t>Plant B</t>
        </is>
      </c>
      <c r="E2076" s="2" t="inlineStr">
        <is>
          <t>North</t>
        </is>
      </c>
      <c r="F2076" s="12" t="n">
        <v>46052</v>
      </c>
      <c r="G2076" s="12" t="n">
        <v>46059</v>
      </c>
      <c r="H2076" s="12" t="n">
        <v>46056</v>
      </c>
      <c r="I2076" s="12" t="n">
        <v>46056</v>
      </c>
      <c r="J2076" s="12" t="n">
        <v>46058</v>
      </c>
      <c r="K2076" s="2" t="n">
        <v>72</v>
      </c>
      <c r="L2076" s="2" t="inlineStr">
        <is>
          <t>Sea</t>
        </is>
      </c>
      <c r="M2076" s="2" t="inlineStr">
        <is>
          <t>No Delay</t>
        </is>
      </c>
      <c r="N2076" s="4">
        <f>IF(I2076&lt;=H2076,1,0)</f>
        <v/>
      </c>
      <c r="O2076" s="4">
        <f>IF(J2076&lt;=G2076,1,0)</f>
        <v/>
      </c>
      <c r="P2076" s="4">
        <f>MAX(0,I2076-H2076)</f>
        <v/>
      </c>
      <c r="Q2076" s="4">
        <f>MAX(0,J2076-G2076)</f>
        <v/>
      </c>
      <c r="R2076" s="4">
        <f>IF(AND(N2076=1,O2076=1),"On Track",IF(O2076=0,"Customer Delivery Late","Ship Late"))</f>
        <v/>
      </c>
    </row>
    <row r="2077">
      <c r="A2077" s="2" t="inlineStr">
        <is>
          <t>ORD-02076</t>
        </is>
      </c>
      <c r="B2077" s="2" t="inlineStr">
        <is>
          <t>Customer 30</t>
        </is>
      </c>
      <c r="C2077" s="2" t="inlineStr">
        <is>
          <t>Drive</t>
        </is>
      </c>
      <c r="D2077" s="2" t="inlineStr">
        <is>
          <t>Plant C</t>
        </is>
      </c>
      <c r="E2077" s="2" t="inlineStr">
        <is>
          <t>Export</t>
        </is>
      </c>
      <c r="F2077" s="12" t="n">
        <v>46031</v>
      </c>
      <c r="G2077" s="12" t="n">
        <v>46040</v>
      </c>
      <c r="H2077" s="12" t="n">
        <v>46036</v>
      </c>
      <c r="I2077" s="12" t="n">
        <v>46036</v>
      </c>
      <c r="J2077" s="12" t="n">
        <v>46040</v>
      </c>
      <c r="K2077" s="2" t="n">
        <v>1149</v>
      </c>
      <c r="L2077" s="2" t="inlineStr">
        <is>
          <t>Road</t>
        </is>
      </c>
      <c r="M2077" s="2" t="inlineStr">
        <is>
          <t>No Delay</t>
        </is>
      </c>
      <c r="N2077" s="4">
        <f>IF(I2077&lt;=H2077,1,0)</f>
        <v/>
      </c>
      <c r="O2077" s="4">
        <f>IF(J2077&lt;=G2077,1,0)</f>
        <v/>
      </c>
      <c r="P2077" s="4">
        <f>MAX(0,I2077-H2077)</f>
        <v/>
      </c>
      <c r="Q2077" s="4">
        <f>MAX(0,J2077-G2077)</f>
        <v/>
      </c>
      <c r="R2077" s="4">
        <f>IF(AND(N2077=1,O2077=1),"On Track",IF(O2077=0,"Customer Delivery Late","Ship Late"))</f>
        <v/>
      </c>
    </row>
    <row r="2078">
      <c r="A2078" s="2" t="inlineStr">
        <is>
          <t>ORD-02077</t>
        </is>
      </c>
      <c r="B2078" s="2" t="inlineStr">
        <is>
          <t>Customer 03</t>
        </is>
      </c>
      <c r="C2078" s="2" t="inlineStr">
        <is>
          <t>Relay</t>
        </is>
      </c>
      <c r="D2078" s="2" t="inlineStr">
        <is>
          <t>Plant A</t>
        </is>
      </c>
      <c r="E2078" s="2" t="inlineStr">
        <is>
          <t>South</t>
        </is>
      </c>
      <c r="F2078" s="12" t="n">
        <v>46079</v>
      </c>
      <c r="G2078" s="12" t="n">
        <v>46094</v>
      </c>
      <c r="H2078" s="12" t="n">
        <v>46091</v>
      </c>
      <c r="I2078" s="12" t="n">
        <v>46091</v>
      </c>
      <c r="J2078" s="12" t="n">
        <v>46094</v>
      </c>
      <c r="K2078" s="2" t="n">
        <v>1178</v>
      </c>
      <c r="L2078" s="2" t="inlineStr">
        <is>
          <t>Air</t>
        </is>
      </c>
      <c r="M2078" s="2" t="inlineStr">
        <is>
          <t>No Delay</t>
        </is>
      </c>
      <c r="N2078" s="4">
        <f>IF(I2078&lt;=H2078,1,0)</f>
        <v/>
      </c>
      <c r="O2078" s="4">
        <f>IF(J2078&lt;=G2078,1,0)</f>
        <v/>
      </c>
      <c r="P2078" s="4">
        <f>MAX(0,I2078-H2078)</f>
        <v/>
      </c>
      <c r="Q2078" s="4">
        <f>MAX(0,J2078-G2078)</f>
        <v/>
      </c>
      <c r="R2078" s="4">
        <f>IF(AND(N2078=1,O2078=1),"On Track",IF(O2078=0,"Customer Delivery Late","Ship Late"))</f>
        <v/>
      </c>
    </row>
    <row r="2079">
      <c r="A2079" s="2" t="inlineStr">
        <is>
          <t>ORD-02078</t>
        </is>
      </c>
      <c r="B2079" s="2" t="inlineStr">
        <is>
          <t>Customer 21</t>
        </is>
      </c>
      <c r="C2079" s="2" t="inlineStr">
        <is>
          <t>Power Supply</t>
        </is>
      </c>
      <c r="D2079" s="2" t="inlineStr">
        <is>
          <t>Plant B</t>
        </is>
      </c>
      <c r="E2079" s="2" t="inlineStr">
        <is>
          <t>Central</t>
        </is>
      </c>
      <c r="F2079" s="12" t="n">
        <v>46143</v>
      </c>
      <c r="G2079" s="12" t="n">
        <v>46166</v>
      </c>
      <c r="H2079" s="12" t="n">
        <v>46165</v>
      </c>
      <c r="I2079" s="12" t="n">
        <v>46164</v>
      </c>
      <c r="J2079" s="12" t="n">
        <v>46166</v>
      </c>
      <c r="K2079" s="2" t="n">
        <v>329</v>
      </c>
      <c r="L2079" s="2" t="inlineStr">
        <is>
          <t>Road</t>
        </is>
      </c>
      <c r="M2079" s="2" t="inlineStr">
        <is>
          <t>No Delay</t>
        </is>
      </c>
      <c r="N2079" s="4">
        <f>IF(I2079&lt;=H2079,1,0)</f>
        <v/>
      </c>
      <c r="O2079" s="4">
        <f>IF(J2079&lt;=G2079,1,0)</f>
        <v/>
      </c>
      <c r="P2079" s="4">
        <f>MAX(0,I2079-H2079)</f>
        <v/>
      </c>
      <c r="Q2079" s="4">
        <f>MAX(0,J2079-G2079)</f>
        <v/>
      </c>
      <c r="R2079" s="4">
        <f>IF(AND(N2079=1,O2079=1),"On Track",IF(O2079=0,"Customer Delivery Late","Ship Late"))</f>
        <v/>
      </c>
    </row>
    <row r="2080">
      <c r="A2080" s="2" t="inlineStr">
        <is>
          <t>ORD-02079</t>
        </is>
      </c>
      <c r="B2080" s="2" t="inlineStr">
        <is>
          <t>Customer 25</t>
        </is>
      </c>
      <c r="C2080" s="2" t="inlineStr">
        <is>
          <t>Relay</t>
        </is>
      </c>
      <c r="D2080" s="2" t="inlineStr">
        <is>
          <t>Plant B</t>
        </is>
      </c>
      <c r="E2080" s="2" t="inlineStr">
        <is>
          <t>Export</t>
        </is>
      </c>
      <c r="F2080" s="12" t="n">
        <v>46076</v>
      </c>
      <c r="G2080" s="12" t="n">
        <v>46083</v>
      </c>
      <c r="H2080" s="12" t="n">
        <v>46079</v>
      </c>
      <c r="I2080" s="12" t="n">
        <v>46079</v>
      </c>
      <c r="J2080" s="12" t="n">
        <v>46083</v>
      </c>
      <c r="K2080" s="2" t="n">
        <v>1113</v>
      </c>
      <c r="L2080" s="2" t="inlineStr">
        <is>
          <t>Air</t>
        </is>
      </c>
      <c r="M2080" s="2" t="inlineStr">
        <is>
          <t>No Delay</t>
        </is>
      </c>
      <c r="N2080" s="4">
        <f>IF(I2080&lt;=H2080,1,0)</f>
        <v/>
      </c>
      <c r="O2080" s="4">
        <f>IF(J2080&lt;=G2080,1,0)</f>
        <v/>
      </c>
      <c r="P2080" s="4">
        <f>MAX(0,I2080-H2080)</f>
        <v/>
      </c>
      <c r="Q2080" s="4">
        <f>MAX(0,J2080-G2080)</f>
        <v/>
      </c>
      <c r="R2080" s="4">
        <f>IF(AND(N2080=1,O2080=1),"On Track",IF(O2080=0,"Customer Delivery Late","Ship Late"))</f>
        <v/>
      </c>
    </row>
    <row r="2081">
      <c r="A2081" s="2" t="inlineStr">
        <is>
          <t>ORD-02080</t>
        </is>
      </c>
      <c r="B2081" s="2" t="inlineStr">
        <is>
          <t>Customer 29</t>
        </is>
      </c>
      <c r="C2081" s="2" t="inlineStr">
        <is>
          <t>Relay</t>
        </is>
      </c>
      <c r="D2081" s="2" t="inlineStr">
        <is>
          <t>Plant A</t>
        </is>
      </c>
      <c r="E2081" s="2" t="inlineStr">
        <is>
          <t>Export</t>
        </is>
      </c>
      <c r="F2081" s="12" t="n">
        <v>46090</v>
      </c>
      <c r="G2081" s="12" t="n">
        <v>46113</v>
      </c>
      <c r="H2081" s="12" t="n">
        <v>46111</v>
      </c>
      <c r="I2081" s="12" t="n">
        <v>46119</v>
      </c>
      <c r="J2081" s="12" t="n">
        <v>46114</v>
      </c>
      <c r="K2081" s="2" t="n">
        <v>1370</v>
      </c>
      <c r="L2081" s="2" t="inlineStr">
        <is>
          <t>Road</t>
        </is>
      </c>
      <c r="M2081" s="2" t="inlineStr">
        <is>
          <t>Customer Change</t>
        </is>
      </c>
      <c r="N2081" s="4">
        <f>IF(I2081&lt;=H2081,1,0)</f>
        <v/>
      </c>
      <c r="O2081" s="4">
        <f>IF(J2081&lt;=G2081,1,0)</f>
        <v/>
      </c>
      <c r="P2081" s="4">
        <f>MAX(0,I2081-H2081)</f>
        <v/>
      </c>
      <c r="Q2081" s="4">
        <f>MAX(0,J2081-G2081)</f>
        <v/>
      </c>
      <c r="R2081" s="4">
        <f>IF(AND(N2081=1,O2081=1),"On Track",IF(O2081=0,"Customer Delivery Late","Ship Late"))</f>
        <v/>
      </c>
    </row>
    <row r="2082">
      <c r="A2082" s="2" t="inlineStr">
        <is>
          <t>ORD-02081</t>
        </is>
      </c>
      <c r="B2082" s="2" t="inlineStr">
        <is>
          <t>Customer 25</t>
        </is>
      </c>
      <c r="C2082" s="2" t="inlineStr">
        <is>
          <t>Drive</t>
        </is>
      </c>
      <c r="D2082" s="2" t="inlineStr">
        <is>
          <t>Plant B</t>
        </is>
      </c>
      <c r="E2082" s="2" t="inlineStr">
        <is>
          <t>Central</t>
        </is>
      </c>
      <c r="F2082" s="12" t="n">
        <v>46045</v>
      </c>
      <c r="G2082" s="12" t="n">
        <v>46059</v>
      </c>
      <c r="H2082" s="12" t="n">
        <v>46055</v>
      </c>
      <c r="I2082" s="12" t="n">
        <v>46054</v>
      </c>
      <c r="J2082" s="12" t="n">
        <v>46059</v>
      </c>
      <c r="K2082" s="2" t="n">
        <v>303</v>
      </c>
      <c r="L2082" s="2" t="inlineStr">
        <is>
          <t>Air</t>
        </is>
      </c>
      <c r="M2082" s="2" t="inlineStr">
        <is>
          <t>No Delay</t>
        </is>
      </c>
      <c r="N2082" s="4">
        <f>IF(I2082&lt;=H2082,1,0)</f>
        <v/>
      </c>
      <c r="O2082" s="4">
        <f>IF(J2082&lt;=G2082,1,0)</f>
        <v/>
      </c>
      <c r="P2082" s="4">
        <f>MAX(0,I2082-H2082)</f>
        <v/>
      </c>
      <c r="Q2082" s="4">
        <f>MAX(0,J2082-G2082)</f>
        <v/>
      </c>
      <c r="R2082" s="4">
        <f>IF(AND(N2082=1,O2082=1),"On Track",IF(O2082=0,"Customer Delivery Late","Ship Late"))</f>
        <v/>
      </c>
    </row>
    <row r="2083">
      <c r="A2083" s="2" t="inlineStr">
        <is>
          <t>ORD-02082</t>
        </is>
      </c>
      <c r="B2083" s="2" t="inlineStr">
        <is>
          <t>Customer 14</t>
        </is>
      </c>
      <c r="C2083" s="2" t="inlineStr">
        <is>
          <t>PLC</t>
        </is>
      </c>
      <c r="D2083" s="2" t="inlineStr">
        <is>
          <t>Plant B</t>
        </is>
      </c>
      <c r="E2083" s="2" t="inlineStr">
        <is>
          <t>Central</t>
        </is>
      </c>
      <c r="F2083" s="12" t="n">
        <v>46052</v>
      </c>
      <c r="G2083" s="12" t="n">
        <v>46069</v>
      </c>
      <c r="H2083" s="12" t="n">
        <v>46067</v>
      </c>
      <c r="I2083" s="12" t="n">
        <v>46067</v>
      </c>
      <c r="J2083" s="12" t="n">
        <v>46069</v>
      </c>
      <c r="K2083" s="2" t="n">
        <v>36</v>
      </c>
      <c r="L2083" s="2" t="inlineStr">
        <is>
          <t>Road</t>
        </is>
      </c>
      <c r="M2083" s="2" t="inlineStr">
        <is>
          <t>No Delay</t>
        </is>
      </c>
      <c r="N2083" s="4">
        <f>IF(I2083&lt;=H2083,1,0)</f>
        <v/>
      </c>
      <c r="O2083" s="4">
        <f>IF(J2083&lt;=G2083,1,0)</f>
        <v/>
      </c>
      <c r="P2083" s="4">
        <f>MAX(0,I2083-H2083)</f>
        <v/>
      </c>
      <c r="Q2083" s="4">
        <f>MAX(0,J2083-G2083)</f>
        <v/>
      </c>
      <c r="R2083" s="4">
        <f>IF(AND(N2083=1,O2083=1),"On Track",IF(O2083=0,"Customer Delivery Late","Ship Late"))</f>
        <v/>
      </c>
    </row>
    <row r="2084">
      <c r="A2084" s="2" t="inlineStr">
        <is>
          <t>ORD-02083</t>
        </is>
      </c>
      <c r="B2084" s="2" t="inlineStr">
        <is>
          <t>Customer 17</t>
        </is>
      </c>
      <c r="C2084" s="2" t="inlineStr">
        <is>
          <t>Contactor</t>
        </is>
      </c>
      <c r="D2084" s="2" t="inlineStr">
        <is>
          <t>Plant C</t>
        </is>
      </c>
      <c r="E2084" s="2" t="inlineStr">
        <is>
          <t>North</t>
        </is>
      </c>
      <c r="F2084" s="12" t="n">
        <v>46037</v>
      </c>
      <c r="G2084" s="12" t="n">
        <v>46043</v>
      </c>
      <c r="H2084" s="12" t="n">
        <v>46042</v>
      </c>
      <c r="I2084" s="12" t="n">
        <v>46042</v>
      </c>
      <c r="J2084" s="12" t="n">
        <v>46043</v>
      </c>
      <c r="K2084" s="2" t="n">
        <v>644</v>
      </c>
      <c r="L2084" s="2" t="inlineStr">
        <is>
          <t>Sea</t>
        </is>
      </c>
      <c r="M2084" s="2" t="inlineStr">
        <is>
          <t>No Delay</t>
        </is>
      </c>
      <c r="N2084" s="4">
        <f>IF(I2084&lt;=H2084,1,0)</f>
        <v/>
      </c>
      <c r="O2084" s="4">
        <f>IF(J2084&lt;=G2084,1,0)</f>
        <v/>
      </c>
      <c r="P2084" s="4">
        <f>MAX(0,I2084-H2084)</f>
        <v/>
      </c>
      <c r="Q2084" s="4">
        <f>MAX(0,J2084-G2084)</f>
        <v/>
      </c>
      <c r="R2084" s="4">
        <f>IF(AND(N2084=1,O2084=1),"On Track",IF(O2084=0,"Customer Delivery Late","Ship Late"))</f>
        <v/>
      </c>
    </row>
    <row r="2085">
      <c r="A2085" s="2" t="inlineStr">
        <is>
          <t>ORD-02084</t>
        </is>
      </c>
      <c r="B2085" s="2" t="inlineStr">
        <is>
          <t>Customer 18</t>
        </is>
      </c>
      <c r="C2085" s="2" t="inlineStr">
        <is>
          <t>Relay</t>
        </is>
      </c>
      <c r="D2085" s="2" t="inlineStr">
        <is>
          <t>Plant C</t>
        </is>
      </c>
      <c r="E2085" s="2" t="inlineStr">
        <is>
          <t>North</t>
        </is>
      </c>
      <c r="F2085" s="12" t="n">
        <v>46034</v>
      </c>
      <c r="G2085" s="12" t="n">
        <v>46044</v>
      </c>
      <c r="H2085" s="12" t="n">
        <v>46039</v>
      </c>
      <c r="I2085" s="12" t="n">
        <v>46037</v>
      </c>
      <c r="J2085" s="12" t="n">
        <v>46042</v>
      </c>
      <c r="K2085" s="2" t="n">
        <v>1283</v>
      </c>
      <c r="L2085" s="2" t="inlineStr">
        <is>
          <t>Sea</t>
        </is>
      </c>
      <c r="M2085" s="2" t="inlineStr">
        <is>
          <t>No Delay</t>
        </is>
      </c>
      <c r="N2085" s="4">
        <f>IF(I2085&lt;=H2085,1,0)</f>
        <v/>
      </c>
      <c r="O2085" s="4">
        <f>IF(J2085&lt;=G2085,1,0)</f>
        <v/>
      </c>
      <c r="P2085" s="4">
        <f>MAX(0,I2085-H2085)</f>
        <v/>
      </c>
      <c r="Q2085" s="4">
        <f>MAX(0,J2085-G2085)</f>
        <v/>
      </c>
      <c r="R2085" s="4">
        <f>IF(AND(N2085=1,O2085=1),"On Track",IF(O2085=0,"Customer Delivery Late","Ship Late"))</f>
        <v/>
      </c>
    </row>
    <row r="2086">
      <c r="A2086" s="2" t="inlineStr">
        <is>
          <t>ORD-02085</t>
        </is>
      </c>
      <c r="B2086" s="2" t="inlineStr">
        <is>
          <t>Customer 08</t>
        </is>
      </c>
      <c r="C2086" s="2" t="inlineStr">
        <is>
          <t>Power Supply</t>
        </is>
      </c>
      <c r="D2086" s="2" t="inlineStr">
        <is>
          <t>Plant B</t>
        </is>
      </c>
      <c r="E2086" s="2" t="inlineStr">
        <is>
          <t>Central</t>
        </is>
      </c>
      <c r="F2086" s="12" t="n">
        <v>46081</v>
      </c>
      <c r="G2086" s="12" t="n">
        <v>46087</v>
      </c>
      <c r="H2086" s="12" t="n">
        <v>46084</v>
      </c>
      <c r="I2086" s="12" t="n">
        <v>46084</v>
      </c>
      <c r="J2086" s="12" t="n">
        <v>46087</v>
      </c>
      <c r="K2086" s="2" t="n">
        <v>1103</v>
      </c>
      <c r="L2086" s="2" t="inlineStr">
        <is>
          <t>Sea</t>
        </is>
      </c>
      <c r="M2086" s="2" t="inlineStr">
        <is>
          <t>No Delay</t>
        </is>
      </c>
      <c r="N2086" s="4">
        <f>IF(I2086&lt;=H2086,1,0)</f>
        <v/>
      </c>
      <c r="O2086" s="4">
        <f>IF(J2086&lt;=G2086,1,0)</f>
        <v/>
      </c>
      <c r="P2086" s="4">
        <f>MAX(0,I2086-H2086)</f>
        <v/>
      </c>
      <c r="Q2086" s="4">
        <f>MAX(0,J2086-G2086)</f>
        <v/>
      </c>
      <c r="R2086" s="4">
        <f>IF(AND(N2086=1,O2086=1),"On Track",IF(O2086=0,"Customer Delivery Late","Ship Late"))</f>
        <v/>
      </c>
    </row>
    <row r="2087">
      <c r="A2087" s="2" t="inlineStr">
        <is>
          <t>ORD-02086</t>
        </is>
      </c>
      <c r="B2087" s="2" t="inlineStr">
        <is>
          <t>Customer 28</t>
        </is>
      </c>
      <c r="C2087" s="2" t="inlineStr">
        <is>
          <t>Sensor</t>
        </is>
      </c>
      <c r="D2087" s="2" t="inlineStr">
        <is>
          <t>Plant B</t>
        </is>
      </c>
      <c r="E2087" s="2" t="inlineStr">
        <is>
          <t>South</t>
        </is>
      </c>
      <c r="F2087" s="12" t="n">
        <v>46029</v>
      </c>
      <c r="G2087" s="12" t="n">
        <v>46050</v>
      </c>
      <c r="H2087" s="12" t="n">
        <v>46049</v>
      </c>
      <c r="I2087" s="12" t="n">
        <v>46047</v>
      </c>
      <c r="J2087" s="12" t="n">
        <v>46049</v>
      </c>
      <c r="K2087" s="2" t="n">
        <v>947</v>
      </c>
      <c r="L2087" s="2" t="inlineStr">
        <is>
          <t>Road</t>
        </is>
      </c>
      <c r="M2087" s="2" t="inlineStr">
        <is>
          <t>No Delay</t>
        </is>
      </c>
      <c r="N2087" s="4">
        <f>IF(I2087&lt;=H2087,1,0)</f>
        <v/>
      </c>
      <c r="O2087" s="4">
        <f>IF(J2087&lt;=G2087,1,0)</f>
        <v/>
      </c>
      <c r="P2087" s="4">
        <f>MAX(0,I2087-H2087)</f>
        <v/>
      </c>
      <c r="Q2087" s="4">
        <f>MAX(0,J2087-G2087)</f>
        <v/>
      </c>
      <c r="R2087" s="4">
        <f>IF(AND(N2087=1,O2087=1),"On Track",IF(O2087=0,"Customer Delivery Late","Ship Late"))</f>
        <v/>
      </c>
    </row>
    <row r="2088">
      <c r="A2088" s="2" t="inlineStr">
        <is>
          <t>ORD-02087</t>
        </is>
      </c>
      <c r="B2088" s="2" t="inlineStr">
        <is>
          <t>Customer 22</t>
        </is>
      </c>
      <c r="C2088" s="2" t="inlineStr">
        <is>
          <t>PLC</t>
        </is>
      </c>
      <c r="D2088" s="2" t="inlineStr">
        <is>
          <t>Plant A</t>
        </is>
      </c>
      <c r="E2088" s="2" t="inlineStr">
        <is>
          <t>Export</t>
        </is>
      </c>
      <c r="F2088" s="12" t="n">
        <v>46111</v>
      </c>
      <c r="G2088" s="12" t="n">
        <v>46123</v>
      </c>
      <c r="H2088" s="12" t="n">
        <v>46122</v>
      </c>
      <c r="I2088" s="12" t="n">
        <v>46124</v>
      </c>
      <c r="J2088" s="12" t="n">
        <v>46125</v>
      </c>
      <c r="K2088" s="2" t="n">
        <v>1028</v>
      </c>
      <c r="L2088" s="2" t="inlineStr">
        <is>
          <t>Road</t>
        </is>
      </c>
      <c r="M2088" s="2" t="inlineStr">
        <is>
          <t>Production Delay</t>
        </is>
      </c>
      <c r="N2088" s="4">
        <f>IF(I2088&lt;=H2088,1,0)</f>
        <v/>
      </c>
      <c r="O2088" s="4">
        <f>IF(J2088&lt;=G2088,1,0)</f>
        <v/>
      </c>
      <c r="P2088" s="4">
        <f>MAX(0,I2088-H2088)</f>
        <v/>
      </c>
      <c r="Q2088" s="4">
        <f>MAX(0,J2088-G2088)</f>
        <v/>
      </c>
      <c r="R2088" s="4">
        <f>IF(AND(N2088=1,O2088=1),"On Track",IF(O2088=0,"Customer Delivery Late","Ship Late"))</f>
        <v/>
      </c>
    </row>
    <row r="2089">
      <c r="A2089" s="2" t="inlineStr">
        <is>
          <t>ORD-02088</t>
        </is>
      </c>
      <c r="B2089" s="2" t="inlineStr">
        <is>
          <t>Customer 04</t>
        </is>
      </c>
      <c r="C2089" s="2" t="inlineStr">
        <is>
          <t>Sensor</t>
        </is>
      </c>
      <c r="D2089" s="2" t="inlineStr">
        <is>
          <t>Plant A</t>
        </is>
      </c>
      <c r="E2089" s="2" t="inlineStr">
        <is>
          <t>Export</t>
        </is>
      </c>
      <c r="F2089" s="12" t="n">
        <v>46177</v>
      </c>
      <c r="G2089" s="12" t="n">
        <v>46196</v>
      </c>
      <c r="H2089" s="12" t="n">
        <v>46191</v>
      </c>
      <c r="I2089" s="12" t="n">
        <v>46189</v>
      </c>
      <c r="J2089" s="12" t="n">
        <v>46195</v>
      </c>
      <c r="K2089" s="2" t="n">
        <v>1251</v>
      </c>
      <c r="L2089" s="2" t="inlineStr">
        <is>
          <t>Road</t>
        </is>
      </c>
      <c r="M2089" s="2" t="inlineStr">
        <is>
          <t>No Delay</t>
        </is>
      </c>
      <c r="N2089" s="4">
        <f>IF(I2089&lt;=H2089,1,0)</f>
        <v/>
      </c>
      <c r="O2089" s="4">
        <f>IF(J2089&lt;=G2089,1,0)</f>
        <v/>
      </c>
      <c r="P2089" s="4">
        <f>MAX(0,I2089-H2089)</f>
        <v/>
      </c>
      <c r="Q2089" s="4">
        <f>MAX(0,J2089-G2089)</f>
        <v/>
      </c>
      <c r="R2089" s="4">
        <f>IF(AND(N2089=1,O2089=1),"On Track",IF(O2089=0,"Customer Delivery Late","Ship Late"))</f>
        <v/>
      </c>
    </row>
    <row r="2090">
      <c r="A2090" s="2" t="inlineStr">
        <is>
          <t>ORD-02089</t>
        </is>
      </c>
      <c r="B2090" s="2" t="inlineStr">
        <is>
          <t>Customer 14</t>
        </is>
      </c>
      <c r="C2090" s="2" t="inlineStr">
        <is>
          <t>Switchgear</t>
        </is>
      </c>
      <c r="D2090" s="2" t="inlineStr">
        <is>
          <t>Plant C</t>
        </is>
      </c>
      <c r="E2090" s="2" t="inlineStr">
        <is>
          <t>North</t>
        </is>
      </c>
      <c r="F2090" s="12" t="n">
        <v>46144</v>
      </c>
      <c r="G2090" s="12" t="n">
        <v>46162</v>
      </c>
      <c r="H2090" s="12" t="n">
        <v>46159</v>
      </c>
      <c r="I2090" s="12" t="n">
        <v>46159</v>
      </c>
      <c r="J2090" s="12" t="n">
        <v>46162</v>
      </c>
      <c r="K2090" s="2" t="n">
        <v>1052</v>
      </c>
      <c r="L2090" s="2" t="inlineStr">
        <is>
          <t>Air</t>
        </is>
      </c>
      <c r="M2090" s="2" t="inlineStr">
        <is>
          <t>No Delay</t>
        </is>
      </c>
      <c r="N2090" s="4">
        <f>IF(I2090&lt;=H2090,1,0)</f>
        <v/>
      </c>
      <c r="O2090" s="4">
        <f>IF(J2090&lt;=G2090,1,0)</f>
        <v/>
      </c>
      <c r="P2090" s="4">
        <f>MAX(0,I2090-H2090)</f>
        <v/>
      </c>
      <c r="Q2090" s="4">
        <f>MAX(0,J2090-G2090)</f>
        <v/>
      </c>
      <c r="R2090" s="4">
        <f>IF(AND(N2090=1,O2090=1),"On Track",IF(O2090=0,"Customer Delivery Late","Ship Late"))</f>
        <v/>
      </c>
    </row>
    <row r="2091">
      <c r="A2091" s="2" t="inlineStr">
        <is>
          <t>ORD-02090</t>
        </is>
      </c>
      <c r="B2091" s="2" t="inlineStr">
        <is>
          <t>Customer 14</t>
        </is>
      </c>
      <c r="C2091" s="2" t="inlineStr">
        <is>
          <t>Drive</t>
        </is>
      </c>
      <c r="D2091" s="2" t="inlineStr">
        <is>
          <t>Plant A</t>
        </is>
      </c>
      <c r="E2091" s="2" t="inlineStr">
        <is>
          <t>North</t>
        </is>
      </c>
      <c r="F2091" s="12" t="n">
        <v>46145</v>
      </c>
      <c r="G2091" s="12" t="n">
        <v>46162</v>
      </c>
      <c r="H2091" s="12" t="n">
        <v>46160</v>
      </c>
      <c r="I2091" s="12" t="n">
        <v>46160</v>
      </c>
      <c r="J2091" s="12" t="n">
        <v>46162</v>
      </c>
      <c r="K2091" s="2" t="n">
        <v>1350</v>
      </c>
      <c r="L2091" s="2" t="inlineStr">
        <is>
          <t>Air</t>
        </is>
      </c>
      <c r="M2091" s="2" t="inlineStr">
        <is>
          <t>No Delay</t>
        </is>
      </c>
      <c r="N2091" s="4">
        <f>IF(I2091&lt;=H2091,1,0)</f>
        <v/>
      </c>
      <c r="O2091" s="4">
        <f>IF(J2091&lt;=G2091,1,0)</f>
        <v/>
      </c>
      <c r="P2091" s="4">
        <f>MAX(0,I2091-H2091)</f>
        <v/>
      </c>
      <c r="Q2091" s="4">
        <f>MAX(0,J2091-G2091)</f>
        <v/>
      </c>
      <c r="R2091" s="4">
        <f>IF(AND(N2091=1,O2091=1),"On Track",IF(O2091=0,"Customer Delivery Late","Ship Late"))</f>
        <v/>
      </c>
    </row>
    <row r="2092">
      <c r="A2092" s="2" t="inlineStr">
        <is>
          <t>ORD-02091</t>
        </is>
      </c>
      <c r="B2092" s="2" t="inlineStr">
        <is>
          <t>Customer 14</t>
        </is>
      </c>
      <c r="C2092" s="2" t="inlineStr">
        <is>
          <t>Switchgear</t>
        </is>
      </c>
      <c r="D2092" s="2" t="inlineStr">
        <is>
          <t>Plant C</t>
        </is>
      </c>
      <c r="E2092" s="2" t="inlineStr">
        <is>
          <t>North</t>
        </is>
      </c>
      <c r="F2092" s="12" t="n">
        <v>46186</v>
      </c>
      <c r="G2092" s="12" t="n">
        <v>46196</v>
      </c>
      <c r="H2092" s="12" t="n">
        <v>46192</v>
      </c>
      <c r="I2092" s="12" t="n">
        <v>46190</v>
      </c>
      <c r="J2092" s="12" t="n">
        <v>46194</v>
      </c>
      <c r="K2092" s="2" t="n">
        <v>1177</v>
      </c>
      <c r="L2092" s="2" t="inlineStr">
        <is>
          <t>Sea</t>
        </is>
      </c>
      <c r="M2092" s="2" t="inlineStr">
        <is>
          <t>No Delay</t>
        </is>
      </c>
      <c r="N2092" s="4">
        <f>IF(I2092&lt;=H2092,1,0)</f>
        <v/>
      </c>
      <c r="O2092" s="4">
        <f>IF(J2092&lt;=G2092,1,0)</f>
        <v/>
      </c>
      <c r="P2092" s="4">
        <f>MAX(0,I2092-H2092)</f>
        <v/>
      </c>
      <c r="Q2092" s="4">
        <f>MAX(0,J2092-G2092)</f>
        <v/>
      </c>
      <c r="R2092" s="4">
        <f>IF(AND(N2092=1,O2092=1),"On Track",IF(O2092=0,"Customer Delivery Late","Ship Late"))</f>
        <v/>
      </c>
    </row>
    <row r="2093">
      <c r="A2093" s="2" t="inlineStr">
        <is>
          <t>ORD-02092</t>
        </is>
      </c>
      <c r="B2093" s="2" t="inlineStr">
        <is>
          <t>Customer 18</t>
        </is>
      </c>
      <c r="C2093" s="2" t="inlineStr">
        <is>
          <t>Breaker</t>
        </is>
      </c>
      <c r="D2093" s="2" t="inlineStr">
        <is>
          <t>Plant B</t>
        </is>
      </c>
      <c r="E2093" s="2" t="inlineStr">
        <is>
          <t>South</t>
        </is>
      </c>
      <c r="F2093" s="12" t="n">
        <v>46199</v>
      </c>
      <c r="G2093" s="12" t="n">
        <v>46210</v>
      </c>
      <c r="H2093" s="12" t="n">
        <v>46206</v>
      </c>
      <c r="I2093" s="12" t="n">
        <v>46204</v>
      </c>
      <c r="J2093" s="12" t="n">
        <v>46208</v>
      </c>
      <c r="K2093" s="2" t="n">
        <v>1199</v>
      </c>
      <c r="L2093" s="2" t="inlineStr">
        <is>
          <t>Sea</t>
        </is>
      </c>
      <c r="M2093" s="2" t="inlineStr">
        <is>
          <t>No Delay</t>
        </is>
      </c>
      <c r="N2093" s="4">
        <f>IF(I2093&lt;=H2093,1,0)</f>
        <v/>
      </c>
      <c r="O2093" s="4">
        <f>IF(J2093&lt;=G2093,1,0)</f>
        <v/>
      </c>
      <c r="P2093" s="4">
        <f>MAX(0,I2093-H2093)</f>
        <v/>
      </c>
      <c r="Q2093" s="4">
        <f>MAX(0,J2093-G2093)</f>
        <v/>
      </c>
      <c r="R2093" s="4">
        <f>IF(AND(N2093=1,O2093=1),"On Track",IF(O2093=0,"Customer Delivery Late","Ship Late"))</f>
        <v/>
      </c>
    </row>
    <row r="2094">
      <c r="A2094" s="2" t="inlineStr">
        <is>
          <t>ORD-02093</t>
        </is>
      </c>
      <c r="B2094" s="2" t="inlineStr">
        <is>
          <t>Customer 16</t>
        </is>
      </c>
      <c r="C2094" s="2" t="inlineStr">
        <is>
          <t>Switchgear</t>
        </is>
      </c>
      <c r="D2094" s="2" t="inlineStr">
        <is>
          <t>Plant A</t>
        </is>
      </c>
      <c r="E2094" s="2" t="inlineStr">
        <is>
          <t>Export</t>
        </is>
      </c>
      <c r="F2094" s="12" t="n">
        <v>46084</v>
      </c>
      <c r="G2094" s="12" t="n">
        <v>46099</v>
      </c>
      <c r="H2094" s="12" t="n">
        <v>46094</v>
      </c>
      <c r="I2094" s="12" t="n">
        <v>46092</v>
      </c>
      <c r="J2094" s="12" t="n">
        <v>46097</v>
      </c>
      <c r="K2094" s="2" t="n">
        <v>670</v>
      </c>
      <c r="L2094" s="2" t="inlineStr">
        <is>
          <t>Sea</t>
        </is>
      </c>
      <c r="M2094" s="2" t="inlineStr">
        <is>
          <t>No Delay</t>
        </is>
      </c>
      <c r="N2094" s="4">
        <f>IF(I2094&lt;=H2094,1,0)</f>
        <v/>
      </c>
      <c r="O2094" s="4">
        <f>IF(J2094&lt;=G2094,1,0)</f>
        <v/>
      </c>
      <c r="P2094" s="4">
        <f>MAX(0,I2094-H2094)</f>
        <v/>
      </c>
      <c r="Q2094" s="4">
        <f>MAX(0,J2094-G2094)</f>
        <v/>
      </c>
      <c r="R2094" s="4">
        <f>IF(AND(N2094=1,O2094=1),"On Track",IF(O2094=0,"Customer Delivery Late","Ship Late"))</f>
        <v/>
      </c>
    </row>
    <row r="2095">
      <c r="A2095" s="2" t="inlineStr">
        <is>
          <t>ORD-02094</t>
        </is>
      </c>
      <c r="B2095" s="2" t="inlineStr">
        <is>
          <t>Customer 01</t>
        </is>
      </c>
      <c r="C2095" s="2" t="inlineStr">
        <is>
          <t>Contactor</t>
        </is>
      </c>
      <c r="D2095" s="2" t="inlineStr">
        <is>
          <t>Plant C</t>
        </is>
      </c>
      <c r="E2095" s="2" t="inlineStr">
        <is>
          <t>South</t>
        </is>
      </c>
      <c r="F2095" s="12" t="n">
        <v>46149</v>
      </c>
      <c r="G2095" s="12" t="n">
        <v>46166</v>
      </c>
      <c r="H2095" s="12" t="n">
        <v>46163</v>
      </c>
      <c r="I2095" s="12" t="n">
        <v>46161</v>
      </c>
      <c r="J2095" s="12" t="n">
        <v>46165</v>
      </c>
      <c r="K2095" s="2" t="n">
        <v>265</v>
      </c>
      <c r="L2095" s="2" t="inlineStr">
        <is>
          <t>Air</t>
        </is>
      </c>
      <c r="M2095" s="2" t="inlineStr">
        <is>
          <t>No Delay</t>
        </is>
      </c>
      <c r="N2095" s="4">
        <f>IF(I2095&lt;=H2095,1,0)</f>
        <v/>
      </c>
      <c r="O2095" s="4">
        <f>IF(J2095&lt;=G2095,1,0)</f>
        <v/>
      </c>
      <c r="P2095" s="4">
        <f>MAX(0,I2095-H2095)</f>
        <v/>
      </c>
      <c r="Q2095" s="4">
        <f>MAX(0,J2095-G2095)</f>
        <v/>
      </c>
      <c r="R2095" s="4">
        <f>IF(AND(N2095=1,O2095=1),"On Track",IF(O2095=0,"Customer Delivery Late","Ship Late"))</f>
        <v/>
      </c>
    </row>
    <row r="2096">
      <c r="A2096" s="2" t="inlineStr">
        <is>
          <t>ORD-02095</t>
        </is>
      </c>
      <c r="B2096" s="2" t="inlineStr">
        <is>
          <t>Customer 19</t>
        </is>
      </c>
      <c r="C2096" s="2" t="inlineStr">
        <is>
          <t>Drive</t>
        </is>
      </c>
      <c r="D2096" s="2" t="inlineStr">
        <is>
          <t>Plant B</t>
        </is>
      </c>
      <c r="E2096" s="2" t="inlineStr">
        <is>
          <t>South</t>
        </is>
      </c>
      <c r="F2096" s="12" t="n">
        <v>46050</v>
      </c>
      <c r="G2096" s="12" t="n">
        <v>46067</v>
      </c>
      <c r="H2096" s="12" t="n">
        <v>46064</v>
      </c>
      <c r="I2096" s="12" t="n">
        <v>46064</v>
      </c>
      <c r="J2096" s="12" t="n">
        <v>46068</v>
      </c>
      <c r="K2096" s="2" t="n">
        <v>200</v>
      </c>
      <c r="L2096" s="2" t="inlineStr">
        <is>
          <t>Sea</t>
        </is>
      </c>
      <c r="M2096" s="2" t="inlineStr">
        <is>
          <t>Production Delay</t>
        </is>
      </c>
      <c r="N2096" s="4">
        <f>IF(I2096&lt;=H2096,1,0)</f>
        <v/>
      </c>
      <c r="O2096" s="4">
        <f>IF(J2096&lt;=G2096,1,0)</f>
        <v/>
      </c>
      <c r="P2096" s="4">
        <f>MAX(0,I2096-H2096)</f>
        <v/>
      </c>
      <c r="Q2096" s="4">
        <f>MAX(0,J2096-G2096)</f>
        <v/>
      </c>
      <c r="R2096" s="4">
        <f>IF(AND(N2096=1,O2096=1),"On Track",IF(O2096=0,"Customer Delivery Late","Ship Late"))</f>
        <v/>
      </c>
    </row>
    <row r="2097">
      <c r="A2097" s="2" t="inlineStr">
        <is>
          <t>ORD-02096</t>
        </is>
      </c>
      <c r="B2097" s="2" t="inlineStr">
        <is>
          <t>Customer 21</t>
        </is>
      </c>
      <c r="C2097" s="2" t="inlineStr">
        <is>
          <t>Drive</t>
        </is>
      </c>
      <c r="D2097" s="2" t="inlineStr">
        <is>
          <t>Plant A</t>
        </is>
      </c>
      <c r="E2097" s="2" t="inlineStr">
        <is>
          <t>North</t>
        </is>
      </c>
      <c r="F2097" s="12" t="n">
        <v>46159</v>
      </c>
      <c r="G2097" s="12" t="n">
        <v>46178</v>
      </c>
      <c r="H2097" s="12" t="n">
        <v>46177</v>
      </c>
      <c r="I2097" s="12" t="n">
        <v>46176</v>
      </c>
      <c r="J2097" s="12" t="n">
        <v>46177</v>
      </c>
      <c r="K2097" s="2" t="n">
        <v>1481</v>
      </c>
      <c r="L2097" s="2" t="inlineStr">
        <is>
          <t>Sea</t>
        </is>
      </c>
      <c r="M2097" s="2" t="inlineStr">
        <is>
          <t>No Delay</t>
        </is>
      </c>
      <c r="N2097" s="4">
        <f>IF(I2097&lt;=H2097,1,0)</f>
        <v/>
      </c>
      <c r="O2097" s="4">
        <f>IF(J2097&lt;=G2097,1,0)</f>
        <v/>
      </c>
      <c r="P2097" s="4">
        <f>MAX(0,I2097-H2097)</f>
        <v/>
      </c>
      <c r="Q2097" s="4">
        <f>MAX(0,J2097-G2097)</f>
        <v/>
      </c>
      <c r="R2097" s="4">
        <f>IF(AND(N2097=1,O2097=1),"On Track",IF(O2097=0,"Customer Delivery Late","Ship Late"))</f>
        <v/>
      </c>
    </row>
    <row r="2098">
      <c r="A2098" s="2" t="inlineStr">
        <is>
          <t>ORD-02097</t>
        </is>
      </c>
      <c r="B2098" s="2" t="inlineStr">
        <is>
          <t>Customer 27</t>
        </is>
      </c>
      <c r="C2098" s="2" t="inlineStr">
        <is>
          <t>Switchgear</t>
        </is>
      </c>
      <c r="D2098" s="2" t="inlineStr">
        <is>
          <t>Plant B</t>
        </is>
      </c>
      <c r="E2098" s="2" t="inlineStr">
        <is>
          <t>Export</t>
        </is>
      </c>
      <c r="F2098" s="12" t="n">
        <v>46070</v>
      </c>
      <c r="G2098" s="12" t="n">
        <v>46083</v>
      </c>
      <c r="H2098" s="12" t="n">
        <v>46080</v>
      </c>
      <c r="I2098" s="12" t="n">
        <v>46080</v>
      </c>
      <c r="J2098" s="12" t="n">
        <v>46084</v>
      </c>
      <c r="K2098" s="2" t="n">
        <v>111</v>
      </c>
      <c r="L2098" s="2" t="inlineStr">
        <is>
          <t>Sea</t>
        </is>
      </c>
      <c r="M2098" s="2" t="inlineStr">
        <is>
          <t>Capacity Constraint</t>
        </is>
      </c>
      <c r="N2098" s="4">
        <f>IF(I2098&lt;=H2098,1,0)</f>
        <v/>
      </c>
      <c r="O2098" s="4">
        <f>IF(J2098&lt;=G2098,1,0)</f>
        <v/>
      </c>
      <c r="P2098" s="4">
        <f>MAX(0,I2098-H2098)</f>
        <v/>
      </c>
      <c r="Q2098" s="4">
        <f>MAX(0,J2098-G2098)</f>
        <v/>
      </c>
      <c r="R2098" s="4">
        <f>IF(AND(N2098=1,O2098=1),"On Track",IF(O2098=0,"Customer Delivery Late","Ship Late"))</f>
        <v/>
      </c>
    </row>
    <row r="2099">
      <c r="A2099" s="2" t="inlineStr">
        <is>
          <t>ORD-02098</t>
        </is>
      </c>
      <c r="B2099" s="2" t="inlineStr">
        <is>
          <t>Customer 24</t>
        </is>
      </c>
      <c r="C2099" s="2" t="inlineStr">
        <is>
          <t>Relay</t>
        </is>
      </c>
      <c r="D2099" s="2" t="inlineStr">
        <is>
          <t>Plant B</t>
        </is>
      </c>
      <c r="E2099" s="2" t="inlineStr">
        <is>
          <t>North</t>
        </is>
      </c>
      <c r="F2099" s="12" t="n">
        <v>46082</v>
      </c>
      <c r="G2099" s="12" t="n">
        <v>46107</v>
      </c>
      <c r="H2099" s="12" t="n">
        <v>46106</v>
      </c>
      <c r="I2099" s="12" t="n">
        <v>46106</v>
      </c>
      <c r="J2099" s="12" t="n">
        <v>46107</v>
      </c>
      <c r="K2099" s="2" t="n">
        <v>140</v>
      </c>
      <c r="L2099" s="2" t="inlineStr">
        <is>
          <t>Sea</t>
        </is>
      </c>
      <c r="M2099" s="2" t="inlineStr">
        <is>
          <t>No Delay</t>
        </is>
      </c>
      <c r="N2099" s="4">
        <f>IF(I2099&lt;=H2099,1,0)</f>
        <v/>
      </c>
      <c r="O2099" s="4">
        <f>IF(J2099&lt;=G2099,1,0)</f>
        <v/>
      </c>
      <c r="P2099" s="4">
        <f>MAX(0,I2099-H2099)</f>
        <v/>
      </c>
      <c r="Q2099" s="4">
        <f>MAX(0,J2099-G2099)</f>
        <v/>
      </c>
      <c r="R2099" s="4">
        <f>IF(AND(N2099=1,O2099=1),"On Track",IF(O2099=0,"Customer Delivery Late","Ship Late"))</f>
        <v/>
      </c>
    </row>
    <row r="2100">
      <c r="A2100" s="2" t="inlineStr">
        <is>
          <t>ORD-02099</t>
        </is>
      </c>
      <c r="B2100" s="2" t="inlineStr">
        <is>
          <t>Customer 20</t>
        </is>
      </c>
      <c r="C2100" s="2" t="inlineStr">
        <is>
          <t>Drive</t>
        </is>
      </c>
      <c r="D2100" s="2" t="inlineStr">
        <is>
          <t>Plant A</t>
        </is>
      </c>
      <c r="E2100" s="2" t="inlineStr">
        <is>
          <t>Central</t>
        </is>
      </c>
      <c r="F2100" s="12" t="n">
        <v>46152</v>
      </c>
      <c r="G2100" s="12" t="n">
        <v>46169</v>
      </c>
      <c r="H2100" s="12" t="n">
        <v>46168</v>
      </c>
      <c r="I2100" s="12" t="n">
        <v>46166</v>
      </c>
      <c r="J2100" s="12" t="n">
        <v>46167</v>
      </c>
      <c r="K2100" s="2" t="n">
        <v>341</v>
      </c>
      <c r="L2100" s="2" t="inlineStr">
        <is>
          <t>Road</t>
        </is>
      </c>
      <c r="M2100" s="2" t="inlineStr">
        <is>
          <t>No Delay</t>
        </is>
      </c>
      <c r="N2100" s="4">
        <f>IF(I2100&lt;=H2100,1,0)</f>
        <v/>
      </c>
      <c r="O2100" s="4">
        <f>IF(J2100&lt;=G2100,1,0)</f>
        <v/>
      </c>
      <c r="P2100" s="4">
        <f>MAX(0,I2100-H2100)</f>
        <v/>
      </c>
      <c r="Q2100" s="4">
        <f>MAX(0,J2100-G2100)</f>
        <v/>
      </c>
      <c r="R2100" s="4">
        <f>IF(AND(N2100=1,O2100=1),"On Track",IF(O2100=0,"Customer Delivery Late","Ship Late"))</f>
        <v/>
      </c>
    </row>
    <row r="2101">
      <c r="A2101" s="2" t="inlineStr">
        <is>
          <t>ORD-02100</t>
        </is>
      </c>
      <c r="B2101" s="2" t="inlineStr">
        <is>
          <t>Customer 02</t>
        </is>
      </c>
      <c r="C2101" s="2" t="inlineStr">
        <is>
          <t>Breaker</t>
        </is>
      </c>
      <c r="D2101" s="2" t="inlineStr">
        <is>
          <t>Plant B</t>
        </is>
      </c>
      <c r="E2101" s="2" t="inlineStr">
        <is>
          <t>Central</t>
        </is>
      </c>
      <c r="F2101" s="12" t="n">
        <v>46071</v>
      </c>
      <c r="G2101" s="12" t="n">
        <v>46089</v>
      </c>
      <c r="H2101" s="12" t="n">
        <v>46084</v>
      </c>
      <c r="I2101" s="12" t="n">
        <v>46082</v>
      </c>
      <c r="J2101" s="12" t="n">
        <v>46087</v>
      </c>
      <c r="K2101" s="2" t="n">
        <v>50</v>
      </c>
      <c r="L2101" s="2" t="inlineStr">
        <is>
          <t>Road</t>
        </is>
      </c>
      <c r="M2101" s="2" t="inlineStr">
        <is>
          <t>No Delay</t>
        </is>
      </c>
      <c r="N2101" s="4">
        <f>IF(I2101&lt;=H2101,1,0)</f>
        <v/>
      </c>
      <c r="O2101" s="4">
        <f>IF(J2101&lt;=G2101,1,0)</f>
        <v/>
      </c>
      <c r="P2101" s="4">
        <f>MAX(0,I2101-H2101)</f>
        <v/>
      </c>
      <c r="Q2101" s="4">
        <f>MAX(0,J2101-G2101)</f>
        <v/>
      </c>
      <c r="R2101" s="4">
        <f>IF(AND(N2101=1,O2101=1),"On Track",IF(O2101=0,"Customer Delivery Late","Ship Late"))</f>
        <v/>
      </c>
    </row>
    <row r="2102">
      <c r="A2102" s="2" t="inlineStr">
        <is>
          <t>ORD-02101</t>
        </is>
      </c>
      <c r="B2102" s="2" t="inlineStr">
        <is>
          <t>Customer 19</t>
        </is>
      </c>
      <c r="C2102" s="2" t="inlineStr">
        <is>
          <t>Switchgear</t>
        </is>
      </c>
      <c r="D2102" s="2" t="inlineStr">
        <is>
          <t>Plant B</t>
        </is>
      </c>
      <c r="E2102" s="2" t="inlineStr">
        <is>
          <t>Central</t>
        </is>
      </c>
      <c r="F2102" s="12" t="n">
        <v>46089</v>
      </c>
      <c r="G2102" s="12" t="n">
        <v>46099</v>
      </c>
      <c r="H2102" s="12" t="n">
        <v>46095</v>
      </c>
      <c r="I2102" s="12" t="n">
        <v>46094</v>
      </c>
      <c r="J2102" s="12" t="n">
        <v>46098</v>
      </c>
      <c r="K2102" s="2" t="n">
        <v>971</v>
      </c>
      <c r="L2102" s="2" t="inlineStr">
        <is>
          <t>Sea</t>
        </is>
      </c>
      <c r="M2102" s="2" t="inlineStr">
        <is>
          <t>No Delay</t>
        </is>
      </c>
      <c r="N2102" s="4">
        <f>IF(I2102&lt;=H2102,1,0)</f>
        <v/>
      </c>
      <c r="O2102" s="4">
        <f>IF(J2102&lt;=G2102,1,0)</f>
        <v/>
      </c>
      <c r="P2102" s="4">
        <f>MAX(0,I2102-H2102)</f>
        <v/>
      </c>
      <c r="Q2102" s="4">
        <f>MAX(0,J2102-G2102)</f>
        <v/>
      </c>
      <c r="R2102" s="4">
        <f>IF(AND(N2102=1,O2102=1),"On Track",IF(O2102=0,"Customer Delivery Late","Ship Late"))</f>
        <v/>
      </c>
    </row>
    <row r="2103">
      <c r="A2103" s="2" t="inlineStr">
        <is>
          <t>ORD-02102</t>
        </is>
      </c>
      <c r="B2103" s="2" t="inlineStr">
        <is>
          <t>Customer 25</t>
        </is>
      </c>
      <c r="C2103" s="2" t="inlineStr">
        <is>
          <t>Sensor</t>
        </is>
      </c>
      <c r="D2103" s="2" t="inlineStr">
        <is>
          <t>Plant B</t>
        </is>
      </c>
      <c r="E2103" s="2" t="inlineStr">
        <is>
          <t>Export</t>
        </is>
      </c>
      <c r="F2103" s="12" t="n">
        <v>46185</v>
      </c>
      <c r="G2103" s="12" t="n">
        <v>46199</v>
      </c>
      <c r="H2103" s="12" t="n">
        <v>46198</v>
      </c>
      <c r="I2103" s="12" t="n">
        <v>46197</v>
      </c>
      <c r="J2103" s="12" t="n">
        <v>46198</v>
      </c>
      <c r="K2103" s="2" t="n">
        <v>1368</v>
      </c>
      <c r="L2103" s="2" t="inlineStr">
        <is>
          <t>Sea</t>
        </is>
      </c>
      <c r="M2103" s="2" t="inlineStr">
        <is>
          <t>No Delay</t>
        </is>
      </c>
      <c r="N2103" s="4">
        <f>IF(I2103&lt;=H2103,1,0)</f>
        <v/>
      </c>
      <c r="O2103" s="4">
        <f>IF(J2103&lt;=G2103,1,0)</f>
        <v/>
      </c>
      <c r="P2103" s="4">
        <f>MAX(0,I2103-H2103)</f>
        <v/>
      </c>
      <c r="Q2103" s="4">
        <f>MAX(0,J2103-G2103)</f>
        <v/>
      </c>
      <c r="R2103" s="4">
        <f>IF(AND(N2103=1,O2103=1),"On Track",IF(O2103=0,"Customer Delivery Late","Ship Late"))</f>
        <v/>
      </c>
    </row>
    <row r="2104">
      <c r="A2104" s="2" t="inlineStr">
        <is>
          <t>ORD-02103</t>
        </is>
      </c>
      <c r="B2104" s="2" t="inlineStr">
        <is>
          <t>Customer 12</t>
        </is>
      </c>
      <c r="C2104" s="2" t="inlineStr">
        <is>
          <t>Sensor</t>
        </is>
      </c>
      <c r="D2104" s="2" t="inlineStr">
        <is>
          <t>Plant B</t>
        </is>
      </c>
      <c r="E2104" s="2" t="inlineStr">
        <is>
          <t>South</t>
        </is>
      </c>
      <c r="F2104" s="12" t="n">
        <v>46117</v>
      </c>
      <c r="G2104" s="12" t="n">
        <v>46135</v>
      </c>
      <c r="H2104" s="12" t="n">
        <v>46131</v>
      </c>
      <c r="I2104" s="12" t="n">
        <v>46131</v>
      </c>
      <c r="J2104" s="12" t="n">
        <v>46136</v>
      </c>
      <c r="K2104" s="2" t="n">
        <v>458</v>
      </c>
      <c r="L2104" s="2" t="inlineStr">
        <is>
          <t>Air</t>
        </is>
      </c>
      <c r="M2104" s="2" t="inlineStr">
        <is>
          <t>Production Delay</t>
        </is>
      </c>
      <c r="N2104" s="4">
        <f>IF(I2104&lt;=H2104,1,0)</f>
        <v/>
      </c>
      <c r="O2104" s="4">
        <f>IF(J2104&lt;=G2104,1,0)</f>
        <v/>
      </c>
      <c r="P2104" s="4">
        <f>MAX(0,I2104-H2104)</f>
        <v/>
      </c>
      <c r="Q2104" s="4">
        <f>MAX(0,J2104-G2104)</f>
        <v/>
      </c>
      <c r="R2104" s="4">
        <f>IF(AND(N2104=1,O2104=1),"On Track",IF(O2104=0,"Customer Delivery Late","Ship Late"))</f>
        <v/>
      </c>
    </row>
    <row r="2105">
      <c r="A2105" s="2" t="inlineStr">
        <is>
          <t>ORD-02104</t>
        </is>
      </c>
      <c r="B2105" s="2" t="inlineStr">
        <is>
          <t>Customer 17</t>
        </is>
      </c>
      <c r="C2105" s="2" t="inlineStr">
        <is>
          <t>PLC</t>
        </is>
      </c>
      <c r="D2105" s="2" t="inlineStr">
        <is>
          <t>Plant C</t>
        </is>
      </c>
      <c r="E2105" s="2" t="inlineStr">
        <is>
          <t>South</t>
        </is>
      </c>
      <c r="F2105" s="12" t="n">
        <v>46107</v>
      </c>
      <c r="G2105" s="12" t="n">
        <v>46114</v>
      </c>
      <c r="H2105" s="12" t="n">
        <v>46111</v>
      </c>
      <c r="I2105" s="12" t="n">
        <v>46110</v>
      </c>
      <c r="J2105" s="12" t="n">
        <v>46113</v>
      </c>
      <c r="K2105" s="2" t="n">
        <v>1047</v>
      </c>
      <c r="L2105" s="2" t="inlineStr">
        <is>
          <t>Road</t>
        </is>
      </c>
      <c r="M2105" s="2" t="inlineStr">
        <is>
          <t>No Delay</t>
        </is>
      </c>
      <c r="N2105" s="4">
        <f>IF(I2105&lt;=H2105,1,0)</f>
        <v/>
      </c>
      <c r="O2105" s="4">
        <f>IF(J2105&lt;=G2105,1,0)</f>
        <v/>
      </c>
      <c r="P2105" s="4">
        <f>MAX(0,I2105-H2105)</f>
        <v/>
      </c>
      <c r="Q2105" s="4">
        <f>MAX(0,J2105-G2105)</f>
        <v/>
      </c>
      <c r="R2105" s="4">
        <f>IF(AND(N2105=1,O2105=1),"On Track",IF(O2105=0,"Customer Delivery Late","Ship Late"))</f>
        <v/>
      </c>
    </row>
    <row r="2106">
      <c r="A2106" s="2" t="inlineStr">
        <is>
          <t>ORD-02105</t>
        </is>
      </c>
      <c r="B2106" s="2" t="inlineStr">
        <is>
          <t>Customer 27</t>
        </is>
      </c>
      <c r="C2106" s="2" t="inlineStr">
        <is>
          <t>Switchgear</t>
        </is>
      </c>
      <c r="D2106" s="2" t="inlineStr">
        <is>
          <t>Plant A</t>
        </is>
      </c>
      <c r="E2106" s="2" t="inlineStr">
        <is>
          <t>Export</t>
        </is>
      </c>
      <c r="F2106" s="12" t="n">
        <v>46098</v>
      </c>
      <c r="G2106" s="12" t="n">
        <v>46120</v>
      </c>
      <c r="H2106" s="12" t="n">
        <v>46118</v>
      </c>
      <c r="I2106" s="12" t="n">
        <v>46117</v>
      </c>
      <c r="J2106" s="12" t="n">
        <v>46119</v>
      </c>
      <c r="K2106" s="2" t="n">
        <v>812</v>
      </c>
      <c r="L2106" s="2" t="inlineStr">
        <is>
          <t>Air</t>
        </is>
      </c>
      <c r="M2106" s="2" t="inlineStr">
        <is>
          <t>No Delay</t>
        </is>
      </c>
      <c r="N2106" s="4">
        <f>IF(I2106&lt;=H2106,1,0)</f>
        <v/>
      </c>
      <c r="O2106" s="4">
        <f>IF(J2106&lt;=G2106,1,0)</f>
        <v/>
      </c>
      <c r="P2106" s="4">
        <f>MAX(0,I2106-H2106)</f>
        <v/>
      </c>
      <c r="Q2106" s="4">
        <f>MAX(0,J2106-G2106)</f>
        <v/>
      </c>
      <c r="R2106" s="4">
        <f>IF(AND(N2106=1,O2106=1),"On Track",IF(O2106=0,"Customer Delivery Late","Ship Late"))</f>
        <v/>
      </c>
    </row>
    <row r="2107">
      <c r="A2107" s="2" t="inlineStr">
        <is>
          <t>ORD-02106</t>
        </is>
      </c>
      <c r="B2107" s="2" t="inlineStr">
        <is>
          <t>Customer 16</t>
        </is>
      </c>
      <c r="C2107" s="2" t="inlineStr">
        <is>
          <t>Breaker</t>
        </is>
      </c>
      <c r="D2107" s="2" t="inlineStr">
        <is>
          <t>Plant C</t>
        </is>
      </c>
      <c r="E2107" s="2" t="inlineStr">
        <is>
          <t>South</t>
        </is>
      </c>
      <c r="F2107" s="12" t="n">
        <v>46155</v>
      </c>
      <c r="G2107" s="12" t="n">
        <v>46170</v>
      </c>
      <c r="H2107" s="12" t="n">
        <v>46168</v>
      </c>
      <c r="I2107" s="12" t="n">
        <v>46168</v>
      </c>
      <c r="J2107" s="12" t="n">
        <v>46170</v>
      </c>
      <c r="K2107" s="2" t="n">
        <v>509</v>
      </c>
      <c r="L2107" s="2" t="inlineStr">
        <is>
          <t>Road</t>
        </is>
      </c>
      <c r="M2107" s="2" t="inlineStr">
        <is>
          <t>No Delay</t>
        </is>
      </c>
      <c r="N2107" s="4">
        <f>IF(I2107&lt;=H2107,1,0)</f>
        <v/>
      </c>
      <c r="O2107" s="4">
        <f>IF(J2107&lt;=G2107,1,0)</f>
        <v/>
      </c>
      <c r="P2107" s="4">
        <f>MAX(0,I2107-H2107)</f>
        <v/>
      </c>
      <c r="Q2107" s="4">
        <f>MAX(0,J2107-G2107)</f>
        <v/>
      </c>
      <c r="R2107" s="4">
        <f>IF(AND(N2107=1,O2107=1),"On Track",IF(O2107=0,"Customer Delivery Late","Ship Late"))</f>
        <v/>
      </c>
    </row>
    <row r="2108">
      <c r="A2108" s="2" t="inlineStr">
        <is>
          <t>ORD-02107</t>
        </is>
      </c>
      <c r="B2108" s="2" t="inlineStr">
        <is>
          <t>Customer 24</t>
        </is>
      </c>
      <c r="C2108" s="2" t="inlineStr">
        <is>
          <t>Power Supply</t>
        </is>
      </c>
      <c r="D2108" s="2" t="inlineStr">
        <is>
          <t>Plant C</t>
        </is>
      </c>
      <c r="E2108" s="2" t="inlineStr">
        <is>
          <t>South</t>
        </is>
      </c>
      <c r="F2108" s="12" t="n">
        <v>46189</v>
      </c>
      <c r="G2108" s="12" t="n">
        <v>46207</v>
      </c>
      <c r="H2108" s="12" t="n">
        <v>46202</v>
      </c>
      <c r="I2108" s="12" t="n">
        <v>46202</v>
      </c>
      <c r="J2108" s="12" t="n">
        <v>46207</v>
      </c>
      <c r="K2108" s="2" t="n">
        <v>1106</v>
      </c>
      <c r="L2108" s="2" t="inlineStr">
        <is>
          <t>Road</t>
        </is>
      </c>
      <c r="M2108" s="2" t="inlineStr">
        <is>
          <t>No Delay</t>
        </is>
      </c>
      <c r="N2108" s="4">
        <f>IF(I2108&lt;=H2108,1,0)</f>
        <v/>
      </c>
      <c r="O2108" s="4">
        <f>IF(J2108&lt;=G2108,1,0)</f>
        <v/>
      </c>
      <c r="P2108" s="4">
        <f>MAX(0,I2108-H2108)</f>
        <v/>
      </c>
      <c r="Q2108" s="4">
        <f>MAX(0,J2108-G2108)</f>
        <v/>
      </c>
      <c r="R2108" s="4">
        <f>IF(AND(N2108=1,O2108=1),"On Track",IF(O2108=0,"Customer Delivery Late","Ship Late"))</f>
        <v/>
      </c>
    </row>
    <row r="2109">
      <c r="A2109" s="2" t="inlineStr">
        <is>
          <t>ORD-02108</t>
        </is>
      </c>
      <c r="B2109" s="2" t="inlineStr">
        <is>
          <t>Customer 18</t>
        </is>
      </c>
      <c r="C2109" s="2" t="inlineStr">
        <is>
          <t>Sensor</t>
        </is>
      </c>
      <c r="D2109" s="2" t="inlineStr">
        <is>
          <t>Plant B</t>
        </is>
      </c>
      <c r="E2109" s="2" t="inlineStr">
        <is>
          <t>Export</t>
        </is>
      </c>
      <c r="F2109" s="12" t="n">
        <v>46114</v>
      </c>
      <c r="G2109" s="12" t="n">
        <v>46119</v>
      </c>
      <c r="H2109" s="12" t="n">
        <v>46116</v>
      </c>
      <c r="I2109" s="12" t="n">
        <v>46114</v>
      </c>
      <c r="J2109" s="12" t="n">
        <v>46116</v>
      </c>
      <c r="K2109" s="2" t="n">
        <v>348</v>
      </c>
      <c r="L2109" s="2" t="inlineStr">
        <is>
          <t>Sea</t>
        </is>
      </c>
      <c r="M2109" s="2" t="inlineStr">
        <is>
          <t>No Delay</t>
        </is>
      </c>
      <c r="N2109" s="4">
        <f>IF(I2109&lt;=H2109,1,0)</f>
        <v/>
      </c>
      <c r="O2109" s="4">
        <f>IF(J2109&lt;=G2109,1,0)</f>
        <v/>
      </c>
      <c r="P2109" s="4">
        <f>MAX(0,I2109-H2109)</f>
        <v/>
      </c>
      <c r="Q2109" s="4">
        <f>MAX(0,J2109-G2109)</f>
        <v/>
      </c>
      <c r="R2109" s="4">
        <f>IF(AND(N2109=1,O2109=1),"On Track",IF(O2109=0,"Customer Delivery Late","Ship Late"))</f>
        <v/>
      </c>
    </row>
    <row r="2110">
      <c r="A2110" s="2" t="inlineStr">
        <is>
          <t>ORD-02109</t>
        </is>
      </c>
      <c r="B2110" s="2" t="inlineStr">
        <is>
          <t>Customer 15</t>
        </is>
      </c>
      <c r="C2110" s="2" t="inlineStr">
        <is>
          <t>Switchgear</t>
        </is>
      </c>
      <c r="D2110" s="2" t="inlineStr">
        <is>
          <t>Plant A</t>
        </is>
      </c>
      <c r="E2110" s="2" t="inlineStr">
        <is>
          <t>Export</t>
        </is>
      </c>
      <c r="F2110" s="12" t="n">
        <v>46025</v>
      </c>
      <c r="G2110" s="12" t="n">
        <v>46031</v>
      </c>
      <c r="H2110" s="12" t="n">
        <v>46027</v>
      </c>
      <c r="I2110" s="12" t="n">
        <v>46025</v>
      </c>
      <c r="J2110" s="12" t="n">
        <v>46030</v>
      </c>
      <c r="K2110" s="2" t="n">
        <v>300</v>
      </c>
      <c r="L2110" s="2" t="inlineStr">
        <is>
          <t>Sea</t>
        </is>
      </c>
      <c r="M2110" s="2" t="inlineStr">
        <is>
          <t>No Delay</t>
        </is>
      </c>
      <c r="N2110" s="4">
        <f>IF(I2110&lt;=H2110,1,0)</f>
        <v/>
      </c>
      <c r="O2110" s="4">
        <f>IF(J2110&lt;=G2110,1,0)</f>
        <v/>
      </c>
      <c r="P2110" s="4">
        <f>MAX(0,I2110-H2110)</f>
        <v/>
      </c>
      <c r="Q2110" s="4">
        <f>MAX(0,J2110-G2110)</f>
        <v/>
      </c>
      <c r="R2110" s="4">
        <f>IF(AND(N2110=1,O2110=1),"On Track",IF(O2110=0,"Customer Delivery Late","Ship Late"))</f>
        <v/>
      </c>
    </row>
    <row r="2111">
      <c r="A2111" s="2" t="inlineStr">
        <is>
          <t>ORD-02110</t>
        </is>
      </c>
      <c r="B2111" s="2" t="inlineStr">
        <is>
          <t>Customer 01</t>
        </is>
      </c>
      <c r="C2111" s="2" t="inlineStr">
        <is>
          <t>Contactor</t>
        </is>
      </c>
      <c r="D2111" s="2" t="inlineStr">
        <is>
          <t>Plant B</t>
        </is>
      </c>
      <c r="E2111" s="2" t="inlineStr">
        <is>
          <t>Central</t>
        </is>
      </c>
      <c r="F2111" s="12" t="n">
        <v>46103</v>
      </c>
      <c r="G2111" s="12" t="n">
        <v>46116</v>
      </c>
      <c r="H2111" s="12" t="n">
        <v>46113</v>
      </c>
      <c r="I2111" s="12" t="n">
        <v>46113</v>
      </c>
      <c r="J2111" s="12" t="n">
        <v>46116</v>
      </c>
      <c r="K2111" s="2" t="n">
        <v>696</v>
      </c>
      <c r="L2111" s="2" t="inlineStr">
        <is>
          <t>Sea</t>
        </is>
      </c>
      <c r="M2111" s="2" t="inlineStr">
        <is>
          <t>No Delay</t>
        </is>
      </c>
      <c r="N2111" s="4">
        <f>IF(I2111&lt;=H2111,1,0)</f>
        <v/>
      </c>
      <c r="O2111" s="4">
        <f>IF(J2111&lt;=G2111,1,0)</f>
        <v/>
      </c>
      <c r="P2111" s="4">
        <f>MAX(0,I2111-H2111)</f>
        <v/>
      </c>
      <c r="Q2111" s="4">
        <f>MAX(0,J2111-G2111)</f>
        <v/>
      </c>
      <c r="R2111" s="4">
        <f>IF(AND(N2111=1,O2111=1),"On Track",IF(O2111=0,"Customer Delivery Late","Ship Late"))</f>
        <v/>
      </c>
    </row>
    <row r="2112">
      <c r="A2112" s="2" t="inlineStr">
        <is>
          <t>ORD-02111</t>
        </is>
      </c>
      <c r="B2112" s="2" t="inlineStr">
        <is>
          <t>Customer 01</t>
        </is>
      </c>
      <c r="C2112" s="2" t="inlineStr">
        <is>
          <t>Relay</t>
        </is>
      </c>
      <c r="D2112" s="2" t="inlineStr">
        <is>
          <t>Plant C</t>
        </is>
      </c>
      <c r="E2112" s="2" t="inlineStr">
        <is>
          <t>North</t>
        </is>
      </c>
      <c r="F2112" s="12" t="n">
        <v>46112</v>
      </c>
      <c r="G2112" s="12" t="n">
        <v>46120</v>
      </c>
      <c r="H2112" s="12" t="n">
        <v>46117</v>
      </c>
      <c r="I2112" s="12" t="n">
        <v>46115</v>
      </c>
      <c r="J2112" s="12" t="n">
        <v>46118</v>
      </c>
      <c r="K2112" s="2" t="n">
        <v>648</v>
      </c>
      <c r="L2112" s="2" t="inlineStr">
        <is>
          <t>Road</t>
        </is>
      </c>
      <c r="M2112" s="2" t="inlineStr">
        <is>
          <t>No Delay</t>
        </is>
      </c>
      <c r="N2112" s="4">
        <f>IF(I2112&lt;=H2112,1,0)</f>
        <v/>
      </c>
      <c r="O2112" s="4">
        <f>IF(J2112&lt;=G2112,1,0)</f>
        <v/>
      </c>
      <c r="P2112" s="4">
        <f>MAX(0,I2112-H2112)</f>
        <v/>
      </c>
      <c r="Q2112" s="4">
        <f>MAX(0,J2112-G2112)</f>
        <v/>
      </c>
      <c r="R2112" s="4">
        <f>IF(AND(N2112=1,O2112=1),"On Track",IF(O2112=0,"Customer Delivery Late","Ship Late"))</f>
        <v/>
      </c>
    </row>
    <row r="2113">
      <c r="A2113" s="2" t="inlineStr">
        <is>
          <t>ORD-02112</t>
        </is>
      </c>
      <c r="B2113" s="2" t="inlineStr">
        <is>
          <t>Customer 25</t>
        </is>
      </c>
      <c r="C2113" s="2" t="inlineStr">
        <is>
          <t>Switchgear</t>
        </is>
      </c>
      <c r="D2113" s="2" t="inlineStr">
        <is>
          <t>Plant C</t>
        </is>
      </c>
      <c r="E2113" s="2" t="inlineStr">
        <is>
          <t>South</t>
        </is>
      </c>
      <c r="F2113" s="12" t="n">
        <v>46110</v>
      </c>
      <c r="G2113" s="12" t="n">
        <v>46122</v>
      </c>
      <c r="H2113" s="12" t="n">
        <v>46121</v>
      </c>
      <c r="I2113" s="12" t="n">
        <v>46120</v>
      </c>
      <c r="J2113" s="12" t="n">
        <v>46121</v>
      </c>
      <c r="K2113" s="2" t="n">
        <v>395</v>
      </c>
      <c r="L2113" s="2" t="inlineStr">
        <is>
          <t>Road</t>
        </is>
      </c>
      <c r="M2113" s="2" t="inlineStr">
        <is>
          <t>No Delay</t>
        </is>
      </c>
      <c r="N2113" s="4">
        <f>IF(I2113&lt;=H2113,1,0)</f>
        <v/>
      </c>
      <c r="O2113" s="4">
        <f>IF(J2113&lt;=G2113,1,0)</f>
        <v/>
      </c>
      <c r="P2113" s="4">
        <f>MAX(0,I2113-H2113)</f>
        <v/>
      </c>
      <c r="Q2113" s="4">
        <f>MAX(0,J2113-G2113)</f>
        <v/>
      </c>
      <c r="R2113" s="4">
        <f>IF(AND(N2113=1,O2113=1),"On Track",IF(O2113=0,"Customer Delivery Late","Ship Late"))</f>
        <v/>
      </c>
    </row>
    <row r="2114">
      <c r="A2114" s="2" t="inlineStr">
        <is>
          <t>ORD-02113</t>
        </is>
      </c>
      <c r="B2114" s="2" t="inlineStr">
        <is>
          <t>Customer 06</t>
        </is>
      </c>
      <c r="C2114" s="2" t="inlineStr">
        <is>
          <t>Power Supply</t>
        </is>
      </c>
      <c r="D2114" s="2" t="inlineStr">
        <is>
          <t>Plant B</t>
        </is>
      </c>
      <c r="E2114" s="2" t="inlineStr">
        <is>
          <t>Central</t>
        </is>
      </c>
      <c r="F2114" s="12" t="n">
        <v>46048</v>
      </c>
      <c r="G2114" s="12" t="n">
        <v>46056</v>
      </c>
      <c r="H2114" s="12" t="n">
        <v>46054</v>
      </c>
      <c r="I2114" s="12" t="n">
        <v>46053</v>
      </c>
      <c r="J2114" s="12" t="n">
        <v>46055</v>
      </c>
      <c r="K2114" s="2" t="n">
        <v>953</v>
      </c>
      <c r="L2114" s="2" t="inlineStr">
        <is>
          <t>Air</t>
        </is>
      </c>
      <c r="M2114" s="2" t="inlineStr">
        <is>
          <t>No Delay</t>
        </is>
      </c>
      <c r="N2114" s="4">
        <f>IF(I2114&lt;=H2114,1,0)</f>
        <v/>
      </c>
      <c r="O2114" s="4">
        <f>IF(J2114&lt;=G2114,1,0)</f>
        <v/>
      </c>
      <c r="P2114" s="4">
        <f>MAX(0,I2114-H2114)</f>
        <v/>
      </c>
      <c r="Q2114" s="4">
        <f>MAX(0,J2114-G2114)</f>
        <v/>
      </c>
      <c r="R2114" s="4">
        <f>IF(AND(N2114=1,O2114=1),"On Track",IF(O2114=0,"Customer Delivery Late","Ship Late"))</f>
        <v/>
      </c>
    </row>
    <row r="2115">
      <c r="A2115" s="2" t="inlineStr">
        <is>
          <t>ORD-02114</t>
        </is>
      </c>
      <c r="B2115" s="2" t="inlineStr">
        <is>
          <t>Customer 02</t>
        </is>
      </c>
      <c r="C2115" s="2" t="inlineStr">
        <is>
          <t>Drive</t>
        </is>
      </c>
      <c r="D2115" s="2" t="inlineStr">
        <is>
          <t>Plant B</t>
        </is>
      </c>
      <c r="E2115" s="2" t="inlineStr">
        <is>
          <t>Central</t>
        </is>
      </c>
      <c r="F2115" s="12" t="n">
        <v>46061</v>
      </c>
      <c r="G2115" s="12" t="n">
        <v>46083</v>
      </c>
      <c r="H2115" s="12" t="n">
        <v>46079</v>
      </c>
      <c r="I2115" s="12" t="n">
        <v>46078</v>
      </c>
      <c r="J2115" s="12" t="n">
        <v>46082</v>
      </c>
      <c r="K2115" s="2" t="n">
        <v>1092</v>
      </c>
      <c r="L2115" s="2" t="inlineStr">
        <is>
          <t>Road</t>
        </is>
      </c>
      <c r="M2115" s="2" t="inlineStr">
        <is>
          <t>No Delay</t>
        </is>
      </c>
      <c r="N2115" s="4">
        <f>IF(I2115&lt;=H2115,1,0)</f>
        <v/>
      </c>
      <c r="O2115" s="4">
        <f>IF(J2115&lt;=G2115,1,0)</f>
        <v/>
      </c>
      <c r="P2115" s="4">
        <f>MAX(0,I2115-H2115)</f>
        <v/>
      </c>
      <c r="Q2115" s="4">
        <f>MAX(0,J2115-G2115)</f>
        <v/>
      </c>
      <c r="R2115" s="4">
        <f>IF(AND(N2115=1,O2115=1),"On Track",IF(O2115=0,"Customer Delivery Late","Ship Late"))</f>
        <v/>
      </c>
    </row>
    <row r="2116">
      <c r="A2116" s="2" t="inlineStr">
        <is>
          <t>ORD-02115</t>
        </is>
      </c>
      <c r="B2116" s="2" t="inlineStr">
        <is>
          <t>Customer 26</t>
        </is>
      </c>
      <c r="C2116" s="2" t="inlineStr">
        <is>
          <t>Contactor</t>
        </is>
      </c>
      <c r="D2116" s="2" t="inlineStr">
        <is>
          <t>Plant C</t>
        </is>
      </c>
      <c r="E2116" s="2" t="inlineStr">
        <is>
          <t>Central</t>
        </is>
      </c>
      <c r="F2116" s="12" t="n">
        <v>46164</v>
      </c>
      <c r="G2116" s="12" t="n">
        <v>46180</v>
      </c>
      <c r="H2116" s="12" t="n">
        <v>46177</v>
      </c>
      <c r="I2116" s="12" t="n">
        <v>46175</v>
      </c>
      <c r="J2116" s="12" t="n">
        <v>46178</v>
      </c>
      <c r="K2116" s="2" t="n">
        <v>673</v>
      </c>
      <c r="L2116" s="2" t="inlineStr">
        <is>
          <t>Road</t>
        </is>
      </c>
      <c r="M2116" s="2" t="inlineStr">
        <is>
          <t>No Delay</t>
        </is>
      </c>
      <c r="N2116" s="4">
        <f>IF(I2116&lt;=H2116,1,0)</f>
        <v/>
      </c>
      <c r="O2116" s="4">
        <f>IF(J2116&lt;=G2116,1,0)</f>
        <v/>
      </c>
      <c r="P2116" s="4">
        <f>MAX(0,I2116-H2116)</f>
        <v/>
      </c>
      <c r="Q2116" s="4">
        <f>MAX(0,J2116-G2116)</f>
        <v/>
      </c>
      <c r="R2116" s="4">
        <f>IF(AND(N2116=1,O2116=1),"On Track",IF(O2116=0,"Customer Delivery Late","Ship Late"))</f>
        <v/>
      </c>
    </row>
    <row r="2117">
      <c r="A2117" s="2" t="inlineStr">
        <is>
          <t>ORD-02116</t>
        </is>
      </c>
      <c r="B2117" s="2" t="inlineStr">
        <is>
          <t>Customer 23</t>
        </is>
      </c>
      <c r="C2117" s="2" t="inlineStr">
        <is>
          <t>Breaker</t>
        </is>
      </c>
      <c r="D2117" s="2" t="inlineStr">
        <is>
          <t>Plant B</t>
        </is>
      </c>
      <c r="E2117" s="2" t="inlineStr">
        <is>
          <t>Central</t>
        </is>
      </c>
      <c r="F2117" s="12" t="n">
        <v>46043</v>
      </c>
      <c r="G2117" s="12" t="n">
        <v>46063</v>
      </c>
      <c r="H2117" s="12" t="n">
        <v>46060</v>
      </c>
      <c r="I2117" s="12" t="n">
        <v>46059</v>
      </c>
      <c r="J2117" s="12" t="n">
        <v>46062</v>
      </c>
      <c r="K2117" s="2" t="n">
        <v>980</v>
      </c>
      <c r="L2117" s="2" t="inlineStr">
        <is>
          <t>Road</t>
        </is>
      </c>
      <c r="M2117" s="2" t="inlineStr">
        <is>
          <t>No Delay</t>
        </is>
      </c>
      <c r="N2117" s="4">
        <f>IF(I2117&lt;=H2117,1,0)</f>
        <v/>
      </c>
      <c r="O2117" s="4">
        <f>IF(J2117&lt;=G2117,1,0)</f>
        <v/>
      </c>
      <c r="P2117" s="4">
        <f>MAX(0,I2117-H2117)</f>
        <v/>
      </c>
      <c r="Q2117" s="4">
        <f>MAX(0,J2117-G2117)</f>
        <v/>
      </c>
      <c r="R2117" s="4">
        <f>IF(AND(N2117=1,O2117=1),"On Track",IF(O2117=0,"Customer Delivery Late","Ship Late"))</f>
        <v/>
      </c>
    </row>
    <row r="2118">
      <c r="A2118" s="2" t="inlineStr">
        <is>
          <t>ORD-02117</t>
        </is>
      </c>
      <c r="B2118" s="2" t="inlineStr">
        <is>
          <t>Customer 27</t>
        </is>
      </c>
      <c r="C2118" s="2" t="inlineStr">
        <is>
          <t>Relay</t>
        </is>
      </c>
      <c r="D2118" s="2" t="inlineStr">
        <is>
          <t>Plant A</t>
        </is>
      </c>
      <c r="E2118" s="2" t="inlineStr">
        <is>
          <t>South</t>
        </is>
      </c>
      <c r="F2118" s="12" t="n">
        <v>46162</v>
      </c>
      <c r="G2118" s="12" t="n">
        <v>46170</v>
      </c>
      <c r="H2118" s="12" t="n">
        <v>46166</v>
      </c>
      <c r="I2118" s="12" t="n">
        <v>46164</v>
      </c>
      <c r="J2118" s="12" t="n">
        <v>46168</v>
      </c>
      <c r="K2118" s="2" t="n">
        <v>984</v>
      </c>
      <c r="L2118" s="2" t="inlineStr">
        <is>
          <t>Air</t>
        </is>
      </c>
      <c r="M2118" s="2" t="inlineStr">
        <is>
          <t>No Delay</t>
        </is>
      </c>
      <c r="N2118" s="4">
        <f>IF(I2118&lt;=H2118,1,0)</f>
        <v/>
      </c>
      <c r="O2118" s="4">
        <f>IF(J2118&lt;=G2118,1,0)</f>
        <v/>
      </c>
      <c r="P2118" s="4">
        <f>MAX(0,I2118-H2118)</f>
        <v/>
      </c>
      <c r="Q2118" s="4">
        <f>MAX(0,J2118-G2118)</f>
        <v/>
      </c>
      <c r="R2118" s="4">
        <f>IF(AND(N2118=1,O2118=1),"On Track",IF(O2118=0,"Customer Delivery Late","Ship Late"))</f>
        <v/>
      </c>
    </row>
    <row r="2119">
      <c r="A2119" s="2" t="inlineStr">
        <is>
          <t>ORD-02118</t>
        </is>
      </c>
      <c r="B2119" s="2" t="inlineStr">
        <is>
          <t>Customer 09</t>
        </is>
      </c>
      <c r="C2119" s="2" t="inlineStr">
        <is>
          <t>Contactor</t>
        </is>
      </c>
      <c r="D2119" s="2" t="inlineStr">
        <is>
          <t>Plant C</t>
        </is>
      </c>
      <c r="E2119" s="2" t="inlineStr">
        <is>
          <t>Export</t>
        </is>
      </c>
      <c r="F2119" s="12" t="n">
        <v>46131</v>
      </c>
      <c r="G2119" s="12" t="n">
        <v>46141</v>
      </c>
      <c r="H2119" s="12" t="n">
        <v>46137</v>
      </c>
      <c r="I2119" s="12" t="n">
        <v>46135</v>
      </c>
      <c r="J2119" s="12" t="n">
        <v>46139</v>
      </c>
      <c r="K2119" s="2" t="n">
        <v>813</v>
      </c>
      <c r="L2119" s="2" t="inlineStr">
        <is>
          <t>Road</t>
        </is>
      </c>
      <c r="M2119" s="2" t="inlineStr">
        <is>
          <t>No Delay</t>
        </is>
      </c>
      <c r="N2119" s="4">
        <f>IF(I2119&lt;=H2119,1,0)</f>
        <v/>
      </c>
      <c r="O2119" s="4">
        <f>IF(J2119&lt;=G2119,1,0)</f>
        <v/>
      </c>
      <c r="P2119" s="4">
        <f>MAX(0,I2119-H2119)</f>
        <v/>
      </c>
      <c r="Q2119" s="4">
        <f>MAX(0,J2119-G2119)</f>
        <v/>
      </c>
      <c r="R2119" s="4">
        <f>IF(AND(N2119=1,O2119=1),"On Track",IF(O2119=0,"Customer Delivery Late","Ship Late"))</f>
        <v/>
      </c>
    </row>
    <row r="2120">
      <c r="A2120" s="2" t="inlineStr">
        <is>
          <t>ORD-02119</t>
        </is>
      </c>
      <c r="B2120" s="2" t="inlineStr">
        <is>
          <t>Customer 14</t>
        </is>
      </c>
      <c r="C2120" s="2" t="inlineStr">
        <is>
          <t>PLC</t>
        </is>
      </c>
      <c r="D2120" s="2" t="inlineStr">
        <is>
          <t>Plant A</t>
        </is>
      </c>
      <c r="E2120" s="2" t="inlineStr">
        <is>
          <t>Central</t>
        </is>
      </c>
      <c r="F2120" s="12" t="n">
        <v>46026</v>
      </c>
      <c r="G2120" s="12" t="n">
        <v>46049</v>
      </c>
      <c r="H2120" s="12" t="n">
        <v>46044</v>
      </c>
      <c r="I2120" s="12" t="n">
        <v>46043</v>
      </c>
      <c r="J2120" s="12" t="n">
        <v>46047</v>
      </c>
      <c r="K2120" s="2" t="n">
        <v>1276</v>
      </c>
      <c r="L2120" s="2" t="inlineStr">
        <is>
          <t>Sea</t>
        </is>
      </c>
      <c r="M2120" s="2" t="inlineStr">
        <is>
          <t>No Delay</t>
        </is>
      </c>
      <c r="N2120" s="4">
        <f>IF(I2120&lt;=H2120,1,0)</f>
        <v/>
      </c>
      <c r="O2120" s="4">
        <f>IF(J2120&lt;=G2120,1,0)</f>
        <v/>
      </c>
      <c r="P2120" s="4">
        <f>MAX(0,I2120-H2120)</f>
        <v/>
      </c>
      <c r="Q2120" s="4">
        <f>MAX(0,J2120-G2120)</f>
        <v/>
      </c>
      <c r="R2120" s="4">
        <f>IF(AND(N2120=1,O2120=1),"On Track",IF(O2120=0,"Customer Delivery Late","Ship Late"))</f>
        <v/>
      </c>
    </row>
    <row r="2121">
      <c r="A2121" s="2" t="inlineStr">
        <is>
          <t>ORD-02120</t>
        </is>
      </c>
      <c r="B2121" s="2" t="inlineStr">
        <is>
          <t>Customer 11</t>
        </is>
      </c>
      <c r="C2121" s="2" t="inlineStr">
        <is>
          <t>Relay</t>
        </is>
      </c>
      <c r="D2121" s="2" t="inlineStr">
        <is>
          <t>Plant A</t>
        </is>
      </c>
      <c r="E2121" s="2" t="inlineStr">
        <is>
          <t>Export</t>
        </is>
      </c>
      <c r="F2121" s="12" t="n">
        <v>46109</v>
      </c>
      <c r="G2121" s="12" t="n">
        <v>46116</v>
      </c>
      <c r="H2121" s="12" t="n">
        <v>46112</v>
      </c>
      <c r="I2121" s="12" t="n">
        <v>46110</v>
      </c>
      <c r="J2121" s="12" t="n">
        <v>46114</v>
      </c>
      <c r="K2121" s="2" t="n">
        <v>912</v>
      </c>
      <c r="L2121" s="2" t="inlineStr">
        <is>
          <t>Road</t>
        </is>
      </c>
      <c r="M2121" s="2" t="inlineStr">
        <is>
          <t>No Delay</t>
        </is>
      </c>
      <c r="N2121" s="4">
        <f>IF(I2121&lt;=H2121,1,0)</f>
        <v/>
      </c>
      <c r="O2121" s="4">
        <f>IF(J2121&lt;=G2121,1,0)</f>
        <v/>
      </c>
      <c r="P2121" s="4">
        <f>MAX(0,I2121-H2121)</f>
        <v/>
      </c>
      <c r="Q2121" s="4">
        <f>MAX(0,J2121-G2121)</f>
        <v/>
      </c>
      <c r="R2121" s="4">
        <f>IF(AND(N2121=1,O2121=1),"On Track",IF(O2121=0,"Customer Delivery Late","Ship Late"))</f>
        <v/>
      </c>
    </row>
    <row r="2122">
      <c r="A2122" s="2" t="inlineStr">
        <is>
          <t>ORD-02121</t>
        </is>
      </c>
      <c r="B2122" s="2" t="inlineStr">
        <is>
          <t>Customer 17</t>
        </is>
      </c>
      <c r="C2122" s="2" t="inlineStr">
        <is>
          <t>Breaker</t>
        </is>
      </c>
      <c r="D2122" s="2" t="inlineStr">
        <is>
          <t>Plant B</t>
        </is>
      </c>
      <c r="E2122" s="2" t="inlineStr">
        <is>
          <t>South</t>
        </is>
      </c>
      <c r="F2122" s="12" t="n">
        <v>46196</v>
      </c>
      <c r="G2122" s="12" t="n">
        <v>46204</v>
      </c>
      <c r="H2122" s="12" t="n">
        <v>46202</v>
      </c>
      <c r="I2122" s="12" t="n">
        <v>46200</v>
      </c>
      <c r="J2122" s="12" t="n">
        <v>46202</v>
      </c>
      <c r="K2122" s="2" t="n">
        <v>195</v>
      </c>
      <c r="L2122" s="2" t="inlineStr">
        <is>
          <t>Sea</t>
        </is>
      </c>
      <c r="M2122" s="2" t="inlineStr">
        <is>
          <t>No Delay</t>
        </is>
      </c>
      <c r="N2122" s="4">
        <f>IF(I2122&lt;=H2122,1,0)</f>
        <v/>
      </c>
      <c r="O2122" s="4">
        <f>IF(J2122&lt;=G2122,1,0)</f>
        <v/>
      </c>
      <c r="P2122" s="4">
        <f>MAX(0,I2122-H2122)</f>
        <v/>
      </c>
      <c r="Q2122" s="4">
        <f>MAX(0,J2122-G2122)</f>
        <v/>
      </c>
      <c r="R2122" s="4">
        <f>IF(AND(N2122=1,O2122=1),"On Track",IF(O2122=0,"Customer Delivery Late","Ship Late"))</f>
        <v/>
      </c>
    </row>
    <row r="2123">
      <c r="A2123" s="2" t="inlineStr">
        <is>
          <t>ORD-02122</t>
        </is>
      </c>
      <c r="B2123" s="2" t="inlineStr">
        <is>
          <t>Customer 02</t>
        </is>
      </c>
      <c r="C2123" s="2" t="inlineStr">
        <is>
          <t>Relay</t>
        </is>
      </c>
      <c r="D2123" s="2" t="inlineStr">
        <is>
          <t>Plant C</t>
        </is>
      </c>
      <c r="E2123" s="2" t="inlineStr">
        <is>
          <t>Central</t>
        </is>
      </c>
      <c r="F2123" s="12" t="n">
        <v>46097</v>
      </c>
      <c r="G2123" s="12" t="n">
        <v>46122</v>
      </c>
      <c r="H2123" s="12" t="n">
        <v>46120</v>
      </c>
      <c r="I2123" s="12" t="n">
        <v>46119</v>
      </c>
      <c r="J2123" s="12" t="n">
        <v>46121</v>
      </c>
      <c r="K2123" s="2" t="n">
        <v>1489</v>
      </c>
      <c r="L2123" s="2" t="inlineStr">
        <is>
          <t>Road</t>
        </is>
      </c>
      <c r="M2123" s="2" t="inlineStr">
        <is>
          <t>No Delay</t>
        </is>
      </c>
      <c r="N2123" s="4">
        <f>IF(I2123&lt;=H2123,1,0)</f>
        <v/>
      </c>
      <c r="O2123" s="4">
        <f>IF(J2123&lt;=G2123,1,0)</f>
        <v/>
      </c>
      <c r="P2123" s="4">
        <f>MAX(0,I2123-H2123)</f>
        <v/>
      </c>
      <c r="Q2123" s="4">
        <f>MAX(0,J2123-G2123)</f>
        <v/>
      </c>
      <c r="R2123" s="4">
        <f>IF(AND(N2123=1,O2123=1),"On Track",IF(O2123=0,"Customer Delivery Late","Ship Late"))</f>
        <v/>
      </c>
    </row>
    <row r="2124">
      <c r="A2124" s="2" t="inlineStr">
        <is>
          <t>ORD-02123</t>
        </is>
      </c>
      <c r="B2124" s="2" t="inlineStr">
        <is>
          <t>Customer 06</t>
        </is>
      </c>
      <c r="C2124" s="2" t="inlineStr">
        <is>
          <t>Contactor</t>
        </is>
      </c>
      <c r="D2124" s="2" t="inlineStr">
        <is>
          <t>Plant A</t>
        </is>
      </c>
      <c r="E2124" s="2" t="inlineStr">
        <is>
          <t>South</t>
        </is>
      </c>
      <c r="F2124" s="12" t="n">
        <v>46050</v>
      </c>
      <c r="G2124" s="12" t="n">
        <v>46062</v>
      </c>
      <c r="H2124" s="12" t="n">
        <v>46059</v>
      </c>
      <c r="I2124" s="12" t="n">
        <v>46058</v>
      </c>
      <c r="J2124" s="12" t="n">
        <v>46061</v>
      </c>
      <c r="K2124" s="2" t="n">
        <v>609</v>
      </c>
      <c r="L2124" s="2" t="inlineStr">
        <is>
          <t>Sea</t>
        </is>
      </c>
      <c r="M2124" s="2" t="inlineStr">
        <is>
          <t>No Delay</t>
        </is>
      </c>
      <c r="N2124" s="4">
        <f>IF(I2124&lt;=H2124,1,0)</f>
        <v/>
      </c>
      <c r="O2124" s="4">
        <f>IF(J2124&lt;=G2124,1,0)</f>
        <v/>
      </c>
      <c r="P2124" s="4">
        <f>MAX(0,I2124-H2124)</f>
        <v/>
      </c>
      <c r="Q2124" s="4">
        <f>MAX(0,J2124-G2124)</f>
        <v/>
      </c>
      <c r="R2124" s="4">
        <f>IF(AND(N2124=1,O2124=1),"On Track",IF(O2124=0,"Customer Delivery Late","Ship Late"))</f>
        <v/>
      </c>
    </row>
    <row r="2125">
      <c r="A2125" s="2" t="inlineStr">
        <is>
          <t>ORD-02124</t>
        </is>
      </c>
      <c r="B2125" s="2" t="inlineStr">
        <is>
          <t>Customer 29</t>
        </is>
      </c>
      <c r="C2125" s="2" t="inlineStr">
        <is>
          <t>Drive</t>
        </is>
      </c>
      <c r="D2125" s="2" t="inlineStr">
        <is>
          <t>Plant A</t>
        </is>
      </c>
      <c r="E2125" s="2" t="inlineStr">
        <is>
          <t>North</t>
        </is>
      </c>
      <c r="F2125" s="12" t="n">
        <v>46029</v>
      </c>
      <c r="G2125" s="12" t="n">
        <v>46043</v>
      </c>
      <c r="H2125" s="12" t="n">
        <v>46040</v>
      </c>
      <c r="I2125" s="12" t="n">
        <v>46038</v>
      </c>
      <c r="J2125" s="12" t="n">
        <v>46041</v>
      </c>
      <c r="K2125" s="2" t="n">
        <v>88</v>
      </c>
      <c r="L2125" s="2" t="inlineStr">
        <is>
          <t>Sea</t>
        </is>
      </c>
      <c r="M2125" s="2" t="inlineStr">
        <is>
          <t>No Delay</t>
        </is>
      </c>
      <c r="N2125" s="4">
        <f>IF(I2125&lt;=H2125,1,0)</f>
        <v/>
      </c>
      <c r="O2125" s="4">
        <f>IF(J2125&lt;=G2125,1,0)</f>
        <v/>
      </c>
      <c r="P2125" s="4">
        <f>MAX(0,I2125-H2125)</f>
        <v/>
      </c>
      <c r="Q2125" s="4">
        <f>MAX(0,J2125-G2125)</f>
        <v/>
      </c>
      <c r="R2125" s="4">
        <f>IF(AND(N2125=1,O2125=1),"On Track",IF(O2125=0,"Customer Delivery Late","Ship Late"))</f>
        <v/>
      </c>
    </row>
    <row r="2126">
      <c r="A2126" s="2" t="inlineStr">
        <is>
          <t>ORD-02125</t>
        </is>
      </c>
      <c r="B2126" s="2" t="inlineStr">
        <is>
          <t>Customer 19</t>
        </is>
      </c>
      <c r="C2126" s="2" t="inlineStr">
        <is>
          <t>Contactor</t>
        </is>
      </c>
      <c r="D2126" s="2" t="inlineStr">
        <is>
          <t>Plant C</t>
        </is>
      </c>
      <c r="E2126" s="2" t="inlineStr">
        <is>
          <t>Export</t>
        </is>
      </c>
      <c r="F2126" s="12" t="n">
        <v>46190</v>
      </c>
      <c r="G2126" s="12" t="n">
        <v>46200</v>
      </c>
      <c r="H2126" s="12" t="n">
        <v>46195</v>
      </c>
      <c r="I2126" s="12" t="n">
        <v>46193</v>
      </c>
      <c r="J2126" s="12" t="n">
        <v>46202</v>
      </c>
      <c r="K2126" s="2" t="n">
        <v>1248</v>
      </c>
      <c r="L2126" s="2" t="inlineStr">
        <is>
          <t>Road</t>
        </is>
      </c>
      <c r="M2126" s="2" t="inlineStr">
        <is>
          <t>Customer Change</t>
        </is>
      </c>
      <c r="N2126" s="4">
        <f>IF(I2126&lt;=H2126,1,0)</f>
        <v/>
      </c>
      <c r="O2126" s="4">
        <f>IF(J2126&lt;=G2126,1,0)</f>
        <v/>
      </c>
      <c r="P2126" s="4">
        <f>MAX(0,I2126-H2126)</f>
        <v/>
      </c>
      <c r="Q2126" s="4">
        <f>MAX(0,J2126-G2126)</f>
        <v/>
      </c>
      <c r="R2126" s="4">
        <f>IF(AND(N2126=1,O2126=1),"On Track",IF(O2126=0,"Customer Delivery Late","Ship Late"))</f>
        <v/>
      </c>
    </row>
    <row r="2127">
      <c r="A2127" s="2" t="inlineStr">
        <is>
          <t>ORD-02126</t>
        </is>
      </c>
      <c r="B2127" s="2" t="inlineStr">
        <is>
          <t>Customer 14</t>
        </is>
      </c>
      <c r="C2127" s="2" t="inlineStr">
        <is>
          <t>Relay</t>
        </is>
      </c>
      <c r="D2127" s="2" t="inlineStr">
        <is>
          <t>Plant C</t>
        </is>
      </c>
      <c r="E2127" s="2" t="inlineStr">
        <is>
          <t>North</t>
        </is>
      </c>
      <c r="F2127" s="12" t="n">
        <v>46122</v>
      </c>
      <c r="G2127" s="12" t="n">
        <v>46137</v>
      </c>
      <c r="H2127" s="12" t="n">
        <v>46136</v>
      </c>
      <c r="I2127" s="12" t="n">
        <v>46134</v>
      </c>
      <c r="J2127" s="12" t="n">
        <v>46136</v>
      </c>
      <c r="K2127" s="2" t="n">
        <v>119</v>
      </c>
      <c r="L2127" s="2" t="inlineStr">
        <is>
          <t>Sea</t>
        </is>
      </c>
      <c r="M2127" s="2" t="inlineStr">
        <is>
          <t>No Delay</t>
        </is>
      </c>
      <c r="N2127" s="4">
        <f>IF(I2127&lt;=H2127,1,0)</f>
        <v/>
      </c>
      <c r="O2127" s="4">
        <f>IF(J2127&lt;=G2127,1,0)</f>
        <v/>
      </c>
      <c r="P2127" s="4">
        <f>MAX(0,I2127-H2127)</f>
        <v/>
      </c>
      <c r="Q2127" s="4">
        <f>MAX(0,J2127-G2127)</f>
        <v/>
      </c>
      <c r="R2127" s="4">
        <f>IF(AND(N2127=1,O2127=1),"On Track",IF(O2127=0,"Customer Delivery Late","Ship Late"))</f>
        <v/>
      </c>
    </row>
    <row r="2128">
      <c r="A2128" s="2" t="inlineStr">
        <is>
          <t>ORD-02127</t>
        </is>
      </c>
      <c r="B2128" s="2" t="inlineStr">
        <is>
          <t>Customer 08</t>
        </is>
      </c>
      <c r="C2128" s="2" t="inlineStr">
        <is>
          <t>Power Supply</t>
        </is>
      </c>
      <c r="D2128" s="2" t="inlineStr">
        <is>
          <t>Plant C</t>
        </is>
      </c>
      <c r="E2128" s="2" t="inlineStr">
        <is>
          <t>North</t>
        </is>
      </c>
      <c r="F2128" s="12" t="n">
        <v>46151</v>
      </c>
      <c r="G2128" s="12" t="n">
        <v>46171</v>
      </c>
      <c r="H2128" s="12" t="n">
        <v>46169</v>
      </c>
      <c r="I2128" s="12" t="n">
        <v>46167</v>
      </c>
      <c r="J2128" s="12" t="n">
        <v>46168</v>
      </c>
      <c r="K2128" s="2" t="n">
        <v>669</v>
      </c>
      <c r="L2128" s="2" t="inlineStr">
        <is>
          <t>Air</t>
        </is>
      </c>
      <c r="M2128" s="2" t="inlineStr">
        <is>
          <t>No Delay</t>
        </is>
      </c>
      <c r="N2128" s="4">
        <f>IF(I2128&lt;=H2128,1,0)</f>
        <v/>
      </c>
      <c r="O2128" s="4">
        <f>IF(J2128&lt;=G2128,1,0)</f>
        <v/>
      </c>
      <c r="P2128" s="4">
        <f>MAX(0,I2128-H2128)</f>
        <v/>
      </c>
      <c r="Q2128" s="4">
        <f>MAX(0,J2128-G2128)</f>
        <v/>
      </c>
      <c r="R2128" s="4">
        <f>IF(AND(N2128=1,O2128=1),"On Track",IF(O2128=0,"Customer Delivery Late","Ship Late"))</f>
        <v/>
      </c>
    </row>
    <row r="2129">
      <c r="A2129" s="2" t="inlineStr">
        <is>
          <t>ORD-02128</t>
        </is>
      </c>
      <c r="B2129" s="2" t="inlineStr">
        <is>
          <t>Customer 17</t>
        </is>
      </c>
      <c r="C2129" s="2" t="inlineStr">
        <is>
          <t>Switchgear</t>
        </is>
      </c>
      <c r="D2129" s="2" t="inlineStr">
        <is>
          <t>Plant B</t>
        </is>
      </c>
      <c r="E2129" s="2" t="inlineStr">
        <is>
          <t>North</t>
        </is>
      </c>
      <c r="F2129" s="12" t="n">
        <v>46078</v>
      </c>
      <c r="G2129" s="12" t="n">
        <v>46097</v>
      </c>
      <c r="H2129" s="12" t="n">
        <v>46093</v>
      </c>
      <c r="I2129" s="12" t="n">
        <v>46091</v>
      </c>
      <c r="J2129" s="12" t="n">
        <v>46095</v>
      </c>
      <c r="K2129" s="2" t="n">
        <v>915</v>
      </c>
      <c r="L2129" s="2" t="inlineStr">
        <is>
          <t>Sea</t>
        </is>
      </c>
      <c r="M2129" s="2" t="inlineStr">
        <is>
          <t>No Delay</t>
        </is>
      </c>
      <c r="N2129" s="4">
        <f>IF(I2129&lt;=H2129,1,0)</f>
        <v/>
      </c>
      <c r="O2129" s="4">
        <f>IF(J2129&lt;=G2129,1,0)</f>
        <v/>
      </c>
      <c r="P2129" s="4">
        <f>MAX(0,I2129-H2129)</f>
        <v/>
      </c>
      <c r="Q2129" s="4">
        <f>MAX(0,J2129-G2129)</f>
        <v/>
      </c>
      <c r="R2129" s="4">
        <f>IF(AND(N2129=1,O2129=1),"On Track",IF(O2129=0,"Customer Delivery Late","Ship Late"))</f>
        <v/>
      </c>
    </row>
    <row r="2130">
      <c r="A2130" s="2" t="inlineStr">
        <is>
          <t>ORD-02129</t>
        </is>
      </c>
      <c r="B2130" s="2" t="inlineStr">
        <is>
          <t>Customer 02</t>
        </is>
      </c>
      <c r="C2130" s="2" t="inlineStr">
        <is>
          <t>Sensor</t>
        </is>
      </c>
      <c r="D2130" s="2" t="inlineStr">
        <is>
          <t>Plant B</t>
        </is>
      </c>
      <c r="E2130" s="2" t="inlineStr">
        <is>
          <t>South</t>
        </is>
      </c>
      <c r="F2130" s="12" t="n">
        <v>46097</v>
      </c>
      <c r="G2130" s="12" t="n">
        <v>46113</v>
      </c>
      <c r="H2130" s="12" t="n">
        <v>46108</v>
      </c>
      <c r="I2130" s="12" t="n">
        <v>46108</v>
      </c>
      <c r="J2130" s="12" t="n">
        <v>46113</v>
      </c>
      <c r="K2130" s="2" t="n">
        <v>114</v>
      </c>
      <c r="L2130" s="2" t="inlineStr">
        <is>
          <t>Road</t>
        </is>
      </c>
      <c r="M2130" s="2" t="inlineStr">
        <is>
          <t>No Delay</t>
        </is>
      </c>
      <c r="N2130" s="4">
        <f>IF(I2130&lt;=H2130,1,0)</f>
        <v/>
      </c>
      <c r="O2130" s="4">
        <f>IF(J2130&lt;=G2130,1,0)</f>
        <v/>
      </c>
      <c r="P2130" s="4">
        <f>MAX(0,I2130-H2130)</f>
        <v/>
      </c>
      <c r="Q2130" s="4">
        <f>MAX(0,J2130-G2130)</f>
        <v/>
      </c>
      <c r="R2130" s="4">
        <f>IF(AND(N2130=1,O2130=1),"On Track",IF(O2130=0,"Customer Delivery Late","Ship Late"))</f>
        <v/>
      </c>
    </row>
    <row r="2131">
      <c r="A2131" s="2" t="inlineStr">
        <is>
          <t>ORD-02130</t>
        </is>
      </c>
      <c r="B2131" s="2" t="inlineStr">
        <is>
          <t>Customer 20</t>
        </is>
      </c>
      <c r="C2131" s="2" t="inlineStr">
        <is>
          <t>Breaker</t>
        </is>
      </c>
      <c r="D2131" s="2" t="inlineStr">
        <is>
          <t>Plant A</t>
        </is>
      </c>
      <c r="E2131" s="2" t="inlineStr">
        <is>
          <t>South</t>
        </is>
      </c>
      <c r="F2131" s="12" t="n">
        <v>46068</v>
      </c>
      <c r="G2131" s="12" t="n">
        <v>46073</v>
      </c>
      <c r="H2131" s="12" t="n">
        <v>46071</v>
      </c>
      <c r="I2131" s="12" t="n">
        <v>46070</v>
      </c>
      <c r="J2131" s="12" t="n">
        <v>46073</v>
      </c>
      <c r="K2131" s="2" t="n">
        <v>1316</v>
      </c>
      <c r="L2131" s="2" t="inlineStr">
        <is>
          <t>Air</t>
        </is>
      </c>
      <c r="M2131" s="2" t="inlineStr">
        <is>
          <t>No Delay</t>
        </is>
      </c>
      <c r="N2131" s="4">
        <f>IF(I2131&lt;=H2131,1,0)</f>
        <v/>
      </c>
      <c r="O2131" s="4">
        <f>IF(J2131&lt;=G2131,1,0)</f>
        <v/>
      </c>
      <c r="P2131" s="4">
        <f>MAX(0,I2131-H2131)</f>
        <v/>
      </c>
      <c r="Q2131" s="4">
        <f>MAX(0,J2131-G2131)</f>
        <v/>
      </c>
      <c r="R2131" s="4">
        <f>IF(AND(N2131=1,O2131=1),"On Track",IF(O2131=0,"Customer Delivery Late","Ship Late"))</f>
        <v/>
      </c>
    </row>
    <row r="2132">
      <c r="A2132" s="2" t="inlineStr">
        <is>
          <t>ORD-02131</t>
        </is>
      </c>
      <c r="B2132" s="2" t="inlineStr">
        <is>
          <t>Customer 21</t>
        </is>
      </c>
      <c r="C2132" s="2" t="inlineStr">
        <is>
          <t>Breaker</t>
        </is>
      </c>
      <c r="D2132" s="2" t="inlineStr">
        <is>
          <t>Plant B</t>
        </is>
      </c>
      <c r="E2132" s="2" t="inlineStr">
        <is>
          <t>North</t>
        </is>
      </c>
      <c r="F2132" s="12" t="n">
        <v>46037</v>
      </c>
      <c r="G2132" s="12" t="n">
        <v>46047</v>
      </c>
      <c r="H2132" s="12" t="n">
        <v>46042</v>
      </c>
      <c r="I2132" s="12" t="n">
        <v>46041</v>
      </c>
      <c r="J2132" s="12" t="n">
        <v>46046</v>
      </c>
      <c r="K2132" s="2" t="n">
        <v>1248</v>
      </c>
      <c r="L2132" s="2" t="inlineStr">
        <is>
          <t>Sea</t>
        </is>
      </c>
      <c r="M2132" s="2" t="inlineStr">
        <is>
          <t>No Delay</t>
        </is>
      </c>
      <c r="N2132" s="4">
        <f>IF(I2132&lt;=H2132,1,0)</f>
        <v/>
      </c>
      <c r="O2132" s="4">
        <f>IF(J2132&lt;=G2132,1,0)</f>
        <v/>
      </c>
      <c r="P2132" s="4">
        <f>MAX(0,I2132-H2132)</f>
        <v/>
      </c>
      <c r="Q2132" s="4">
        <f>MAX(0,J2132-G2132)</f>
        <v/>
      </c>
      <c r="R2132" s="4">
        <f>IF(AND(N2132=1,O2132=1),"On Track",IF(O2132=0,"Customer Delivery Late","Ship Late"))</f>
        <v/>
      </c>
    </row>
    <row r="2133">
      <c r="A2133" s="2" t="inlineStr">
        <is>
          <t>ORD-02132</t>
        </is>
      </c>
      <c r="B2133" s="2" t="inlineStr">
        <is>
          <t>Customer 18</t>
        </is>
      </c>
      <c r="C2133" s="2" t="inlineStr">
        <is>
          <t>Relay</t>
        </is>
      </c>
      <c r="D2133" s="2" t="inlineStr">
        <is>
          <t>Plant A</t>
        </is>
      </c>
      <c r="E2133" s="2" t="inlineStr">
        <is>
          <t>Export</t>
        </is>
      </c>
      <c r="F2133" s="12" t="n">
        <v>46075</v>
      </c>
      <c r="G2133" s="12" t="n">
        <v>46088</v>
      </c>
      <c r="H2133" s="12" t="n">
        <v>46084</v>
      </c>
      <c r="I2133" s="12" t="n">
        <v>46083</v>
      </c>
      <c r="J2133" s="12" t="n">
        <v>46087</v>
      </c>
      <c r="K2133" s="2" t="n">
        <v>1119</v>
      </c>
      <c r="L2133" s="2" t="inlineStr">
        <is>
          <t>Sea</t>
        </is>
      </c>
      <c r="M2133" s="2" t="inlineStr">
        <is>
          <t>No Delay</t>
        </is>
      </c>
      <c r="N2133" s="4">
        <f>IF(I2133&lt;=H2133,1,0)</f>
        <v/>
      </c>
      <c r="O2133" s="4">
        <f>IF(J2133&lt;=G2133,1,0)</f>
        <v/>
      </c>
      <c r="P2133" s="4">
        <f>MAX(0,I2133-H2133)</f>
        <v/>
      </c>
      <c r="Q2133" s="4">
        <f>MAX(0,J2133-G2133)</f>
        <v/>
      </c>
      <c r="R2133" s="4">
        <f>IF(AND(N2133=1,O2133=1),"On Track",IF(O2133=0,"Customer Delivery Late","Ship Late"))</f>
        <v/>
      </c>
    </row>
    <row r="2134">
      <c r="A2134" s="2" t="inlineStr">
        <is>
          <t>ORD-02133</t>
        </is>
      </c>
      <c r="B2134" s="2" t="inlineStr">
        <is>
          <t>Customer 02</t>
        </is>
      </c>
      <c r="C2134" s="2" t="inlineStr">
        <is>
          <t>Drive</t>
        </is>
      </c>
      <c r="D2134" s="2" t="inlineStr">
        <is>
          <t>Plant A</t>
        </is>
      </c>
      <c r="E2134" s="2" t="inlineStr">
        <is>
          <t>Central</t>
        </is>
      </c>
      <c r="F2134" s="12" t="n">
        <v>46047</v>
      </c>
      <c r="G2134" s="12" t="n">
        <v>46053</v>
      </c>
      <c r="H2134" s="12" t="n">
        <v>46052</v>
      </c>
      <c r="I2134" s="12" t="n">
        <v>46052</v>
      </c>
      <c r="J2134" s="12" t="n">
        <v>46053</v>
      </c>
      <c r="K2134" s="2" t="n">
        <v>510</v>
      </c>
      <c r="L2134" s="2" t="inlineStr">
        <is>
          <t>Air</t>
        </is>
      </c>
      <c r="M2134" s="2" t="inlineStr">
        <is>
          <t>No Delay</t>
        </is>
      </c>
      <c r="N2134" s="4">
        <f>IF(I2134&lt;=H2134,1,0)</f>
        <v/>
      </c>
      <c r="O2134" s="4">
        <f>IF(J2134&lt;=G2134,1,0)</f>
        <v/>
      </c>
      <c r="P2134" s="4">
        <f>MAX(0,I2134-H2134)</f>
        <v/>
      </c>
      <c r="Q2134" s="4">
        <f>MAX(0,J2134-G2134)</f>
        <v/>
      </c>
      <c r="R2134" s="4">
        <f>IF(AND(N2134=1,O2134=1),"On Track",IF(O2134=0,"Customer Delivery Late","Ship Late"))</f>
        <v/>
      </c>
    </row>
    <row r="2135">
      <c r="A2135" s="2" t="inlineStr">
        <is>
          <t>ORD-02134</t>
        </is>
      </c>
      <c r="B2135" s="2" t="inlineStr">
        <is>
          <t>Customer 18</t>
        </is>
      </c>
      <c r="C2135" s="2" t="inlineStr">
        <is>
          <t>Relay</t>
        </is>
      </c>
      <c r="D2135" s="2" t="inlineStr">
        <is>
          <t>Plant B</t>
        </is>
      </c>
      <c r="E2135" s="2" t="inlineStr">
        <is>
          <t>Central</t>
        </is>
      </c>
      <c r="F2135" s="12" t="n">
        <v>46119</v>
      </c>
      <c r="G2135" s="12" t="n">
        <v>46125</v>
      </c>
      <c r="H2135" s="12" t="n">
        <v>46124</v>
      </c>
      <c r="I2135" s="12" t="n">
        <v>46122</v>
      </c>
      <c r="J2135" s="12" t="n">
        <v>46123</v>
      </c>
      <c r="K2135" s="2" t="n">
        <v>365</v>
      </c>
      <c r="L2135" s="2" t="inlineStr">
        <is>
          <t>Road</t>
        </is>
      </c>
      <c r="M2135" s="2" t="inlineStr">
        <is>
          <t>No Delay</t>
        </is>
      </c>
      <c r="N2135" s="4">
        <f>IF(I2135&lt;=H2135,1,0)</f>
        <v/>
      </c>
      <c r="O2135" s="4">
        <f>IF(J2135&lt;=G2135,1,0)</f>
        <v/>
      </c>
      <c r="P2135" s="4">
        <f>MAX(0,I2135-H2135)</f>
        <v/>
      </c>
      <c r="Q2135" s="4">
        <f>MAX(0,J2135-G2135)</f>
        <v/>
      </c>
      <c r="R2135" s="4">
        <f>IF(AND(N2135=1,O2135=1),"On Track",IF(O2135=0,"Customer Delivery Late","Ship Late"))</f>
        <v/>
      </c>
    </row>
    <row r="2136">
      <c r="A2136" s="2" t="inlineStr">
        <is>
          <t>ORD-02135</t>
        </is>
      </c>
      <c r="B2136" s="2" t="inlineStr">
        <is>
          <t>Customer 14</t>
        </is>
      </c>
      <c r="C2136" s="2" t="inlineStr">
        <is>
          <t>PLC</t>
        </is>
      </c>
      <c r="D2136" s="2" t="inlineStr">
        <is>
          <t>Plant B</t>
        </is>
      </c>
      <c r="E2136" s="2" t="inlineStr">
        <is>
          <t>North</t>
        </is>
      </c>
      <c r="F2136" s="12" t="n">
        <v>46163</v>
      </c>
      <c r="G2136" s="12" t="n">
        <v>46174</v>
      </c>
      <c r="H2136" s="12" t="n">
        <v>46173</v>
      </c>
      <c r="I2136" s="12" t="n">
        <v>46173</v>
      </c>
      <c r="J2136" s="12" t="n">
        <v>46175</v>
      </c>
      <c r="K2136" s="2" t="n">
        <v>496</v>
      </c>
      <c r="L2136" s="2" t="inlineStr">
        <is>
          <t>Sea</t>
        </is>
      </c>
      <c r="M2136" s="2" t="inlineStr">
        <is>
          <t>Customer Change</t>
        </is>
      </c>
      <c r="N2136" s="4">
        <f>IF(I2136&lt;=H2136,1,0)</f>
        <v/>
      </c>
      <c r="O2136" s="4">
        <f>IF(J2136&lt;=G2136,1,0)</f>
        <v/>
      </c>
      <c r="P2136" s="4">
        <f>MAX(0,I2136-H2136)</f>
        <v/>
      </c>
      <c r="Q2136" s="4">
        <f>MAX(0,J2136-G2136)</f>
        <v/>
      </c>
      <c r="R2136" s="4">
        <f>IF(AND(N2136=1,O2136=1),"On Track",IF(O2136=0,"Customer Delivery Late","Ship Late"))</f>
        <v/>
      </c>
    </row>
    <row r="2137">
      <c r="A2137" s="2" t="inlineStr">
        <is>
          <t>ORD-02136</t>
        </is>
      </c>
      <c r="B2137" s="2" t="inlineStr">
        <is>
          <t>Customer 23</t>
        </is>
      </c>
      <c r="C2137" s="2" t="inlineStr">
        <is>
          <t>Sensor</t>
        </is>
      </c>
      <c r="D2137" s="2" t="inlineStr">
        <is>
          <t>Plant C</t>
        </is>
      </c>
      <c r="E2137" s="2" t="inlineStr">
        <is>
          <t>Export</t>
        </is>
      </c>
      <c r="F2137" s="12" t="n">
        <v>46167</v>
      </c>
      <c r="G2137" s="12" t="n">
        <v>46174</v>
      </c>
      <c r="H2137" s="12" t="n">
        <v>46170</v>
      </c>
      <c r="I2137" s="12" t="n">
        <v>46177</v>
      </c>
      <c r="J2137" s="12" t="n">
        <v>46181</v>
      </c>
      <c r="K2137" s="2" t="n">
        <v>887</v>
      </c>
      <c r="L2137" s="2" t="inlineStr">
        <is>
          <t>Air</t>
        </is>
      </c>
      <c r="M2137" s="2" t="inlineStr">
        <is>
          <t>Capacity Constraint</t>
        </is>
      </c>
      <c r="N2137" s="4">
        <f>IF(I2137&lt;=H2137,1,0)</f>
        <v/>
      </c>
      <c r="O2137" s="4">
        <f>IF(J2137&lt;=G2137,1,0)</f>
        <v/>
      </c>
      <c r="P2137" s="4">
        <f>MAX(0,I2137-H2137)</f>
        <v/>
      </c>
      <c r="Q2137" s="4">
        <f>MAX(0,J2137-G2137)</f>
        <v/>
      </c>
      <c r="R2137" s="4">
        <f>IF(AND(N2137=1,O2137=1),"On Track",IF(O2137=0,"Customer Delivery Late","Ship Late"))</f>
        <v/>
      </c>
    </row>
    <row r="2138">
      <c r="A2138" s="2" t="inlineStr">
        <is>
          <t>ORD-02137</t>
        </is>
      </c>
      <c r="B2138" s="2" t="inlineStr">
        <is>
          <t>Customer 04</t>
        </is>
      </c>
      <c r="C2138" s="2" t="inlineStr">
        <is>
          <t>Breaker</t>
        </is>
      </c>
      <c r="D2138" s="2" t="inlineStr">
        <is>
          <t>Plant B</t>
        </is>
      </c>
      <c r="E2138" s="2" t="inlineStr">
        <is>
          <t>North</t>
        </is>
      </c>
      <c r="F2138" s="12" t="n">
        <v>46070</v>
      </c>
      <c r="G2138" s="12" t="n">
        <v>46076</v>
      </c>
      <c r="H2138" s="12" t="n">
        <v>46075</v>
      </c>
      <c r="I2138" s="12" t="n">
        <v>46073</v>
      </c>
      <c r="J2138" s="12" t="n">
        <v>46074</v>
      </c>
      <c r="K2138" s="2" t="n">
        <v>945</v>
      </c>
      <c r="L2138" s="2" t="inlineStr">
        <is>
          <t>Road</t>
        </is>
      </c>
      <c r="M2138" s="2" t="inlineStr">
        <is>
          <t>No Delay</t>
        </is>
      </c>
      <c r="N2138" s="4">
        <f>IF(I2138&lt;=H2138,1,0)</f>
        <v/>
      </c>
      <c r="O2138" s="4">
        <f>IF(J2138&lt;=G2138,1,0)</f>
        <v/>
      </c>
      <c r="P2138" s="4">
        <f>MAX(0,I2138-H2138)</f>
        <v/>
      </c>
      <c r="Q2138" s="4">
        <f>MAX(0,J2138-G2138)</f>
        <v/>
      </c>
      <c r="R2138" s="4">
        <f>IF(AND(N2138=1,O2138=1),"On Track",IF(O2138=0,"Customer Delivery Late","Ship Late"))</f>
        <v/>
      </c>
    </row>
    <row r="2139">
      <c r="A2139" s="2" t="inlineStr">
        <is>
          <t>ORD-02138</t>
        </is>
      </c>
      <c r="B2139" s="2" t="inlineStr">
        <is>
          <t>Customer 15</t>
        </is>
      </c>
      <c r="C2139" s="2" t="inlineStr">
        <is>
          <t>Breaker</t>
        </is>
      </c>
      <c r="D2139" s="2" t="inlineStr">
        <is>
          <t>Plant C</t>
        </is>
      </c>
      <c r="E2139" s="2" t="inlineStr">
        <is>
          <t>South</t>
        </is>
      </c>
      <c r="F2139" s="12" t="n">
        <v>46134</v>
      </c>
      <c r="G2139" s="12" t="n">
        <v>46146</v>
      </c>
      <c r="H2139" s="12" t="n">
        <v>46143</v>
      </c>
      <c r="I2139" s="12" t="n">
        <v>46141</v>
      </c>
      <c r="J2139" s="12" t="n">
        <v>46143</v>
      </c>
      <c r="K2139" s="2" t="n">
        <v>175</v>
      </c>
      <c r="L2139" s="2" t="inlineStr">
        <is>
          <t>Road</t>
        </is>
      </c>
      <c r="M2139" s="2" t="inlineStr">
        <is>
          <t>No Delay</t>
        </is>
      </c>
      <c r="N2139" s="4">
        <f>IF(I2139&lt;=H2139,1,0)</f>
        <v/>
      </c>
      <c r="O2139" s="4">
        <f>IF(J2139&lt;=G2139,1,0)</f>
        <v/>
      </c>
      <c r="P2139" s="4">
        <f>MAX(0,I2139-H2139)</f>
        <v/>
      </c>
      <c r="Q2139" s="4">
        <f>MAX(0,J2139-G2139)</f>
        <v/>
      </c>
      <c r="R2139" s="4">
        <f>IF(AND(N2139=1,O2139=1),"On Track",IF(O2139=0,"Customer Delivery Late","Ship Late"))</f>
        <v/>
      </c>
    </row>
    <row r="2140">
      <c r="A2140" s="2" t="inlineStr">
        <is>
          <t>ORD-02139</t>
        </is>
      </c>
      <c r="B2140" s="2" t="inlineStr">
        <is>
          <t>Customer 12</t>
        </is>
      </c>
      <c r="C2140" s="2" t="inlineStr">
        <is>
          <t>Power Supply</t>
        </is>
      </c>
      <c r="D2140" s="2" t="inlineStr">
        <is>
          <t>Plant C</t>
        </is>
      </c>
      <c r="E2140" s="2" t="inlineStr">
        <is>
          <t>Export</t>
        </is>
      </c>
      <c r="F2140" s="12" t="n">
        <v>46172</v>
      </c>
      <c r="G2140" s="12" t="n">
        <v>46179</v>
      </c>
      <c r="H2140" s="12" t="n">
        <v>46174</v>
      </c>
      <c r="I2140" s="12" t="n">
        <v>46174</v>
      </c>
      <c r="J2140" s="12" t="n">
        <v>46179</v>
      </c>
      <c r="K2140" s="2" t="n">
        <v>300</v>
      </c>
      <c r="L2140" s="2" t="inlineStr">
        <is>
          <t>Sea</t>
        </is>
      </c>
      <c r="M2140" s="2" t="inlineStr">
        <is>
          <t>No Delay</t>
        </is>
      </c>
      <c r="N2140" s="4">
        <f>IF(I2140&lt;=H2140,1,0)</f>
        <v/>
      </c>
      <c r="O2140" s="4">
        <f>IF(J2140&lt;=G2140,1,0)</f>
        <v/>
      </c>
      <c r="P2140" s="4">
        <f>MAX(0,I2140-H2140)</f>
        <v/>
      </c>
      <c r="Q2140" s="4">
        <f>MAX(0,J2140-G2140)</f>
        <v/>
      </c>
      <c r="R2140" s="4">
        <f>IF(AND(N2140=1,O2140=1),"On Track",IF(O2140=0,"Customer Delivery Late","Ship Late"))</f>
        <v/>
      </c>
    </row>
    <row r="2141">
      <c r="A2141" s="2" t="inlineStr">
        <is>
          <t>ORD-02140</t>
        </is>
      </c>
      <c r="B2141" s="2" t="inlineStr">
        <is>
          <t>Customer 03</t>
        </is>
      </c>
      <c r="C2141" s="2" t="inlineStr">
        <is>
          <t>PLC</t>
        </is>
      </c>
      <c r="D2141" s="2" t="inlineStr">
        <is>
          <t>Plant B</t>
        </is>
      </c>
      <c r="E2141" s="2" t="inlineStr">
        <is>
          <t>Export</t>
        </is>
      </c>
      <c r="F2141" s="12" t="n">
        <v>46124</v>
      </c>
      <c r="G2141" s="12" t="n">
        <v>46140</v>
      </c>
      <c r="H2141" s="12" t="n">
        <v>46137</v>
      </c>
      <c r="I2141" s="12" t="n">
        <v>46135</v>
      </c>
      <c r="J2141" s="12" t="n">
        <v>46138</v>
      </c>
      <c r="K2141" s="2" t="n">
        <v>1411</v>
      </c>
      <c r="L2141" s="2" t="inlineStr">
        <is>
          <t>Road</t>
        </is>
      </c>
      <c r="M2141" s="2" t="inlineStr">
        <is>
          <t>No Delay</t>
        </is>
      </c>
      <c r="N2141" s="4">
        <f>IF(I2141&lt;=H2141,1,0)</f>
        <v/>
      </c>
      <c r="O2141" s="4">
        <f>IF(J2141&lt;=G2141,1,0)</f>
        <v/>
      </c>
      <c r="P2141" s="4">
        <f>MAX(0,I2141-H2141)</f>
        <v/>
      </c>
      <c r="Q2141" s="4">
        <f>MAX(0,J2141-G2141)</f>
        <v/>
      </c>
      <c r="R2141" s="4">
        <f>IF(AND(N2141=1,O2141=1),"On Track",IF(O2141=0,"Customer Delivery Late","Ship Late"))</f>
        <v/>
      </c>
    </row>
    <row r="2142">
      <c r="A2142" s="2" t="inlineStr">
        <is>
          <t>ORD-02141</t>
        </is>
      </c>
      <c r="B2142" s="2" t="inlineStr">
        <is>
          <t>Customer 13</t>
        </is>
      </c>
      <c r="C2142" s="2" t="inlineStr">
        <is>
          <t>Contactor</t>
        </is>
      </c>
      <c r="D2142" s="2" t="inlineStr">
        <is>
          <t>Plant A</t>
        </is>
      </c>
      <c r="E2142" s="2" t="inlineStr">
        <is>
          <t>Export</t>
        </is>
      </c>
      <c r="F2142" s="12" t="n">
        <v>46199</v>
      </c>
      <c r="G2142" s="12" t="n">
        <v>46220</v>
      </c>
      <c r="H2142" s="12" t="n">
        <v>46215</v>
      </c>
      <c r="I2142" s="12" t="n">
        <v>46213</v>
      </c>
      <c r="J2142" s="12" t="n">
        <v>46218</v>
      </c>
      <c r="K2142" s="2" t="n">
        <v>791</v>
      </c>
      <c r="L2142" s="2" t="inlineStr">
        <is>
          <t>Air</t>
        </is>
      </c>
      <c r="M2142" s="2" t="inlineStr">
        <is>
          <t>No Delay</t>
        </is>
      </c>
      <c r="N2142" s="4">
        <f>IF(I2142&lt;=H2142,1,0)</f>
        <v/>
      </c>
      <c r="O2142" s="4">
        <f>IF(J2142&lt;=G2142,1,0)</f>
        <v/>
      </c>
      <c r="P2142" s="4">
        <f>MAX(0,I2142-H2142)</f>
        <v/>
      </c>
      <c r="Q2142" s="4">
        <f>MAX(0,J2142-G2142)</f>
        <v/>
      </c>
      <c r="R2142" s="4">
        <f>IF(AND(N2142=1,O2142=1),"On Track",IF(O2142=0,"Customer Delivery Late","Ship Late"))</f>
        <v/>
      </c>
    </row>
    <row r="2143">
      <c r="A2143" s="2" t="inlineStr">
        <is>
          <t>ORD-02142</t>
        </is>
      </c>
      <c r="B2143" s="2" t="inlineStr">
        <is>
          <t>Customer 18</t>
        </is>
      </c>
      <c r="C2143" s="2" t="inlineStr">
        <is>
          <t>Switchgear</t>
        </is>
      </c>
      <c r="D2143" s="2" t="inlineStr">
        <is>
          <t>Plant C</t>
        </is>
      </c>
      <c r="E2143" s="2" t="inlineStr">
        <is>
          <t>South</t>
        </is>
      </c>
      <c r="F2143" s="12" t="n">
        <v>46162</v>
      </c>
      <c r="G2143" s="12" t="n">
        <v>46174</v>
      </c>
      <c r="H2143" s="12" t="n">
        <v>46173</v>
      </c>
      <c r="I2143" s="12" t="n">
        <v>46172</v>
      </c>
      <c r="J2143" s="12" t="n">
        <v>46173</v>
      </c>
      <c r="K2143" s="2" t="n">
        <v>105</v>
      </c>
      <c r="L2143" s="2" t="inlineStr">
        <is>
          <t>Road</t>
        </is>
      </c>
      <c r="M2143" s="2" t="inlineStr">
        <is>
          <t>No Delay</t>
        </is>
      </c>
      <c r="N2143" s="4">
        <f>IF(I2143&lt;=H2143,1,0)</f>
        <v/>
      </c>
      <c r="O2143" s="4">
        <f>IF(J2143&lt;=G2143,1,0)</f>
        <v/>
      </c>
      <c r="P2143" s="4">
        <f>MAX(0,I2143-H2143)</f>
        <v/>
      </c>
      <c r="Q2143" s="4">
        <f>MAX(0,J2143-G2143)</f>
        <v/>
      </c>
      <c r="R2143" s="4">
        <f>IF(AND(N2143=1,O2143=1),"On Track",IF(O2143=0,"Customer Delivery Late","Ship Late"))</f>
        <v/>
      </c>
    </row>
    <row r="2144">
      <c r="A2144" s="2" t="inlineStr">
        <is>
          <t>ORD-02143</t>
        </is>
      </c>
      <c r="B2144" s="2" t="inlineStr">
        <is>
          <t>Customer 29</t>
        </is>
      </c>
      <c r="C2144" s="2" t="inlineStr">
        <is>
          <t>Power Supply</t>
        </is>
      </c>
      <c r="D2144" s="2" t="inlineStr">
        <is>
          <t>Plant A</t>
        </is>
      </c>
      <c r="E2144" s="2" t="inlineStr">
        <is>
          <t>Export</t>
        </is>
      </c>
      <c r="F2144" s="12" t="n">
        <v>46058</v>
      </c>
      <c r="G2144" s="12" t="n">
        <v>46069</v>
      </c>
      <c r="H2144" s="12" t="n">
        <v>46066</v>
      </c>
      <c r="I2144" s="12" t="n">
        <v>46064</v>
      </c>
      <c r="J2144" s="12" t="n">
        <v>46067</v>
      </c>
      <c r="K2144" s="2" t="n">
        <v>878</v>
      </c>
      <c r="L2144" s="2" t="inlineStr">
        <is>
          <t>Road</t>
        </is>
      </c>
      <c r="M2144" s="2" t="inlineStr">
        <is>
          <t>No Delay</t>
        </is>
      </c>
      <c r="N2144" s="4">
        <f>IF(I2144&lt;=H2144,1,0)</f>
        <v/>
      </c>
      <c r="O2144" s="4">
        <f>IF(J2144&lt;=G2144,1,0)</f>
        <v/>
      </c>
      <c r="P2144" s="4">
        <f>MAX(0,I2144-H2144)</f>
        <v/>
      </c>
      <c r="Q2144" s="4">
        <f>MAX(0,J2144-G2144)</f>
        <v/>
      </c>
      <c r="R2144" s="4">
        <f>IF(AND(N2144=1,O2144=1),"On Track",IF(O2144=0,"Customer Delivery Late","Ship Late"))</f>
        <v/>
      </c>
    </row>
    <row r="2145">
      <c r="A2145" s="2" t="inlineStr">
        <is>
          <t>ORD-02144</t>
        </is>
      </c>
      <c r="B2145" s="2" t="inlineStr">
        <is>
          <t>Customer 04</t>
        </is>
      </c>
      <c r="C2145" s="2" t="inlineStr">
        <is>
          <t>Sensor</t>
        </is>
      </c>
      <c r="D2145" s="2" t="inlineStr">
        <is>
          <t>Plant A</t>
        </is>
      </c>
      <c r="E2145" s="2" t="inlineStr">
        <is>
          <t>North</t>
        </is>
      </c>
      <c r="F2145" s="12" t="n">
        <v>46078</v>
      </c>
      <c r="G2145" s="12" t="n">
        <v>46083</v>
      </c>
      <c r="H2145" s="12" t="n">
        <v>46080</v>
      </c>
      <c r="I2145" s="12" t="n">
        <v>46078</v>
      </c>
      <c r="J2145" s="12" t="n">
        <v>46081</v>
      </c>
      <c r="K2145" s="2" t="n">
        <v>777</v>
      </c>
      <c r="L2145" s="2" t="inlineStr">
        <is>
          <t>Road</t>
        </is>
      </c>
      <c r="M2145" s="2" t="inlineStr">
        <is>
          <t>No Delay</t>
        </is>
      </c>
      <c r="N2145" s="4">
        <f>IF(I2145&lt;=H2145,1,0)</f>
        <v/>
      </c>
      <c r="O2145" s="4">
        <f>IF(J2145&lt;=G2145,1,0)</f>
        <v/>
      </c>
      <c r="P2145" s="4">
        <f>MAX(0,I2145-H2145)</f>
        <v/>
      </c>
      <c r="Q2145" s="4">
        <f>MAX(0,J2145-G2145)</f>
        <v/>
      </c>
      <c r="R2145" s="4">
        <f>IF(AND(N2145=1,O2145=1),"On Track",IF(O2145=0,"Customer Delivery Late","Ship Late"))</f>
        <v/>
      </c>
    </row>
    <row r="2146">
      <c r="A2146" s="2" t="inlineStr">
        <is>
          <t>ORD-02145</t>
        </is>
      </c>
      <c r="B2146" s="2" t="inlineStr">
        <is>
          <t>Customer 14</t>
        </is>
      </c>
      <c r="C2146" s="2" t="inlineStr">
        <is>
          <t>Sensor</t>
        </is>
      </c>
      <c r="D2146" s="2" t="inlineStr">
        <is>
          <t>Plant B</t>
        </is>
      </c>
      <c r="E2146" s="2" t="inlineStr">
        <is>
          <t>North</t>
        </is>
      </c>
      <c r="F2146" s="12" t="n">
        <v>46098</v>
      </c>
      <c r="G2146" s="12" t="n">
        <v>46119</v>
      </c>
      <c r="H2146" s="12" t="n">
        <v>46117</v>
      </c>
      <c r="I2146" s="12" t="n">
        <v>46116</v>
      </c>
      <c r="J2146" s="12" t="n">
        <v>46118</v>
      </c>
      <c r="K2146" s="2" t="n">
        <v>522</v>
      </c>
      <c r="L2146" s="2" t="inlineStr">
        <is>
          <t>Air</t>
        </is>
      </c>
      <c r="M2146" s="2" t="inlineStr">
        <is>
          <t>No Delay</t>
        </is>
      </c>
      <c r="N2146" s="4">
        <f>IF(I2146&lt;=H2146,1,0)</f>
        <v/>
      </c>
      <c r="O2146" s="4">
        <f>IF(J2146&lt;=G2146,1,0)</f>
        <v/>
      </c>
      <c r="P2146" s="4">
        <f>MAX(0,I2146-H2146)</f>
        <v/>
      </c>
      <c r="Q2146" s="4">
        <f>MAX(0,J2146-G2146)</f>
        <v/>
      </c>
      <c r="R2146" s="4">
        <f>IF(AND(N2146=1,O2146=1),"On Track",IF(O2146=0,"Customer Delivery Late","Ship Late"))</f>
        <v/>
      </c>
    </row>
    <row r="2147">
      <c r="A2147" s="2" t="inlineStr">
        <is>
          <t>ORD-02146</t>
        </is>
      </c>
      <c r="B2147" s="2" t="inlineStr">
        <is>
          <t>Customer 18</t>
        </is>
      </c>
      <c r="C2147" s="2" t="inlineStr">
        <is>
          <t>PLC</t>
        </is>
      </c>
      <c r="D2147" s="2" t="inlineStr">
        <is>
          <t>Plant A</t>
        </is>
      </c>
      <c r="E2147" s="2" t="inlineStr">
        <is>
          <t>North</t>
        </is>
      </c>
      <c r="F2147" s="12" t="n">
        <v>46103</v>
      </c>
      <c r="G2147" s="12" t="n">
        <v>46120</v>
      </c>
      <c r="H2147" s="12" t="n">
        <v>46115</v>
      </c>
      <c r="I2147" s="12" t="n">
        <v>46122</v>
      </c>
      <c r="J2147" s="12" t="n">
        <v>46126</v>
      </c>
      <c r="K2147" s="2" t="n">
        <v>579</v>
      </c>
      <c r="L2147" s="2" t="inlineStr">
        <is>
          <t>Sea</t>
        </is>
      </c>
      <c r="M2147" s="2" t="inlineStr">
        <is>
          <t>Capacity Constraint</t>
        </is>
      </c>
      <c r="N2147" s="4">
        <f>IF(I2147&lt;=H2147,1,0)</f>
        <v/>
      </c>
      <c r="O2147" s="4">
        <f>IF(J2147&lt;=G2147,1,0)</f>
        <v/>
      </c>
      <c r="P2147" s="4">
        <f>MAX(0,I2147-H2147)</f>
        <v/>
      </c>
      <c r="Q2147" s="4">
        <f>MAX(0,J2147-G2147)</f>
        <v/>
      </c>
      <c r="R2147" s="4">
        <f>IF(AND(N2147=1,O2147=1),"On Track",IF(O2147=0,"Customer Delivery Late","Ship Late"))</f>
        <v/>
      </c>
    </row>
    <row r="2148">
      <c r="A2148" s="2" t="inlineStr">
        <is>
          <t>ORD-02147</t>
        </is>
      </c>
      <c r="B2148" s="2" t="inlineStr">
        <is>
          <t>Customer 03</t>
        </is>
      </c>
      <c r="C2148" s="2" t="inlineStr">
        <is>
          <t>Drive</t>
        </is>
      </c>
      <c r="D2148" s="2" t="inlineStr">
        <is>
          <t>Plant C</t>
        </is>
      </c>
      <c r="E2148" s="2" t="inlineStr">
        <is>
          <t>Central</t>
        </is>
      </c>
      <c r="F2148" s="12" t="n">
        <v>46079</v>
      </c>
      <c r="G2148" s="12" t="n">
        <v>46099</v>
      </c>
      <c r="H2148" s="12" t="n">
        <v>46094</v>
      </c>
      <c r="I2148" s="12" t="n">
        <v>46092</v>
      </c>
      <c r="J2148" s="12" t="n">
        <v>46097</v>
      </c>
      <c r="K2148" s="2" t="n">
        <v>306</v>
      </c>
      <c r="L2148" s="2" t="inlineStr">
        <is>
          <t>Sea</t>
        </is>
      </c>
      <c r="M2148" s="2" t="inlineStr">
        <is>
          <t>No Delay</t>
        </is>
      </c>
      <c r="N2148" s="4">
        <f>IF(I2148&lt;=H2148,1,0)</f>
        <v/>
      </c>
      <c r="O2148" s="4">
        <f>IF(J2148&lt;=G2148,1,0)</f>
        <v/>
      </c>
      <c r="P2148" s="4">
        <f>MAX(0,I2148-H2148)</f>
        <v/>
      </c>
      <c r="Q2148" s="4">
        <f>MAX(0,J2148-G2148)</f>
        <v/>
      </c>
      <c r="R2148" s="4">
        <f>IF(AND(N2148=1,O2148=1),"On Track",IF(O2148=0,"Customer Delivery Late","Ship Late"))</f>
        <v/>
      </c>
    </row>
    <row r="2149">
      <c r="A2149" s="2" t="inlineStr">
        <is>
          <t>ORD-02148</t>
        </is>
      </c>
      <c r="B2149" s="2" t="inlineStr">
        <is>
          <t>Customer 09</t>
        </is>
      </c>
      <c r="C2149" s="2" t="inlineStr">
        <is>
          <t>Contactor</t>
        </is>
      </c>
      <c r="D2149" s="2" t="inlineStr">
        <is>
          <t>Plant A</t>
        </is>
      </c>
      <c r="E2149" s="2" t="inlineStr">
        <is>
          <t>South</t>
        </is>
      </c>
      <c r="F2149" s="12" t="n">
        <v>46175</v>
      </c>
      <c r="G2149" s="12" t="n">
        <v>46183</v>
      </c>
      <c r="H2149" s="12" t="n">
        <v>46181</v>
      </c>
      <c r="I2149" s="12" t="n">
        <v>46179</v>
      </c>
      <c r="J2149" s="12" t="n">
        <v>46181</v>
      </c>
      <c r="K2149" s="2" t="n">
        <v>112</v>
      </c>
      <c r="L2149" s="2" t="inlineStr">
        <is>
          <t>Air</t>
        </is>
      </c>
      <c r="M2149" s="2" t="inlineStr">
        <is>
          <t>No Delay</t>
        </is>
      </c>
      <c r="N2149" s="4">
        <f>IF(I2149&lt;=H2149,1,0)</f>
        <v/>
      </c>
      <c r="O2149" s="4">
        <f>IF(J2149&lt;=G2149,1,0)</f>
        <v/>
      </c>
      <c r="P2149" s="4">
        <f>MAX(0,I2149-H2149)</f>
        <v/>
      </c>
      <c r="Q2149" s="4">
        <f>MAX(0,J2149-G2149)</f>
        <v/>
      </c>
      <c r="R2149" s="4">
        <f>IF(AND(N2149=1,O2149=1),"On Track",IF(O2149=0,"Customer Delivery Late","Ship Late"))</f>
        <v/>
      </c>
    </row>
    <row r="2150">
      <c r="A2150" s="2" t="inlineStr">
        <is>
          <t>ORD-02149</t>
        </is>
      </c>
      <c r="B2150" s="2" t="inlineStr">
        <is>
          <t>Customer 06</t>
        </is>
      </c>
      <c r="C2150" s="2" t="inlineStr">
        <is>
          <t>Sensor</t>
        </is>
      </c>
      <c r="D2150" s="2" t="inlineStr">
        <is>
          <t>Plant B</t>
        </is>
      </c>
      <c r="E2150" s="2" t="inlineStr">
        <is>
          <t>North</t>
        </is>
      </c>
      <c r="F2150" s="12" t="n">
        <v>46198</v>
      </c>
      <c r="G2150" s="12" t="n">
        <v>46207</v>
      </c>
      <c r="H2150" s="12" t="n">
        <v>46202</v>
      </c>
      <c r="I2150" s="12" t="n">
        <v>46202</v>
      </c>
      <c r="J2150" s="12" t="n">
        <v>46207</v>
      </c>
      <c r="K2150" s="2" t="n">
        <v>1072</v>
      </c>
      <c r="L2150" s="2" t="inlineStr">
        <is>
          <t>Road</t>
        </is>
      </c>
      <c r="M2150" s="2" t="inlineStr">
        <is>
          <t>No Delay</t>
        </is>
      </c>
      <c r="N2150" s="4">
        <f>IF(I2150&lt;=H2150,1,0)</f>
        <v/>
      </c>
      <c r="O2150" s="4">
        <f>IF(J2150&lt;=G2150,1,0)</f>
        <v/>
      </c>
      <c r="P2150" s="4">
        <f>MAX(0,I2150-H2150)</f>
        <v/>
      </c>
      <c r="Q2150" s="4">
        <f>MAX(0,J2150-G2150)</f>
        <v/>
      </c>
      <c r="R2150" s="4">
        <f>IF(AND(N2150=1,O2150=1),"On Track",IF(O2150=0,"Customer Delivery Late","Ship Late"))</f>
        <v/>
      </c>
    </row>
    <row r="2151">
      <c r="A2151" s="2" t="inlineStr">
        <is>
          <t>ORD-02150</t>
        </is>
      </c>
      <c r="B2151" s="2" t="inlineStr">
        <is>
          <t>Customer 16</t>
        </is>
      </c>
      <c r="C2151" s="2" t="inlineStr">
        <is>
          <t>Drive</t>
        </is>
      </c>
      <c r="D2151" s="2" t="inlineStr">
        <is>
          <t>Plant C</t>
        </is>
      </c>
      <c r="E2151" s="2" t="inlineStr">
        <is>
          <t>Export</t>
        </is>
      </c>
      <c r="F2151" s="12" t="n">
        <v>46028</v>
      </c>
      <c r="G2151" s="12" t="n">
        <v>46035</v>
      </c>
      <c r="H2151" s="12" t="n">
        <v>46030</v>
      </c>
      <c r="I2151" s="12" t="n">
        <v>46030</v>
      </c>
      <c r="J2151" s="12" t="n">
        <v>46034</v>
      </c>
      <c r="K2151" s="2" t="n">
        <v>1086</v>
      </c>
      <c r="L2151" s="2" t="inlineStr">
        <is>
          <t>Sea</t>
        </is>
      </c>
      <c r="M2151" s="2" t="inlineStr">
        <is>
          <t>No Delay</t>
        </is>
      </c>
      <c r="N2151" s="4">
        <f>IF(I2151&lt;=H2151,1,0)</f>
        <v/>
      </c>
      <c r="O2151" s="4">
        <f>IF(J2151&lt;=G2151,1,0)</f>
        <v/>
      </c>
      <c r="P2151" s="4">
        <f>MAX(0,I2151-H2151)</f>
        <v/>
      </c>
      <c r="Q2151" s="4">
        <f>MAX(0,J2151-G2151)</f>
        <v/>
      </c>
      <c r="R2151" s="4">
        <f>IF(AND(N2151=1,O2151=1),"On Track",IF(O2151=0,"Customer Delivery Late","Ship Late"))</f>
        <v/>
      </c>
    </row>
    <row r="2152">
      <c r="A2152" s="2" t="inlineStr">
        <is>
          <t>ORD-02151</t>
        </is>
      </c>
      <c r="B2152" s="2" t="inlineStr">
        <is>
          <t>Customer 20</t>
        </is>
      </c>
      <c r="C2152" s="2" t="inlineStr">
        <is>
          <t>Breaker</t>
        </is>
      </c>
      <c r="D2152" s="2" t="inlineStr">
        <is>
          <t>Plant B</t>
        </is>
      </c>
      <c r="E2152" s="2" t="inlineStr">
        <is>
          <t>Central</t>
        </is>
      </c>
      <c r="F2152" s="12" t="n">
        <v>46156</v>
      </c>
      <c r="G2152" s="12" t="n">
        <v>46181</v>
      </c>
      <c r="H2152" s="12" t="n">
        <v>46178</v>
      </c>
      <c r="I2152" s="12" t="n">
        <v>46177</v>
      </c>
      <c r="J2152" s="12" t="n">
        <v>46181</v>
      </c>
      <c r="K2152" s="2" t="n">
        <v>286</v>
      </c>
      <c r="L2152" s="2" t="inlineStr">
        <is>
          <t>Road</t>
        </is>
      </c>
      <c r="M2152" s="2" t="inlineStr">
        <is>
          <t>No Delay</t>
        </is>
      </c>
      <c r="N2152" s="4">
        <f>IF(I2152&lt;=H2152,1,0)</f>
        <v/>
      </c>
      <c r="O2152" s="4">
        <f>IF(J2152&lt;=G2152,1,0)</f>
        <v/>
      </c>
      <c r="P2152" s="4">
        <f>MAX(0,I2152-H2152)</f>
        <v/>
      </c>
      <c r="Q2152" s="4">
        <f>MAX(0,J2152-G2152)</f>
        <v/>
      </c>
      <c r="R2152" s="4">
        <f>IF(AND(N2152=1,O2152=1),"On Track",IF(O2152=0,"Customer Delivery Late","Ship Late"))</f>
        <v/>
      </c>
    </row>
    <row r="2153">
      <c r="A2153" s="2" t="inlineStr">
        <is>
          <t>ORD-02152</t>
        </is>
      </c>
      <c r="B2153" s="2" t="inlineStr">
        <is>
          <t>Customer 24</t>
        </is>
      </c>
      <c r="C2153" s="2" t="inlineStr">
        <is>
          <t>Contactor</t>
        </is>
      </c>
      <c r="D2153" s="2" t="inlineStr">
        <is>
          <t>Plant C</t>
        </is>
      </c>
      <c r="E2153" s="2" t="inlineStr">
        <is>
          <t>North</t>
        </is>
      </c>
      <c r="F2153" s="12" t="n">
        <v>46148</v>
      </c>
      <c r="G2153" s="12" t="n">
        <v>46156</v>
      </c>
      <c r="H2153" s="12" t="n">
        <v>46155</v>
      </c>
      <c r="I2153" s="12" t="n">
        <v>46154</v>
      </c>
      <c r="J2153" s="12" t="n">
        <v>46155</v>
      </c>
      <c r="K2153" s="2" t="n">
        <v>29</v>
      </c>
      <c r="L2153" s="2" t="inlineStr">
        <is>
          <t>Air</t>
        </is>
      </c>
      <c r="M2153" s="2" t="inlineStr">
        <is>
          <t>No Delay</t>
        </is>
      </c>
      <c r="N2153" s="4">
        <f>IF(I2153&lt;=H2153,1,0)</f>
        <v/>
      </c>
      <c r="O2153" s="4">
        <f>IF(J2153&lt;=G2153,1,0)</f>
        <v/>
      </c>
      <c r="P2153" s="4">
        <f>MAX(0,I2153-H2153)</f>
        <v/>
      </c>
      <c r="Q2153" s="4">
        <f>MAX(0,J2153-G2153)</f>
        <v/>
      </c>
      <c r="R2153" s="4">
        <f>IF(AND(N2153=1,O2153=1),"On Track",IF(O2153=0,"Customer Delivery Late","Ship Late"))</f>
        <v/>
      </c>
    </row>
    <row r="2154">
      <c r="A2154" s="2" t="inlineStr">
        <is>
          <t>ORD-02153</t>
        </is>
      </c>
      <c r="B2154" s="2" t="inlineStr">
        <is>
          <t>Customer 04</t>
        </is>
      </c>
      <c r="C2154" s="2" t="inlineStr">
        <is>
          <t>Power Supply</t>
        </is>
      </c>
      <c r="D2154" s="2" t="inlineStr">
        <is>
          <t>Plant A</t>
        </is>
      </c>
      <c r="E2154" s="2" t="inlineStr">
        <is>
          <t>North</t>
        </is>
      </c>
      <c r="F2154" s="12" t="n">
        <v>46042</v>
      </c>
      <c r="G2154" s="12" t="n">
        <v>46062</v>
      </c>
      <c r="H2154" s="12" t="n">
        <v>46060</v>
      </c>
      <c r="I2154" s="12" t="n">
        <v>46060</v>
      </c>
      <c r="J2154" s="12" t="n">
        <v>46062</v>
      </c>
      <c r="K2154" s="2" t="n">
        <v>354</v>
      </c>
      <c r="L2154" s="2" t="inlineStr">
        <is>
          <t>Sea</t>
        </is>
      </c>
      <c r="M2154" s="2" t="inlineStr">
        <is>
          <t>No Delay</t>
        </is>
      </c>
      <c r="N2154" s="4">
        <f>IF(I2154&lt;=H2154,1,0)</f>
        <v/>
      </c>
      <c r="O2154" s="4">
        <f>IF(J2154&lt;=G2154,1,0)</f>
        <v/>
      </c>
      <c r="P2154" s="4">
        <f>MAX(0,I2154-H2154)</f>
        <v/>
      </c>
      <c r="Q2154" s="4">
        <f>MAX(0,J2154-G2154)</f>
        <v/>
      </c>
      <c r="R2154" s="4">
        <f>IF(AND(N2154=1,O2154=1),"On Track",IF(O2154=0,"Customer Delivery Late","Ship Late"))</f>
        <v/>
      </c>
    </row>
    <row r="2155">
      <c r="A2155" s="2" t="inlineStr">
        <is>
          <t>ORD-02154</t>
        </is>
      </c>
      <c r="B2155" s="2" t="inlineStr">
        <is>
          <t>Customer 10</t>
        </is>
      </c>
      <c r="C2155" s="2" t="inlineStr">
        <is>
          <t>Power Supply</t>
        </is>
      </c>
      <c r="D2155" s="2" t="inlineStr">
        <is>
          <t>Plant A</t>
        </is>
      </c>
      <c r="E2155" s="2" t="inlineStr">
        <is>
          <t>Export</t>
        </is>
      </c>
      <c r="F2155" s="12" t="n">
        <v>46141</v>
      </c>
      <c r="G2155" s="12" t="n">
        <v>46157</v>
      </c>
      <c r="H2155" s="12" t="n">
        <v>46154</v>
      </c>
      <c r="I2155" s="12" t="n">
        <v>46152</v>
      </c>
      <c r="J2155" s="12" t="n">
        <v>46154</v>
      </c>
      <c r="K2155" s="2" t="n">
        <v>1158</v>
      </c>
      <c r="L2155" s="2" t="inlineStr">
        <is>
          <t>Sea</t>
        </is>
      </c>
      <c r="M2155" s="2" t="inlineStr">
        <is>
          <t>No Delay</t>
        </is>
      </c>
      <c r="N2155" s="4">
        <f>IF(I2155&lt;=H2155,1,0)</f>
        <v/>
      </c>
      <c r="O2155" s="4">
        <f>IF(J2155&lt;=G2155,1,0)</f>
        <v/>
      </c>
      <c r="P2155" s="4">
        <f>MAX(0,I2155-H2155)</f>
        <v/>
      </c>
      <c r="Q2155" s="4">
        <f>MAX(0,J2155-G2155)</f>
        <v/>
      </c>
      <c r="R2155" s="4">
        <f>IF(AND(N2155=1,O2155=1),"On Track",IF(O2155=0,"Customer Delivery Late","Ship Late"))</f>
        <v/>
      </c>
    </row>
    <row r="2156">
      <c r="A2156" s="2" t="inlineStr">
        <is>
          <t>ORD-02155</t>
        </is>
      </c>
      <c r="B2156" s="2" t="inlineStr">
        <is>
          <t>Customer 06</t>
        </is>
      </c>
      <c r="C2156" s="2" t="inlineStr">
        <is>
          <t>Breaker</t>
        </is>
      </c>
      <c r="D2156" s="2" t="inlineStr">
        <is>
          <t>Plant A</t>
        </is>
      </c>
      <c r="E2156" s="2" t="inlineStr">
        <is>
          <t>Central</t>
        </is>
      </c>
      <c r="F2156" s="12" t="n">
        <v>46041</v>
      </c>
      <c r="G2156" s="12" t="n">
        <v>46048</v>
      </c>
      <c r="H2156" s="12" t="n">
        <v>46043</v>
      </c>
      <c r="I2156" s="12" t="n">
        <v>46041</v>
      </c>
      <c r="J2156" s="12" t="n">
        <v>46046</v>
      </c>
      <c r="K2156" s="2" t="n">
        <v>1326</v>
      </c>
      <c r="L2156" s="2" t="inlineStr">
        <is>
          <t>Road</t>
        </is>
      </c>
      <c r="M2156" s="2" t="inlineStr">
        <is>
          <t>No Delay</t>
        </is>
      </c>
      <c r="N2156" s="4">
        <f>IF(I2156&lt;=H2156,1,0)</f>
        <v/>
      </c>
      <c r="O2156" s="4">
        <f>IF(J2156&lt;=G2156,1,0)</f>
        <v/>
      </c>
      <c r="P2156" s="4">
        <f>MAX(0,I2156-H2156)</f>
        <v/>
      </c>
      <c r="Q2156" s="4">
        <f>MAX(0,J2156-G2156)</f>
        <v/>
      </c>
      <c r="R2156" s="4">
        <f>IF(AND(N2156=1,O2156=1),"On Track",IF(O2156=0,"Customer Delivery Late","Ship Late"))</f>
        <v/>
      </c>
    </row>
    <row r="2157">
      <c r="A2157" s="2" t="inlineStr">
        <is>
          <t>ORD-02156</t>
        </is>
      </c>
      <c r="B2157" s="2" t="inlineStr">
        <is>
          <t>Customer 26</t>
        </is>
      </c>
      <c r="C2157" s="2" t="inlineStr">
        <is>
          <t>PLC</t>
        </is>
      </c>
      <c r="D2157" s="2" t="inlineStr">
        <is>
          <t>Plant B</t>
        </is>
      </c>
      <c r="E2157" s="2" t="inlineStr">
        <is>
          <t>North</t>
        </is>
      </c>
      <c r="F2157" s="12" t="n">
        <v>46150</v>
      </c>
      <c r="G2157" s="12" t="n">
        <v>46157</v>
      </c>
      <c r="H2157" s="12" t="n">
        <v>46153</v>
      </c>
      <c r="I2157" s="12" t="n">
        <v>46159</v>
      </c>
      <c r="J2157" s="12" t="n">
        <v>46163</v>
      </c>
      <c r="K2157" s="2" t="n">
        <v>505</v>
      </c>
      <c r="L2157" s="2" t="inlineStr">
        <is>
          <t>Road</t>
        </is>
      </c>
      <c r="M2157" s="2" t="inlineStr">
        <is>
          <t>Production Delay</t>
        </is>
      </c>
      <c r="N2157" s="4">
        <f>IF(I2157&lt;=H2157,1,0)</f>
        <v/>
      </c>
      <c r="O2157" s="4">
        <f>IF(J2157&lt;=G2157,1,0)</f>
        <v/>
      </c>
      <c r="P2157" s="4">
        <f>MAX(0,I2157-H2157)</f>
        <v/>
      </c>
      <c r="Q2157" s="4">
        <f>MAX(0,J2157-G2157)</f>
        <v/>
      </c>
      <c r="R2157" s="4">
        <f>IF(AND(N2157=1,O2157=1),"On Track",IF(O2157=0,"Customer Delivery Late","Ship Late"))</f>
        <v/>
      </c>
    </row>
    <row r="2158">
      <c r="A2158" s="2" t="inlineStr">
        <is>
          <t>ORD-02157</t>
        </is>
      </c>
      <c r="B2158" s="2" t="inlineStr">
        <is>
          <t>Customer 20</t>
        </is>
      </c>
      <c r="C2158" s="2" t="inlineStr">
        <is>
          <t>Breaker</t>
        </is>
      </c>
      <c r="D2158" s="2" t="inlineStr">
        <is>
          <t>Plant A</t>
        </is>
      </c>
      <c r="E2158" s="2" t="inlineStr">
        <is>
          <t>Export</t>
        </is>
      </c>
      <c r="F2158" s="12" t="n">
        <v>46143</v>
      </c>
      <c r="G2158" s="12" t="n">
        <v>46167</v>
      </c>
      <c r="H2158" s="12" t="n">
        <v>46162</v>
      </c>
      <c r="I2158" s="12" t="n">
        <v>46162</v>
      </c>
      <c r="J2158" s="12" t="n">
        <v>46166</v>
      </c>
      <c r="K2158" s="2" t="n">
        <v>1387</v>
      </c>
      <c r="L2158" s="2" t="inlineStr">
        <is>
          <t>Road</t>
        </is>
      </c>
      <c r="M2158" s="2" t="inlineStr">
        <is>
          <t>No Delay</t>
        </is>
      </c>
      <c r="N2158" s="4">
        <f>IF(I2158&lt;=H2158,1,0)</f>
        <v/>
      </c>
      <c r="O2158" s="4">
        <f>IF(J2158&lt;=G2158,1,0)</f>
        <v/>
      </c>
      <c r="P2158" s="4">
        <f>MAX(0,I2158-H2158)</f>
        <v/>
      </c>
      <c r="Q2158" s="4">
        <f>MAX(0,J2158-G2158)</f>
        <v/>
      </c>
      <c r="R2158" s="4">
        <f>IF(AND(N2158=1,O2158=1),"On Track",IF(O2158=0,"Customer Delivery Late","Ship Late"))</f>
        <v/>
      </c>
    </row>
    <row r="2159">
      <c r="A2159" s="2" t="inlineStr">
        <is>
          <t>ORD-02158</t>
        </is>
      </c>
      <c r="B2159" s="2" t="inlineStr">
        <is>
          <t>Customer 29</t>
        </is>
      </c>
      <c r="C2159" s="2" t="inlineStr">
        <is>
          <t>PLC</t>
        </is>
      </c>
      <c r="D2159" s="2" t="inlineStr">
        <is>
          <t>Plant C</t>
        </is>
      </c>
      <c r="E2159" s="2" t="inlineStr">
        <is>
          <t>North</t>
        </is>
      </c>
      <c r="F2159" s="12" t="n">
        <v>46176</v>
      </c>
      <c r="G2159" s="12" t="n">
        <v>46192</v>
      </c>
      <c r="H2159" s="12" t="n">
        <v>46189</v>
      </c>
      <c r="I2159" s="12" t="n">
        <v>46188</v>
      </c>
      <c r="J2159" s="12" t="n">
        <v>46191</v>
      </c>
      <c r="K2159" s="2" t="n">
        <v>323</v>
      </c>
      <c r="L2159" s="2" t="inlineStr">
        <is>
          <t>Air</t>
        </is>
      </c>
      <c r="M2159" s="2" t="inlineStr">
        <is>
          <t>No Delay</t>
        </is>
      </c>
      <c r="N2159" s="4">
        <f>IF(I2159&lt;=H2159,1,0)</f>
        <v/>
      </c>
      <c r="O2159" s="4">
        <f>IF(J2159&lt;=G2159,1,0)</f>
        <v/>
      </c>
      <c r="P2159" s="4">
        <f>MAX(0,I2159-H2159)</f>
        <v/>
      </c>
      <c r="Q2159" s="4">
        <f>MAX(0,J2159-G2159)</f>
        <v/>
      </c>
      <c r="R2159" s="4">
        <f>IF(AND(N2159=1,O2159=1),"On Track",IF(O2159=0,"Customer Delivery Late","Ship Late"))</f>
        <v/>
      </c>
    </row>
    <row r="2160">
      <c r="A2160" s="2" t="inlineStr">
        <is>
          <t>ORD-02159</t>
        </is>
      </c>
      <c r="B2160" s="2" t="inlineStr">
        <is>
          <t>Customer 26</t>
        </is>
      </c>
      <c r="C2160" s="2" t="inlineStr">
        <is>
          <t>Sensor</t>
        </is>
      </c>
      <c r="D2160" s="2" t="inlineStr">
        <is>
          <t>Plant A</t>
        </is>
      </c>
      <c r="E2160" s="2" t="inlineStr">
        <is>
          <t>Central</t>
        </is>
      </c>
      <c r="F2160" s="12" t="n">
        <v>46094</v>
      </c>
      <c r="G2160" s="12" t="n">
        <v>46105</v>
      </c>
      <c r="H2160" s="12" t="n">
        <v>46100</v>
      </c>
      <c r="I2160" s="12" t="n">
        <v>46098</v>
      </c>
      <c r="J2160" s="12" t="n">
        <v>46103</v>
      </c>
      <c r="K2160" s="2" t="n">
        <v>670</v>
      </c>
      <c r="L2160" s="2" t="inlineStr">
        <is>
          <t>Sea</t>
        </is>
      </c>
      <c r="M2160" s="2" t="inlineStr">
        <is>
          <t>No Delay</t>
        </is>
      </c>
      <c r="N2160" s="4">
        <f>IF(I2160&lt;=H2160,1,0)</f>
        <v/>
      </c>
      <c r="O2160" s="4">
        <f>IF(J2160&lt;=G2160,1,0)</f>
        <v/>
      </c>
      <c r="P2160" s="4">
        <f>MAX(0,I2160-H2160)</f>
        <v/>
      </c>
      <c r="Q2160" s="4">
        <f>MAX(0,J2160-G2160)</f>
        <v/>
      </c>
      <c r="R2160" s="4">
        <f>IF(AND(N2160=1,O2160=1),"On Track",IF(O2160=0,"Customer Delivery Late","Ship Late"))</f>
        <v/>
      </c>
    </row>
    <row r="2161">
      <c r="A2161" s="2" t="inlineStr">
        <is>
          <t>ORD-02160</t>
        </is>
      </c>
      <c r="B2161" s="2" t="inlineStr">
        <is>
          <t>Customer 06</t>
        </is>
      </c>
      <c r="C2161" s="2" t="inlineStr">
        <is>
          <t>PLC</t>
        </is>
      </c>
      <c r="D2161" s="2" t="inlineStr">
        <is>
          <t>Plant B</t>
        </is>
      </c>
      <c r="E2161" s="2" t="inlineStr">
        <is>
          <t>North</t>
        </is>
      </c>
      <c r="F2161" s="12" t="n">
        <v>46040</v>
      </c>
      <c r="G2161" s="12" t="n">
        <v>46065</v>
      </c>
      <c r="H2161" s="12" t="n">
        <v>46062</v>
      </c>
      <c r="I2161" s="12" t="n">
        <v>46061</v>
      </c>
      <c r="J2161" s="12" t="n">
        <v>46063</v>
      </c>
      <c r="K2161" s="2" t="n">
        <v>258</v>
      </c>
      <c r="L2161" s="2" t="inlineStr">
        <is>
          <t>Sea</t>
        </is>
      </c>
      <c r="M2161" s="2" t="inlineStr">
        <is>
          <t>No Delay</t>
        </is>
      </c>
      <c r="N2161" s="4">
        <f>IF(I2161&lt;=H2161,1,0)</f>
        <v/>
      </c>
      <c r="O2161" s="4">
        <f>IF(J2161&lt;=G2161,1,0)</f>
        <v/>
      </c>
      <c r="P2161" s="4">
        <f>MAX(0,I2161-H2161)</f>
        <v/>
      </c>
      <c r="Q2161" s="4">
        <f>MAX(0,J2161-G2161)</f>
        <v/>
      </c>
      <c r="R2161" s="4">
        <f>IF(AND(N2161=1,O2161=1),"On Track",IF(O2161=0,"Customer Delivery Late","Ship Late"))</f>
        <v/>
      </c>
    </row>
    <row r="2162">
      <c r="A2162" s="2" t="inlineStr">
        <is>
          <t>ORD-02161</t>
        </is>
      </c>
      <c r="B2162" s="2" t="inlineStr">
        <is>
          <t>Customer 07</t>
        </is>
      </c>
      <c r="C2162" s="2" t="inlineStr">
        <is>
          <t>Sensor</t>
        </is>
      </c>
      <c r="D2162" s="2" t="inlineStr">
        <is>
          <t>Plant B</t>
        </is>
      </c>
      <c r="E2162" s="2" t="inlineStr">
        <is>
          <t>Central</t>
        </is>
      </c>
      <c r="F2162" s="12" t="n">
        <v>46161</v>
      </c>
      <c r="G2162" s="12" t="n">
        <v>46178</v>
      </c>
      <c r="H2162" s="12" t="n">
        <v>46176</v>
      </c>
      <c r="I2162" s="12" t="n">
        <v>46175</v>
      </c>
      <c r="J2162" s="12" t="n">
        <v>46177</v>
      </c>
      <c r="K2162" s="2" t="n">
        <v>202</v>
      </c>
      <c r="L2162" s="2" t="inlineStr">
        <is>
          <t>Air</t>
        </is>
      </c>
      <c r="M2162" s="2" t="inlineStr">
        <is>
          <t>No Delay</t>
        </is>
      </c>
      <c r="N2162" s="4">
        <f>IF(I2162&lt;=H2162,1,0)</f>
        <v/>
      </c>
      <c r="O2162" s="4">
        <f>IF(J2162&lt;=G2162,1,0)</f>
        <v/>
      </c>
      <c r="P2162" s="4">
        <f>MAX(0,I2162-H2162)</f>
        <v/>
      </c>
      <c r="Q2162" s="4">
        <f>MAX(0,J2162-G2162)</f>
        <v/>
      </c>
      <c r="R2162" s="4">
        <f>IF(AND(N2162=1,O2162=1),"On Track",IF(O2162=0,"Customer Delivery Late","Ship Late"))</f>
        <v/>
      </c>
    </row>
    <row r="2163">
      <c r="A2163" s="2" t="inlineStr">
        <is>
          <t>ORD-02162</t>
        </is>
      </c>
      <c r="B2163" s="2" t="inlineStr">
        <is>
          <t>Customer 22</t>
        </is>
      </c>
      <c r="C2163" s="2" t="inlineStr">
        <is>
          <t>Drive</t>
        </is>
      </c>
      <c r="D2163" s="2" t="inlineStr">
        <is>
          <t>Plant C</t>
        </is>
      </c>
      <c r="E2163" s="2" t="inlineStr">
        <is>
          <t>North</t>
        </is>
      </c>
      <c r="F2163" s="12" t="n">
        <v>46122</v>
      </c>
      <c r="G2163" s="12" t="n">
        <v>46133</v>
      </c>
      <c r="H2163" s="12" t="n">
        <v>46132</v>
      </c>
      <c r="I2163" s="12" t="n">
        <v>46130</v>
      </c>
      <c r="J2163" s="12" t="n">
        <v>46132</v>
      </c>
      <c r="K2163" s="2" t="n">
        <v>1342</v>
      </c>
      <c r="L2163" s="2" t="inlineStr">
        <is>
          <t>Sea</t>
        </is>
      </c>
      <c r="M2163" s="2" t="inlineStr">
        <is>
          <t>No Delay</t>
        </is>
      </c>
      <c r="N2163" s="4">
        <f>IF(I2163&lt;=H2163,1,0)</f>
        <v/>
      </c>
      <c r="O2163" s="4">
        <f>IF(J2163&lt;=G2163,1,0)</f>
        <v/>
      </c>
      <c r="P2163" s="4">
        <f>MAX(0,I2163-H2163)</f>
        <v/>
      </c>
      <c r="Q2163" s="4">
        <f>MAX(0,J2163-G2163)</f>
        <v/>
      </c>
      <c r="R2163" s="4">
        <f>IF(AND(N2163=1,O2163=1),"On Track",IF(O2163=0,"Customer Delivery Late","Ship Late"))</f>
        <v/>
      </c>
    </row>
    <row r="2164">
      <c r="A2164" s="2" t="inlineStr">
        <is>
          <t>ORD-02163</t>
        </is>
      </c>
      <c r="B2164" s="2" t="inlineStr">
        <is>
          <t>Customer 30</t>
        </is>
      </c>
      <c r="C2164" s="2" t="inlineStr">
        <is>
          <t>Breaker</t>
        </is>
      </c>
      <c r="D2164" s="2" t="inlineStr">
        <is>
          <t>Plant C</t>
        </is>
      </c>
      <c r="E2164" s="2" t="inlineStr">
        <is>
          <t>Central</t>
        </is>
      </c>
      <c r="F2164" s="12" t="n">
        <v>46132</v>
      </c>
      <c r="G2164" s="12" t="n">
        <v>46146</v>
      </c>
      <c r="H2164" s="12" t="n">
        <v>46143</v>
      </c>
      <c r="I2164" s="12" t="n">
        <v>46143</v>
      </c>
      <c r="J2164" s="12" t="n">
        <v>46146</v>
      </c>
      <c r="K2164" s="2" t="n">
        <v>1448</v>
      </c>
      <c r="L2164" s="2" t="inlineStr">
        <is>
          <t>Road</t>
        </is>
      </c>
      <c r="M2164" s="2" t="inlineStr">
        <is>
          <t>No Delay</t>
        </is>
      </c>
      <c r="N2164" s="4">
        <f>IF(I2164&lt;=H2164,1,0)</f>
        <v/>
      </c>
      <c r="O2164" s="4">
        <f>IF(J2164&lt;=G2164,1,0)</f>
        <v/>
      </c>
      <c r="P2164" s="4">
        <f>MAX(0,I2164-H2164)</f>
        <v/>
      </c>
      <c r="Q2164" s="4">
        <f>MAX(0,J2164-G2164)</f>
        <v/>
      </c>
      <c r="R2164" s="4">
        <f>IF(AND(N2164=1,O2164=1),"On Track",IF(O2164=0,"Customer Delivery Late","Ship Late"))</f>
        <v/>
      </c>
    </row>
    <row r="2165">
      <c r="A2165" s="2" t="inlineStr">
        <is>
          <t>ORD-02164</t>
        </is>
      </c>
      <c r="B2165" s="2" t="inlineStr">
        <is>
          <t>Customer 03</t>
        </is>
      </c>
      <c r="C2165" s="2" t="inlineStr">
        <is>
          <t>PLC</t>
        </is>
      </c>
      <c r="D2165" s="2" t="inlineStr">
        <is>
          <t>Plant A</t>
        </is>
      </c>
      <c r="E2165" s="2" t="inlineStr">
        <is>
          <t>Export</t>
        </is>
      </c>
      <c r="F2165" s="12" t="n">
        <v>46140</v>
      </c>
      <c r="G2165" s="12" t="n">
        <v>46160</v>
      </c>
      <c r="H2165" s="12" t="n">
        <v>46158</v>
      </c>
      <c r="I2165" s="12" t="n">
        <v>46156</v>
      </c>
      <c r="J2165" s="12" t="n">
        <v>46158</v>
      </c>
      <c r="K2165" s="2" t="n">
        <v>403</v>
      </c>
      <c r="L2165" s="2" t="inlineStr">
        <is>
          <t>Air</t>
        </is>
      </c>
      <c r="M2165" s="2" t="inlineStr">
        <is>
          <t>No Delay</t>
        </is>
      </c>
      <c r="N2165" s="4">
        <f>IF(I2165&lt;=H2165,1,0)</f>
        <v/>
      </c>
      <c r="O2165" s="4">
        <f>IF(J2165&lt;=G2165,1,0)</f>
        <v/>
      </c>
      <c r="P2165" s="4">
        <f>MAX(0,I2165-H2165)</f>
        <v/>
      </c>
      <c r="Q2165" s="4">
        <f>MAX(0,J2165-G2165)</f>
        <v/>
      </c>
      <c r="R2165" s="4">
        <f>IF(AND(N2165=1,O2165=1),"On Track",IF(O2165=0,"Customer Delivery Late","Ship Late"))</f>
        <v/>
      </c>
    </row>
    <row r="2166">
      <c r="A2166" s="2" t="inlineStr">
        <is>
          <t>ORD-02165</t>
        </is>
      </c>
      <c r="B2166" s="2" t="inlineStr">
        <is>
          <t>Customer 01</t>
        </is>
      </c>
      <c r="C2166" s="2" t="inlineStr">
        <is>
          <t>Relay</t>
        </is>
      </c>
      <c r="D2166" s="2" t="inlineStr">
        <is>
          <t>Plant B</t>
        </is>
      </c>
      <c r="E2166" s="2" t="inlineStr">
        <is>
          <t>Central</t>
        </is>
      </c>
      <c r="F2166" s="12" t="n">
        <v>46138</v>
      </c>
      <c r="G2166" s="12" t="n">
        <v>46143</v>
      </c>
      <c r="H2166" s="12" t="n">
        <v>46139</v>
      </c>
      <c r="I2166" s="12" t="n">
        <v>46137</v>
      </c>
      <c r="J2166" s="12" t="n">
        <v>46141</v>
      </c>
      <c r="K2166" s="2" t="n">
        <v>1342</v>
      </c>
      <c r="L2166" s="2" t="inlineStr">
        <is>
          <t>Road</t>
        </is>
      </c>
      <c r="M2166" s="2" t="inlineStr">
        <is>
          <t>No Delay</t>
        </is>
      </c>
      <c r="N2166" s="4">
        <f>IF(I2166&lt;=H2166,1,0)</f>
        <v/>
      </c>
      <c r="O2166" s="4">
        <f>IF(J2166&lt;=G2166,1,0)</f>
        <v/>
      </c>
      <c r="P2166" s="4">
        <f>MAX(0,I2166-H2166)</f>
        <v/>
      </c>
      <c r="Q2166" s="4">
        <f>MAX(0,J2166-G2166)</f>
        <v/>
      </c>
      <c r="R2166" s="4">
        <f>IF(AND(N2166=1,O2166=1),"On Track",IF(O2166=0,"Customer Delivery Late","Ship Late"))</f>
        <v/>
      </c>
    </row>
    <row r="2167">
      <c r="A2167" s="2" t="inlineStr">
        <is>
          <t>ORD-02166</t>
        </is>
      </c>
      <c r="B2167" s="2" t="inlineStr">
        <is>
          <t>Customer 30</t>
        </is>
      </c>
      <c r="C2167" s="2" t="inlineStr">
        <is>
          <t>PLC</t>
        </is>
      </c>
      <c r="D2167" s="2" t="inlineStr">
        <is>
          <t>Plant A</t>
        </is>
      </c>
      <c r="E2167" s="2" t="inlineStr">
        <is>
          <t>Central</t>
        </is>
      </c>
      <c r="F2167" s="12" t="n">
        <v>46188</v>
      </c>
      <c r="G2167" s="12" t="n">
        <v>46198</v>
      </c>
      <c r="H2167" s="12" t="n">
        <v>46195</v>
      </c>
      <c r="I2167" s="12" t="n">
        <v>46195</v>
      </c>
      <c r="J2167" s="12" t="n">
        <v>46197</v>
      </c>
      <c r="K2167" s="2" t="n">
        <v>898</v>
      </c>
      <c r="L2167" s="2" t="inlineStr">
        <is>
          <t>Air</t>
        </is>
      </c>
      <c r="M2167" s="2" t="inlineStr">
        <is>
          <t>No Delay</t>
        </is>
      </c>
      <c r="N2167" s="4">
        <f>IF(I2167&lt;=H2167,1,0)</f>
        <v/>
      </c>
      <c r="O2167" s="4">
        <f>IF(J2167&lt;=G2167,1,0)</f>
        <v/>
      </c>
      <c r="P2167" s="4">
        <f>MAX(0,I2167-H2167)</f>
        <v/>
      </c>
      <c r="Q2167" s="4">
        <f>MAX(0,J2167-G2167)</f>
        <v/>
      </c>
      <c r="R2167" s="4">
        <f>IF(AND(N2167=1,O2167=1),"On Track",IF(O2167=0,"Customer Delivery Late","Ship Late"))</f>
        <v/>
      </c>
    </row>
    <row r="2168">
      <c r="A2168" s="2" t="inlineStr">
        <is>
          <t>ORD-02167</t>
        </is>
      </c>
      <c r="B2168" s="2" t="inlineStr">
        <is>
          <t>Customer 10</t>
        </is>
      </c>
      <c r="C2168" s="2" t="inlineStr">
        <is>
          <t>Sensor</t>
        </is>
      </c>
      <c r="D2168" s="2" t="inlineStr">
        <is>
          <t>Plant A</t>
        </is>
      </c>
      <c r="E2168" s="2" t="inlineStr">
        <is>
          <t>North</t>
        </is>
      </c>
      <c r="F2168" s="12" t="n">
        <v>46101</v>
      </c>
      <c r="G2168" s="12" t="n">
        <v>46106</v>
      </c>
      <c r="H2168" s="12" t="n">
        <v>46105</v>
      </c>
      <c r="I2168" s="12" t="n">
        <v>46103</v>
      </c>
      <c r="J2168" s="12" t="n">
        <v>46104</v>
      </c>
      <c r="K2168" s="2" t="n">
        <v>332</v>
      </c>
      <c r="L2168" s="2" t="inlineStr">
        <is>
          <t>Sea</t>
        </is>
      </c>
      <c r="M2168" s="2" t="inlineStr">
        <is>
          <t>No Delay</t>
        </is>
      </c>
      <c r="N2168" s="4">
        <f>IF(I2168&lt;=H2168,1,0)</f>
        <v/>
      </c>
      <c r="O2168" s="4">
        <f>IF(J2168&lt;=G2168,1,0)</f>
        <v/>
      </c>
      <c r="P2168" s="4">
        <f>MAX(0,I2168-H2168)</f>
        <v/>
      </c>
      <c r="Q2168" s="4">
        <f>MAX(0,J2168-G2168)</f>
        <v/>
      </c>
      <c r="R2168" s="4">
        <f>IF(AND(N2168=1,O2168=1),"On Track",IF(O2168=0,"Customer Delivery Late","Ship Late"))</f>
        <v/>
      </c>
    </row>
    <row r="2169">
      <c r="A2169" s="2" t="inlineStr">
        <is>
          <t>ORD-02168</t>
        </is>
      </c>
      <c r="B2169" s="2" t="inlineStr">
        <is>
          <t>Customer 23</t>
        </is>
      </c>
      <c r="C2169" s="2" t="inlineStr">
        <is>
          <t>Contactor</t>
        </is>
      </c>
      <c r="D2169" s="2" t="inlineStr">
        <is>
          <t>Plant A</t>
        </is>
      </c>
      <c r="E2169" s="2" t="inlineStr">
        <is>
          <t>Export</t>
        </is>
      </c>
      <c r="F2169" s="12" t="n">
        <v>46094</v>
      </c>
      <c r="G2169" s="12" t="n">
        <v>46106</v>
      </c>
      <c r="H2169" s="12" t="n">
        <v>46103</v>
      </c>
      <c r="I2169" s="12" t="n">
        <v>46103</v>
      </c>
      <c r="J2169" s="12" t="n">
        <v>46106</v>
      </c>
      <c r="K2169" s="2" t="n">
        <v>1356</v>
      </c>
      <c r="L2169" s="2" t="inlineStr">
        <is>
          <t>Road</t>
        </is>
      </c>
      <c r="M2169" s="2" t="inlineStr">
        <is>
          <t>No Delay</t>
        </is>
      </c>
      <c r="N2169" s="4">
        <f>IF(I2169&lt;=H2169,1,0)</f>
        <v/>
      </c>
      <c r="O2169" s="4">
        <f>IF(J2169&lt;=G2169,1,0)</f>
        <v/>
      </c>
      <c r="P2169" s="4">
        <f>MAX(0,I2169-H2169)</f>
        <v/>
      </c>
      <c r="Q2169" s="4">
        <f>MAX(0,J2169-G2169)</f>
        <v/>
      </c>
      <c r="R2169" s="4">
        <f>IF(AND(N2169=1,O2169=1),"On Track",IF(O2169=0,"Customer Delivery Late","Ship Late"))</f>
        <v/>
      </c>
    </row>
    <row r="2170">
      <c r="A2170" s="2" t="inlineStr">
        <is>
          <t>ORD-02169</t>
        </is>
      </c>
      <c r="B2170" s="2" t="inlineStr">
        <is>
          <t>Customer 12</t>
        </is>
      </c>
      <c r="C2170" s="2" t="inlineStr">
        <is>
          <t>PLC</t>
        </is>
      </c>
      <c r="D2170" s="2" t="inlineStr">
        <is>
          <t>Plant C</t>
        </is>
      </c>
      <c r="E2170" s="2" t="inlineStr">
        <is>
          <t>North</t>
        </is>
      </c>
      <c r="F2170" s="12" t="n">
        <v>46109</v>
      </c>
      <c r="G2170" s="12" t="n">
        <v>46127</v>
      </c>
      <c r="H2170" s="12" t="n">
        <v>46124</v>
      </c>
      <c r="I2170" s="12" t="n">
        <v>46124</v>
      </c>
      <c r="J2170" s="12" t="n">
        <v>46126</v>
      </c>
      <c r="K2170" s="2" t="n">
        <v>404</v>
      </c>
      <c r="L2170" s="2" t="inlineStr">
        <is>
          <t>Air</t>
        </is>
      </c>
      <c r="M2170" s="2" t="inlineStr">
        <is>
          <t>No Delay</t>
        </is>
      </c>
      <c r="N2170" s="4">
        <f>IF(I2170&lt;=H2170,1,0)</f>
        <v/>
      </c>
      <c r="O2170" s="4">
        <f>IF(J2170&lt;=G2170,1,0)</f>
        <v/>
      </c>
      <c r="P2170" s="4">
        <f>MAX(0,I2170-H2170)</f>
        <v/>
      </c>
      <c r="Q2170" s="4">
        <f>MAX(0,J2170-G2170)</f>
        <v/>
      </c>
      <c r="R2170" s="4">
        <f>IF(AND(N2170=1,O2170=1),"On Track",IF(O2170=0,"Customer Delivery Late","Ship Late"))</f>
        <v/>
      </c>
    </row>
    <row r="2171">
      <c r="A2171" s="2" t="inlineStr">
        <is>
          <t>ORD-02170</t>
        </is>
      </c>
      <c r="B2171" s="2" t="inlineStr">
        <is>
          <t>Customer 22</t>
        </is>
      </c>
      <c r="C2171" s="2" t="inlineStr">
        <is>
          <t>Breaker</t>
        </is>
      </c>
      <c r="D2171" s="2" t="inlineStr">
        <is>
          <t>Plant C</t>
        </is>
      </c>
      <c r="E2171" s="2" t="inlineStr">
        <is>
          <t>Central</t>
        </is>
      </c>
      <c r="F2171" s="12" t="n">
        <v>46032</v>
      </c>
      <c r="G2171" s="12" t="n">
        <v>46047</v>
      </c>
      <c r="H2171" s="12" t="n">
        <v>46044</v>
      </c>
      <c r="I2171" s="12" t="n">
        <v>46042</v>
      </c>
      <c r="J2171" s="12" t="n">
        <v>46045</v>
      </c>
      <c r="K2171" s="2" t="n">
        <v>799</v>
      </c>
      <c r="L2171" s="2" t="inlineStr">
        <is>
          <t>Road</t>
        </is>
      </c>
      <c r="M2171" s="2" t="inlineStr">
        <is>
          <t>No Delay</t>
        </is>
      </c>
      <c r="N2171" s="4">
        <f>IF(I2171&lt;=H2171,1,0)</f>
        <v/>
      </c>
      <c r="O2171" s="4">
        <f>IF(J2171&lt;=G2171,1,0)</f>
        <v/>
      </c>
      <c r="P2171" s="4">
        <f>MAX(0,I2171-H2171)</f>
        <v/>
      </c>
      <c r="Q2171" s="4">
        <f>MAX(0,J2171-G2171)</f>
        <v/>
      </c>
      <c r="R2171" s="4">
        <f>IF(AND(N2171=1,O2171=1),"On Track",IF(O2171=0,"Customer Delivery Late","Ship Late"))</f>
        <v/>
      </c>
    </row>
    <row r="2172">
      <c r="A2172" s="2" t="inlineStr">
        <is>
          <t>ORD-02171</t>
        </is>
      </c>
      <c r="B2172" s="2" t="inlineStr">
        <is>
          <t>Customer 06</t>
        </is>
      </c>
      <c r="C2172" s="2" t="inlineStr">
        <is>
          <t>Relay</t>
        </is>
      </c>
      <c r="D2172" s="2" t="inlineStr">
        <is>
          <t>Plant A</t>
        </is>
      </c>
      <c r="E2172" s="2" t="inlineStr">
        <is>
          <t>Central</t>
        </is>
      </c>
      <c r="F2172" s="12" t="n">
        <v>46193</v>
      </c>
      <c r="G2172" s="12" t="n">
        <v>46200</v>
      </c>
      <c r="H2172" s="12" t="n">
        <v>46199</v>
      </c>
      <c r="I2172" s="12" t="n">
        <v>46198</v>
      </c>
      <c r="J2172" s="12" t="n">
        <v>46199</v>
      </c>
      <c r="K2172" s="2" t="n">
        <v>505</v>
      </c>
      <c r="L2172" s="2" t="inlineStr">
        <is>
          <t>Air</t>
        </is>
      </c>
      <c r="M2172" s="2" t="inlineStr">
        <is>
          <t>No Delay</t>
        </is>
      </c>
      <c r="N2172" s="4">
        <f>IF(I2172&lt;=H2172,1,0)</f>
        <v/>
      </c>
      <c r="O2172" s="4">
        <f>IF(J2172&lt;=G2172,1,0)</f>
        <v/>
      </c>
      <c r="P2172" s="4">
        <f>MAX(0,I2172-H2172)</f>
        <v/>
      </c>
      <c r="Q2172" s="4">
        <f>MAX(0,J2172-G2172)</f>
        <v/>
      </c>
      <c r="R2172" s="4">
        <f>IF(AND(N2172=1,O2172=1),"On Track",IF(O2172=0,"Customer Delivery Late","Ship Late"))</f>
        <v/>
      </c>
    </row>
    <row r="2173">
      <c r="A2173" s="2" t="inlineStr">
        <is>
          <t>ORD-02172</t>
        </is>
      </c>
      <c r="B2173" s="2" t="inlineStr">
        <is>
          <t>Customer 08</t>
        </is>
      </c>
      <c r="C2173" s="2" t="inlineStr">
        <is>
          <t>PLC</t>
        </is>
      </c>
      <c r="D2173" s="2" t="inlineStr">
        <is>
          <t>Plant C</t>
        </is>
      </c>
      <c r="E2173" s="2" t="inlineStr">
        <is>
          <t>Export</t>
        </is>
      </c>
      <c r="F2173" s="12" t="n">
        <v>46120</v>
      </c>
      <c r="G2173" s="12" t="n">
        <v>46137</v>
      </c>
      <c r="H2173" s="12" t="n">
        <v>46133</v>
      </c>
      <c r="I2173" s="12" t="n">
        <v>46132</v>
      </c>
      <c r="J2173" s="12" t="n">
        <v>46136</v>
      </c>
      <c r="K2173" s="2" t="n">
        <v>201</v>
      </c>
      <c r="L2173" s="2" t="inlineStr">
        <is>
          <t>Sea</t>
        </is>
      </c>
      <c r="M2173" s="2" t="inlineStr">
        <is>
          <t>No Delay</t>
        </is>
      </c>
      <c r="N2173" s="4">
        <f>IF(I2173&lt;=H2173,1,0)</f>
        <v/>
      </c>
      <c r="O2173" s="4">
        <f>IF(J2173&lt;=G2173,1,0)</f>
        <v/>
      </c>
      <c r="P2173" s="4">
        <f>MAX(0,I2173-H2173)</f>
        <v/>
      </c>
      <c r="Q2173" s="4">
        <f>MAX(0,J2173-G2173)</f>
        <v/>
      </c>
      <c r="R2173" s="4">
        <f>IF(AND(N2173=1,O2173=1),"On Track",IF(O2173=0,"Customer Delivery Late","Ship Late"))</f>
        <v/>
      </c>
    </row>
    <row r="2174">
      <c r="A2174" s="2" t="inlineStr">
        <is>
          <t>ORD-02173</t>
        </is>
      </c>
      <c r="B2174" s="2" t="inlineStr">
        <is>
          <t>Customer 26</t>
        </is>
      </c>
      <c r="C2174" s="2" t="inlineStr">
        <is>
          <t>PLC</t>
        </is>
      </c>
      <c r="D2174" s="2" t="inlineStr">
        <is>
          <t>Plant B</t>
        </is>
      </c>
      <c r="E2174" s="2" t="inlineStr">
        <is>
          <t>Central</t>
        </is>
      </c>
      <c r="F2174" s="12" t="n">
        <v>46087</v>
      </c>
      <c r="G2174" s="12" t="n">
        <v>46094</v>
      </c>
      <c r="H2174" s="12" t="n">
        <v>46093</v>
      </c>
      <c r="I2174" s="12" t="n">
        <v>46093</v>
      </c>
      <c r="J2174" s="12" t="n">
        <v>46095</v>
      </c>
      <c r="K2174" s="2" t="n">
        <v>584</v>
      </c>
      <c r="L2174" s="2" t="inlineStr">
        <is>
          <t>Sea</t>
        </is>
      </c>
      <c r="M2174" s="2" t="inlineStr">
        <is>
          <t>Capacity Constraint</t>
        </is>
      </c>
      <c r="N2174" s="4">
        <f>IF(I2174&lt;=H2174,1,0)</f>
        <v/>
      </c>
      <c r="O2174" s="4">
        <f>IF(J2174&lt;=G2174,1,0)</f>
        <v/>
      </c>
      <c r="P2174" s="4">
        <f>MAX(0,I2174-H2174)</f>
        <v/>
      </c>
      <c r="Q2174" s="4">
        <f>MAX(0,J2174-G2174)</f>
        <v/>
      </c>
      <c r="R2174" s="4">
        <f>IF(AND(N2174=1,O2174=1),"On Track",IF(O2174=0,"Customer Delivery Late","Ship Late"))</f>
        <v/>
      </c>
    </row>
    <row r="2175">
      <c r="A2175" s="2" t="inlineStr">
        <is>
          <t>ORD-02174</t>
        </is>
      </c>
      <c r="B2175" s="2" t="inlineStr">
        <is>
          <t>Customer 09</t>
        </is>
      </c>
      <c r="C2175" s="2" t="inlineStr">
        <is>
          <t>Power Supply</t>
        </is>
      </c>
      <c r="D2175" s="2" t="inlineStr">
        <is>
          <t>Plant A</t>
        </is>
      </c>
      <c r="E2175" s="2" t="inlineStr">
        <is>
          <t>Central</t>
        </is>
      </c>
      <c r="F2175" s="12" t="n">
        <v>46184</v>
      </c>
      <c r="G2175" s="12" t="n">
        <v>46193</v>
      </c>
      <c r="H2175" s="12" t="n">
        <v>46190</v>
      </c>
      <c r="I2175" s="12" t="n">
        <v>46189</v>
      </c>
      <c r="J2175" s="12" t="n">
        <v>46193</v>
      </c>
      <c r="K2175" s="2" t="n">
        <v>624</v>
      </c>
      <c r="L2175" s="2" t="inlineStr">
        <is>
          <t>Sea</t>
        </is>
      </c>
      <c r="M2175" s="2" t="inlineStr">
        <is>
          <t>No Delay</t>
        </is>
      </c>
      <c r="N2175" s="4">
        <f>IF(I2175&lt;=H2175,1,0)</f>
        <v/>
      </c>
      <c r="O2175" s="4">
        <f>IF(J2175&lt;=G2175,1,0)</f>
        <v/>
      </c>
      <c r="P2175" s="4">
        <f>MAX(0,I2175-H2175)</f>
        <v/>
      </c>
      <c r="Q2175" s="4">
        <f>MAX(0,J2175-G2175)</f>
        <v/>
      </c>
      <c r="R2175" s="4">
        <f>IF(AND(N2175=1,O2175=1),"On Track",IF(O2175=0,"Customer Delivery Late","Ship Late"))</f>
        <v/>
      </c>
    </row>
    <row r="2176">
      <c r="A2176" s="2" t="inlineStr">
        <is>
          <t>ORD-02175</t>
        </is>
      </c>
      <c r="B2176" s="2" t="inlineStr">
        <is>
          <t>Customer 04</t>
        </is>
      </c>
      <c r="C2176" s="2" t="inlineStr">
        <is>
          <t>Power Supply</t>
        </is>
      </c>
      <c r="D2176" s="2" t="inlineStr">
        <is>
          <t>Plant B</t>
        </is>
      </c>
      <c r="E2176" s="2" t="inlineStr">
        <is>
          <t>South</t>
        </is>
      </c>
      <c r="F2176" s="12" t="n">
        <v>46155</v>
      </c>
      <c r="G2176" s="12" t="n">
        <v>46177</v>
      </c>
      <c r="H2176" s="12" t="n">
        <v>46172</v>
      </c>
      <c r="I2176" s="12" t="n">
        <v>46170</v>
      </c>
      <c r="J2176" s="12" t="n">
        <v>46175</v>
      </c>
      <c r="K2176" s="2" t="n">
        <v>86</v>
      </c>
      <c r="L2176" s="2" t="inlineStr">
        <is>
          <t>Sea</t>
        </is>
      </c>
      <c r="M2176" s="2" t="inlineStr">
        <is>
          <t>No Delay</t>
        </is>
      </c>
      <c r="N2176" s="4">
        <f>IF(I2176&lt;=H2176,1,0)</f>
        <v/>
      </c>
      <c r="O2176" s="4">
        <f>IF(J2176&lt;=G2176,1,0)</f>
        <v/>
      </c>
      <c r="P2176" s="4">
        <f>MAX(0,I2176-H2176)</f>
        <v/>
      </c>
      <c r="Q2176" s="4">
        <f>MAX(0,J2176-G2176)</f>
        <v/>
      </c>
      <c r="R2176" s="4">
        <f>IF(AND(N2176=1,O2176=1),"On Track",IF(O2176=0,"Customer Delivery Late","Ship Late"))</f>
        <v/>
      </c>
    </row>
    <row r="2177">
      <c r="A2177" s="2" t="inlineStr">
        <is>
          <t>ORD-02176</t>
        </is>
      </c>
      <c r="B2177" s="2" t="inlineStr">
        <is>
          <t>Customer 05</t>
        </is>
      </c>
      <c r="C2177" s="2" t="inlineStr">
        <is>
          <t>Drive</t>
        </is>
      </c>
      <c r="D2177" s="2" t="inlineStr">
        <is>
          <t>Plant B</t>
        </is>
      </c>
      <c r="E2177" s="2" t="inlineStr">
        <is>
          <t>North</t>
        </is>
      </c>
      <c r="F2177" s="12" t="n">
        <v>46134</v>
      </c>
      <c r="G2177" s="12" t="n">
        <v>46150</v>
      </c>
      <c r="H2177" s="12" t="n">
        <v>46147</v>
      </c>
      <c r="I2177" s="12" t="n">
        <v>46145</v>
      </c>
      <c r="J2177" s="12" t="n">
        <v>46148</v>
      </c>
      <c r="K2177" s="2" t="n">
        <v>931</v>
      </c>
      <c r="L2177" s="2" t="inlineStr">
        <is>
          <t>Air</t>
        </is>
      </c>
      <c r="M2177" s="2" t="inlineStr">
        <is>
          <t>No Delay</t>
        </is>
      </c>
      <c r="N2177" s="4">
        <f>IF(I2177&lt;=H2177,1,0)</f>
        <v/>
      </c>
      <c r="O2177" s="4">
        <f>IF(J2177&lt;=G2177,1,0)</f>
        <v/>
      </c>
      <c r="P2177" s="4">
        <f>MAX(0,I2177-H2177)</f>
        <v/>
      </c>
      <c r="Q2177" s="4">
        <f>MAX(0,J2177-G2177)</f>
        <v/>
      </c>
      <c r="R2177" s="4">
        <f>IF(AND(N2177=1,O2177=1),"On Track",IF(O2177=0,"Customer Delivery Late","Ship Late"))</f>
        <v/>
      </c>
    </row>
    <row r="2178">
      <c r="A2178" s="2" t="inlineStr">
        <is>
          <t>ORD-02177</t>
        </is>
      </c>
      <c r="B2178" s="2" t="inlineStr">
        <is>
          <t>Customer 30</t>
        </is>
      </c>
      <c r="C2178" s="2" t="inlineStr">
        <is>
          <t>Drive</t>
        </is>
      </c>
      <c r="D2178" s="2" t="inlineStr">
        <is>
          <t>Plant C</t>
        </is>
      </c>
      <c r="E2178" s="2" t="inlineStr">
        <is>
          <t>South</t>
        </is>
      </c>
      <c r="F2178" s="12" t="n">
        <v>46075</v>
      </c>
      <c r="G2178" s="12" t="n">
        <v>46090</v>
      </c>
      <c r="H2178" s="12" t="n">
        <v>46089</v>
      </c>
      <c r="I2178" s="12" t="n">
        <v>46088</v>
      </c>
      <c r="J2178" s="12" t="n">
        <v>46090</v>
      </c>
      <c r="K2178" s="2" t="n">
        <v>992</v>
      </c>
      <c r="L2178" s="2" t="inlineStr">
        <is>
          <t>Sea</t>
        </is>
      </c>
      <c r="M2178" s="2" t="inlineStr">
        <is>
          <t>No Delay</t>
        </is>
      </c>
      <c r="N2178" s="4">
        <f>IF(I2178&lt;=H2178,1,0)</f>
        <v/>
      </c>
      <c r="O2178" s="4">
        <f>IF(J2178&lt;=G2178,1,0)</f>
        <v/>
      </c>
      <c r="P2178" s="4">
        <f>MAX(0,I2178-H2178)</f>
        <v/>
      </c>
      <c r="Q2178" s="4">
        <f>MAX(0,J2178-G2178)</f>
        <v/>
      </c>
      <c r="R2178" s="4">
        <f>IF(AND(N2178=1,O2178=1),"On Track",IF(O2178=0,"Customer Delivery Late","Ship Late"))</f>
        <v/>
      </c>
    </row>
    <row r="2179">
      <c r="A2179" s="2" t="inlineStr">
        <is>
          <t>ORD-02178</t>
        </is>
      </c>
      <c r="B2179" s="2" t="inlineStr">
        <is>
          <t>Customer 11</t>
        </is>
      </c>
      <c r="C2179" s="2" t="inlineStr">
        <is>
          <t>Contactor</t>
        </is>
      </c>
      <c r="D2179" s="2" t="inlineStr">
        <is>
          <t>Plant B</t>
        </is>
      </c>
      <c r="E2179" s="2" t="inlineStr">
        <is>
          <t>Export</t>
        </is>
      </c>
      <c r="F2179" s="12" t="n">
        <v>46025</v>
      </c>
      <c r="G2179" s="12" t="n">
        <v>46037</v>
      </c>
      <c r="H2179" s="12" t="n">
        <v>46032</v>
      </c>
      <c r="I2179" s="12" t="n">
        <v>46032</v>
      </c>
      <c r="J2179" s="12" t="n">
        <v>46037</v>
      </c>
      <c r="K2179" s="2" t="n">
        <v>682</v>
      </c>
      <c r="L2179" s="2" t="inlineStr">
        <is>
          <t>Road</t>
        </is>
      </c>
      <c r="M2179" s="2" t="inlineStr">
        <is>
          <t>No Delay</t>
        </is>
      </c>
      <c r="N2179" s="4">
        <f>IF(I2179&lt;=H2179,1,0)</f>
        <v/>
      </c>
      <c r="O2179" s="4">
        <f>IF(J2179&lt;=G2179,1,0)</f>
        <v/>
      </c>
      <c r="P2179" s="4">
        <f>MAX(0,I2179-H2179)</f>
        <v/>
      </c>
      <c r="Q2179" s="4">
        <f>MAX(0,J2179-G2179)</f>
        <v/>
      </c>
      <c r="R2179" s="4">
        <f>IF(AND(N2179=1,O2179=1),"On Track",IF(O2179=0,"Customer Delivery Late","Ship Late"))</f>
        <v/>
      </c>
    </row>
    <row r="2180">
      <c r="A2180" s="2" t="inlineStr">
        <is>
          <t>ORD-02179</t>
        </is>
      </c>
      <c r="B2180" s="2" t="inlineStr">
        <is>
          <t>Customer 19</t>
        </is>
      </c>
      <c r="C2180" s="2" t="inlineStr">
        <is>
          <t>Drive</t>
        </is>
      </c>
      <c r="D2180" s="2" t="inlineStr">
        <is>
          <t>Plant B</t>
        </is>
      </c>
      <c r="E2180" s="2" t="inlineStr">
        <is>
          <t>Central</t>
        </is>
      </c>
      <c r="F2180" s="12" t="n">
        <v>46089</v>
      </c>
      <c r="G2180" s="12" t="n">
        <v>46108</v>
      </c>
      <c r="H2180" s="12" t="n">
        <v>46107</v>
      </c>
      <c r="I2180" s="12" t="n">
        <v>46107</v>
      </c>
      <c r="J2180" s="12" t="n">
        <v>46108</v>
      </c>
      <c r="K2180" s="2" t="n">
        <v>1137</v>
      </c>
      <c r="L2180" s="2" t="inlineStr">
        <is>
          <t>Sea</t>
        </is>
      </c>
      <c r="M2180" s="2" t="inlineStr">
        <is>
          <t>No Delay</t>
        </is>
      </c>
      <c r="N2180" s="4">
        <f>IF(I2180&lt;=H2180,1,0)</f>
        <v/>
      </c>
      <c r="O2180" s="4">
        <f>IF(J2180&lt;=G2180,1,0)</f>
        <v/>
      </c>
      <c r="P2180" s="4">
        <f>MAX(0,I2180-H2180)</f>
        <v/>
      </c>
      <c r="Q2180" s="4">
        <f>MAX(0,J2180-G2180)</f>
        <v/>
      </c>
      <c r="R2180" s="4">
        <f>IF(AND(N2180=1,O2180=1),"On Track",IF(O2180=0,"Customer Delivery Late","Ship Late"))</f>
        <v/>
      </c>
    </row>
    <row r="2181">
      <c r="A2181" s="2" t="inlineStr">
        <is>
          <t>ORD-02180</t>
        </is>
      </c>
      <c r="B2181" s="2" t="inlineStr">
        <is>
          <t>Customer 15</t>
        </is>
      </c>
      <c r="C2181" s="2" t="inlineStr">
        <is>
          <t>Sensor</t>
        </is>
      </c>
      <c r="D2181" s="2" t="inlineStr">
        <is>
          <t>Plant B</t>
        </is>
      </c>
      <c r="E2181" s="2" t="inlineStr">
        <is>
          <t>North</t>
        </is>
      </c>
      <c r="F2181" s="12" t="n">
        <v>46139</v>
      </c>
      <c r="G2181" s="12" t="n">
        <v>46150</v>
      </c>
      <c r="H2181" s="12" t="n">
        <v>46147</v>
      </c>
      <c r="I2181" s="12" t="n">
        <v>46154</v>
      </c>
      <c r="J2181" s="12" t="n">
        <v>46158</v>
      </c>
      <c r="K2181" s="2" t="n">
        <v>846</v>
      </c>
      <c r="L2181" s="2" t="inlineStr">
        <is>
          <t>Sea</t>
        </is>
      </c>
      <c r="M2181" s="2" t="inlineStr">
        <is>
          <t>Documentation Issue</t>
        </is>
      </c>
      <c r="N2181" s="4">
        <f>IF(I2181&lt;=H2181,1,0)</f>
        <v/>
      </c>
      <c r="O2181" s="4">
        <f>IF(J2181&lt;=G2181,1,0)</f>
        <v/>
      </c>
      <c r="P2181" s="4">
        <f>MAX(0,I2181-H2181)</f>
        <v/>
      </c>
      <c r="Q2181" s="4">
        <f>MAX(0,J2181-G2181)</f>
        <v/>
      </c>
      <c r="R2181" s="4">
        <f>IF(AND(N2181=1,O2181=1),"On Track",IF(O2181=0,"Customer Delivery Late","Ship Late"))</f>
        <v/>
      </c>
    </row>
    <row r="2182">
      <c r="A2182" s="2" t="inlineStr">
        <is>
          <t>ORD-02181</t>
        </is>
      </c>
      <c r="B2182" s="2" t="inlineStr">
        <is>
          <t>Customer 20</t>
        </is>
      </c>
      <c r="C2182" s="2" t="inlineStr">
        <is>
          <t>Switchgear</t>
        </is>
      </c>
      <c r="D2182" s="2" t="inlineStr">
        <is>
          <t>Plant A</t>
        </is>
      </c>
      <c r="E2182" s="2" t="inlineStr">
        <is>
          <t>North</t>
        </is>
      </c>
      <c r="F2182" s="12" t="n">
        <v>46050</v>
      </c>
      <c r="G2182" s="12" t="n">
        <v>46069</v>
      </c>
      <c r="H2182" s="12" t="n">
        <v>46068</v>
      </c>
      <c r="I2182" s="12" t="n">
        <v>46067</v>
      </c>
      <c r="J2182" s="12" t="n">
        <v>46068</v>
      </c>
      <c r="K2182" s="2" t="n">
        <v>63</v>
      </c>
      <c r="L2182" s="2" t="inlineStr">
        <is>
          <t>Road</t>
        </is>
      </c>
      <c r="M2182" s="2" t="inlineStr">
        <is>
          <t>No Delay</t>
        </is>
      </c>
      <c r="N2182" s="4">
        <f>IF(I2182&lt;=H2182,1,0)</f>
        <v/>
      </c>
      <c r="O2182" s="4">
        <f>IF(J2182&lt;=G2182,1,0)</f>
        <v/>
      </c>
      <c r="P2182" s="4">
        <f>MAX(0,I2182-H2182)</f>
        <v/>
      </c>
      <c r="Q2182" s="4">
        <f>MAX(0,J2182-G2182)</f>
        <v/>
      </c>
      <c r="R2182" s="4">
        <f>IF(AND(N2182=1,O2182=1),"On Track",IF(O2182=0,"Customer Delivery Late","Ship Late"))</f>
        <v/>
      </c>
    </row>
    <row r="2183">
      <c r="A2183" s="2" t="inlineStr">
        <is>
          <t>ORD-02182</t>
        </is>
      </c>
      <c r="B2183" s="2" t="inlineStr">
        <is>
          <t>Customer 24</t>
        </is>
      </c>
      <c r="C2183" s="2" t="inlineStr">
        <is>
          <t>Drive</t>
        </is>
      </c>
      <c r="D2183" s="2" t="inlineStr">
        <is>
          <t>Plant A</t>
        </is>
      </c>
      <c r="E2183" s="2" t="inlineStr">
        <is>
          <t>South</t>
        </is>
      </c>
      <c r="F2183" s="12" t="n">
        <v>46157</v>
      </c>
      <c r="G2183" s="12" t="n">
        <v>46170</v>
      </c>
      <c r="H2183" s="12" t="n">
        <v>46166</v>
      </c>
      <c r="I2183" s="12" t="n">
        <v>46165</v>
      </c>
      <c r="J2183" s="12" t="n">
        <v>46169</v>
      </c>
      <c r="K2183" s="2" t="n">
        <v>166</v>
      </c>
      <c r="L2183" s="2" t="inlineStr">
        <is>
          <t>Sea</t>
        </is>
      </c>
      <c r="M2183" s="2" t="inlineStr">
        <is>
          <t>No Delay</t>
        </is>
      </c>
      <c r="N2183" s="4">
        <f>IF(I2183&lt;=H2183,1,0)</f>
        <v/>
      </c>
      <c r="O2183" s="4">
        <f>IF(J2183&lt;=G2183,1,0)</f>
        <v/>
      </c>
      <c r="P2183" s="4">
        <f>MAX(0,I2183-H2183)</f>
        <v/>
      </c>
      <c r="Q2183" s="4">
        <f>MAX(0,J2183-G2183)</f>
        <v/>
      </c>
      <c r="R2183" s="4">
        <f>IF(AND(N2183=1,O2183=1),"On Track",IF(O2183=0,"Customer Delivery Late","Ship Late"))</f>
        <v/>
      </c>
    </row>
    <row r="2184">
      <c r="A2184" s="2" t="inlineStr">
        <is>
          <t>ORD-02183</t>
        </is>
      </c>
      <c r="B2184" s="2" t="inlineStr">
        <is>
          <t>Customer 29</t>
        </is>
      </c>
      <c r="C2184" s="2" t="inlineStr">
        <is>
          <t>Relay</t>
        </is>
      </c>
      <c r="D2184" s="2" t="inlineStr">
        <is>
          <t>Plant A</t>
        </is>
      </c>
      <c r="E2184" s="2" t="inlineStr">
        <is>
          <t>South</t>
        </is>
      </c>
      <c r="F2184" s="12" t="n">
        <v>46152</v>
      </c>
      <c r="G2184" s="12" t="n">
        <v>46170</v>
      </c>
      <c r="H2184" s="12" t="n">
        <v>46169</v>
      </c>
      <c r="I2184" s="12" t="n">
        <v>46168</v>
      </c>
      <c r="J2184" s="12" t="n">
        <v>46169</v>
      </c>
      <c r="K2184" s="2" t="n">
        <v>1431</v>
      </c>
      <c r="L2184" s="2" t="inlineStr">
        <is>
          <t>Road</t>
        </is>
      </c>
      <c r="M2184" s="2" t="inlineStr">
        <is>
          <t>No Delay</t>
        </is>
      </c>
      <c r="N2184" s="4">
        <f>IF(I2184&lt;=H2184,1,0)</f>
        <v/>
      </c>
      <c r="O2184" s="4">
        <f>IF(J2184&lt;=G2184,1,0)</f>
        <v/>
      </c>
      <c r="P2184" s="4">
        <f>MAX(0,I2184-H2184)</f>
        <v/>
      </c>
      <c r="Q2184" s="4">
        <f>MAX(0,J2184-G2184)</f>
        <v/>
      </c>
      <c r="R2184" s="4">
        <f>IF(AND(N2184=1,O2184=1),"On Track",IF(O2184=0,"Customer Delivery Late","Ship Late"))</f>
        <v/>
      </c>
    </row>
    <row r="2185">
      <c r="A2185" s="2" t="inlineStr">
        <is>
          <t>ORD-02184</t>
        </is>
      </c>
      <c r="B2185" s="2" t="inlineStr">
        <is>
          <t>Customer 30</t>
        </is>
      </c>
      <c r="C2185" s="2" t="inlineStr">
        <is>
          <t>Breaker</t>
        </is>
      </c>
      <c r="D2185" s="2" t="inlineStr">
        <is>
          <t>Plant C</t>
        </is>
      </c>
      <c r="E2185" s="2" t="inlineStr">
        <is>
          <t>South</t>
        </is>
      </c>
      <c r="F2185" s="12" t="n">
        <v>46117</v>
      </c>
      <c r="G2185" s="12" t="n">
        <v>46141</v>
      </c>
      <c r="H2185" s="12" t="n">
        <v>46137</v>
      </c>
      <c r="I2185" s="12" t="n">
        <v>46136</v>
      </c>
      <c r="J2185" s="12" t="n">
        <v>46140</v>
      </c>
      <c r="K2185" s="2" t="n">
        <v>847</v>
      </c>
      <c r="L2185" s="2" t="inlineStr">
        <is>
          <t>Air</t>
        </is>
      </c>
      <c r="M2185" s="2" t="inlineStr">
        <is>
          <t>No Delay</t>
        </is>
      </c>
      <c r="N2185" s="4">
        <f>IF(I2185&lt;=H2185,1,0)</f>
        <v/>
      </c>
      <c r="O2185" s="4">
        <f>IF(J2185&lt;=G2185,1,0)</f>
        <v/>
      </c>
      <c r="P2185" s="4">
        <f>MAX(0,I2185-H2185)</f>
        <v/>
      </c>
      <c r="Q2185" s="4">
        <f>MAX(0,J2185-G2185)</f>
        <v/>
      </c>
      <c r="R2185" s="4">
        <f>IF(AND(N2185=1,O2185=1),"On Track",IF(O2185=0,"Customer Delivery Late","Ship Late"))</f>
        <v/>
      </c>
    </row>
    <row r="2186">
      <c r="A2186" s="2" t="inlineStr">
        <is>
          <t>ORD-02185</t>
        </is>
      </c>
      <c r="B2186" s="2" t="inlineStr">
        <is>
          <t>Customer 26</t>
        </is>
      </c>
      <c r="C2186" s="2" t="inlineStr">
        <is>
          <t>Power Supply</t>
        </is>
      </c>
      <c r="D2186" s="2" t="inlineStr">
        <is>
          <t>Plant A</t>
        </is>
      </c>
      <c r="E2186" s="2" t="inlineStr">
        <is>
          <t>Export</t>
        </is>
      </c>
      <c r="F2186" s="12" t="n">
        <v>46170</v>
      </c>
      <c r="G2186" s="12" t="n">
        <v>46182</v>
      </c>
      <c r="H2186" s="12" t="n">
        <v>46178</v>
      </c>
      <c r="I2186" s="12" t="n">
        <v>46176</v>
      </c>
      <c r="J2186" s="12" t="n">
        <v>46180</v>
      </c>
      <c r="K2186" s="2" t="n">
        <v>1449</v>
      </c>
      <c r="L2186" s="2" t="inlineStr">
        <is>
          <t>Sea</t>
        </is>
      </c>
      <c r="M2186" s="2" t="inlineStr">
        <is>
          <t>No Delay</t>
        </is>
      </c>
      <c r="N2186" s="4">
        <f>IF(I2186&lt;=H2186,1,0)</f>
        <v/>
      </c>
      <c r="O2186" s="4">
        <f>IF(J2186&lt;=G2186,1,0)</f>
        <v/>
      </c>
      <c r="P2186" s="4">
        <f>MAX(0,I2186-H2186)</f>
        <v/>
      </c>
      <c r="Q2186" s="4">
        <f>MAX(0,J2186-G2186)</f>
        <v/>
      </c>
      <c r="R2186" s="4">
        <f>IF(AND(N2186=1,O2186=1),"On Track",IF(O2186=0,"Customer Delivery Late","Ship Late"))</f>
        <v/>
      </c>
    </row>
    <row r="2187">
      <c r="A2187" s="2" t="inlineStr">
        <is>
          <t>ORD-02186</t>
        </is>
      </c>
      <c r="B2187" s="2" t="inlineStr">
        <is>
          <t>Customer 11</t>
        </is>
      </c>
      <c r="C2187" s="2" t="inlineStr">
        <is>
          <t>Breaker</t>
        </is>
      </c>
      <c r="D2187" s="2" t="inlineStr">
        <is>
          <t>Plant C</t>
        </is>
      </c>
      <c r="E2187" s="2" t="inlineStr">
        <is>
          <t>Central</t>
        </is>
      </c>
      <c r="F2187" s="12" t="n">
        <v>46173</v>
      </c>
      <c r="G2187" s="12" t="n">
        <v>46183</v>
      </c>
      <c r="H2187" s="12" t="n">
        <v>46180</v>
      </c>
      <c r="I2187" s="12" t="n">
        <v>46178</v>
      </c>
      <c r="J2187" s="12" t="n">
        <v>46180</v>
      </c>
      <c r="K2187" s="2" t="n">
        <v>1113</v>
      </c>
      <c r="L2187" s="2" t="inlineStr">
        <is>
          <t>Air</t>
        </is>
      </c>
      <c r="M2187" s="2" t="inlineStr">
        <is>
          <t>No Delay</t>
        </is>
      </c>
      <c r="N2187" s="4">
        <f>IF(I2187&lt;=H2187,1,0)</f>
        <v/>
      </c>
      <c r="O2187" s="4">
        <f>IF(J2187&lt;=G2187,1,0)</f>
        <v/>
      </c>
      <c r="P2187" s="4">
        <f>MAX(0,I2187-H2187)</f>
        <v/>
      </c>
      <c r="Q2187" s="4">
        <f>MAX(0,J2187-G2187)</f>
        <v/>
      </c>
      <c r="R2187" s="4">
        <f>IF(AND(N2187=1,O2187=1),"On Track",IF(O2187=0,"Customer Delivery Late","Ship Late"))</f>
        <v/>
      </c>
    </row>
    <row r="2188">
      <c r="A2188" s="2" t="inlineStr">
        <is>
          <t>ORD-02187</t>
        </is>
      </c>
      <c r="B2188" s="2" t="inlineStr">
        <is>
          <t>Customer 03</t>
        </is>
      </c>
      <c r="C2188" s="2" t="inlineStr">
        <is>
          <t>Power Supply</t>
        </is>
      </c>
      <c r="D2188" s="2" t="inlineStr">
        <is>
          <t>Plant A</t>
        </is>
      </c>
      <c r="E2188" s="2" t="inlineStr">
        <is>
          <t>South</t>
        </is>
      </c>
      <c r="F2188" s="12" t="n">
        <v>46203</v>
      </c>
      <c r="G2188" s="12" t="n">
        <v>46223</v>
      </c>
      <c r="H2188" s="12" t="n">
        <v>46219</v>
      </c>
      <c r="I2188" s="12" t="n">
        <v>46218</v>
      </c>
      <c r="J2188" s="12" t="n">
        <v>46223</v>
      </c>
      <c r="K2188" s="2" t="n">
        <v>1183</v>
      </c>
      <c r="L2188" s="2" t="inlineStr">
        <is>
          <t>Road</t>
        </is>
      </c>
      <c r="M2188" s="2" t="inlineStr">
        <is>
          <t>No Delay</t>
        </is>
      </c>
      <c r="N2188" s="4">
        <f>IF(I2188&lt;=H2188,1,0)</f>
        <v/>
      </c>
      <c r="O2188" s="4">
        <f>IF(J2188&lt;=G2188,1,0)</f>
        <v/>
      </c>
      <c r="P2188" s="4">
        <f>MAX(0,I2188-H2188)</f>
        <v/>
      </c>
      <c r="Q2188" s="4">
        <f>MAX(0,J2188-G2188)</f>
        <v/>
      </c>
      <c r="R2188" s="4">
        <f>IF(AND(N2188=1,O2188=1),"On Track",IF(O2188=0,"Customer Delivery Late","Ship Late"))</f>
        <v/>
      </c>
    </row>
    <row r="2189">
      <c r="A2189" s="2" t="inlineStr">
        <is>
          <t>ORD-02188</t>
        </is>
      </c>
      <c r="B2189" s="2" t="inlineStr">
        <is>
          <t>Customer 01</t>
        </is>
      </c>
      <c r="C2189" s="2" t="inlineStr">
        <is>
          <t>Contactor</t>
        </is>
      </c>
      <c r="D2189" s="2" t="inlineStr">
        <is>
          <t>Plant A</t>
        </is>
      </c>
      <c r="E2189" s="2" t="inlineStr">
        <is>
          <t>North</t>
        </is>
      </c>
      <c r="F2189" s="12" t="n">
        <v>46127</v>
      </c>
      <c r="G2189" s="12" t="n">
        <v>46149</v>
      </c>
      <c r="H2189" s="12" t="n">
        <v>46148</v>
      </c>
      <c r="I2189" s="12" t="n">
        <v>46146</v>
      </c>
      <c r="J2189" s="12" t="n">
        <v>46148</v>
      </c>
      <c r="K2189" s="2" t="n">
        <v>299</v>
      </c>
      <c r="L2189" s="2" t="inlineStr">
        <is>
          <t>Air</t>
        </is>
      </c>
      <c r="M2189" s="2" t="inlineStr">
        <is>
          <t>No Delay</t>
        </is>
      </c>
      <c r="N2189" s="4">
        <f>IF(I2189&lt;=H2189,1,0)</f>
        <v/>
      </c>
      <c r="O2189" s="4">
        <f>IF(J2189&lt;=G2189,1,0)</f>
        <v/>
      </c>
      <c r="P2189" s="4">
        <f>MAX(0,I2189-H2189)</f>
        <v/>
      </c>
      <c r="Q2189" s="4">
        <f>MAX(0,J2189-G2189)</f>
        <v/>
      </c>
      <c r="R2189" s="4">
        <f>IF(AND(N2189=1,O2189=1),"On Track",IF(O2189=0,"Customer Delivery Late","Ship Late"))</f>
        <v/>
      </c>
    </row>
    <row r="2190">
      <c r="A2190" s="2" t="inlineStr">
        <is>
          <t>ORD-02189</t>
        </is>
      </c>
      <c r="B2190" s="2" t="inlineStr">
        <is>
          <t>Customer 21</t>
        </is>
      </c>
      <c r="C2190" s="2" t="inlineStr">
        <is>
          <t>Drive</t>
        </is>
      </c>
      <c r="D2190" s="2" t="inlineStr">
        <is>
          <t>Plant A</t>
        </is>
      </c>
      <c r="E2190" s="2" t="inlineStr">
        <is>
          <t>Export</t>
        </is>
      </c>
      <c r="F2190" s="12" t="n">
        <v>46163</v>
      </c>
      <c r="G2190" s="12" t="n">
        <v>46186</v>
      </c>
      <c r="H2190" s="12" t="n">
        <v>46182</v>
      </c>
      <c r="I2190" s="12" t="n">
        <v>46180</v>
      </c>
      <c r="J2190" s="12" t="n">
        <v>46183</v>
      </c>
      <c r="K2190" s="2" t="n">
        <v>951</v>
      </c>
      <c r="L2190" s="2" t="inlineStr">
        <is>
          <t>Air</t>
        </is>
      </c>
      <c r="M2190" s="2" t="inlineStr">
        <is>
          <t>No Delay</t>
        </is>
      </c>
      <c r="N2190" s="4">
        <f>IF(I2190&lt;=H2190,1,0)</f>
        <v/>
      </c>
      <c r="O2190" s="4">
        <f>IF(J2190&lt;=G2190,1,0)</f>
        <v/>
      </c>
      <c r="P2190" s="4">
        <f>MAX(0,I2190-H2190)</f>
        <v/>
      </c>
      <c r="Q2190" s="4">
        <f>MAX(0,J2190-G2190)</f>
        <v/>
      </c>
      <c r="R2190" s="4">
        <f>IF(AND(N2190=1,O2190=1),"On Track",IF(O2190=0,"Customer Delivery Late","Ship Late"))</f>
        <v/>
      </c>
    </row>
    <row r="2191">
      <c r="A2191" s="2" t="inlineStr">
        <is>
          <t>ORD-02190</t>
        </is>
      </c>
      <c r="B2191" s="2" t="inlineStr">
        <is>
          <t>Customer 02</t>
        </is>
      </c>
      <c r="C2191" s="2" t="inlineStr">
        <is>
          <t>PLC</t>
        </is>
      </c>
      <c r="D2191" s="2" t="inlineStr">
        <is>
          <t>Plant C</t>
        </is>
      </c>
      <c r="E2191" s="2" t="inlineStr">
        <is>
          <t>Export</t>
        </is>
      </c>
      <c r="F2191" s="12" t="n">
        <v>46157</v>
      </c>
      <c r="G2191" s="12" t="n">
        <v>46174</v>
      </c>
      <c r="H2191" s="12" t="n">
        <v>46170</v>
      </c>
      <c r="I2191" s="12" t="n">
        <v>46168</v>
      </c>
      <c r="J2191" s="12" t="n">
        <v>46172</v>
      </c>
      <c r="K2191" s="2" t="n">
        <v>451</v>
      </c>
      <c r="L2191" s="2" t="inlineStr">
        <is>
          <t>Air</t>
        </is>
      </c>
      <c r="M2191" s="2" t="inlineStr">
        <is>
          <t>No Delay</t>
        </is>
      </c>
      <c r="N2191" s="4">
        <f>IF(I2191&lt;=H2191,1,0)</f>
        <v/>
      </c>
      <c r="O2191" s="4">
        <f>IF(J2191&lt;=G2191,1,0)</f>
        <v/>
      </c>
      <c r="P2191" s="4">
        <f>MAX(0,I2191-H2191)</f>
        <v/>
      </c>
      <c r="Q2191" s="4">
        <f>MAX(0,J2191-G2191)</f>
        <v/>
      </c>
      <c r="R2191" s="4">
        <f>IF(AND(N2191=1,O2191=1),"On Track",IF(O2191=0,"Customer Delivery Late","Ship Late"))</f>
        <v/>
      </c>
    </row>
    <row r="2192">
      <c r="A2192" s="2" t="inlineStr">
        <is>
          <t>ORD-02191</t>
        </is>
      </c>
      <c r="B2192" s="2" t="inlineStr">
        <is>
          <t>Customer 13</t>
        </is>
      </c>
      <c r="C2192" s="2" t="inlineStr">
        <is>
          <t>PLC</t>
        </is>
      </c>
      <c r="D2192" s="2" t="inlineStr">
        <is>
          <t>Plant A</t>
        </is>
      </c>
      <c r="E2192" s="2" t="inlineStr">
        <is>
          <t>North</t>
        </is>
      </c>
      <c r="F2192" s="12" t="n">
        <v>46100</v>
      </c>
      <c r="G2192" s="12" t="n">
        <v>46114</v>
      </c>
      <c r="H2192" s="12" t="n">
        <v>46112</v>
      </c>
      <c r="I2192" s="12" t="n">
        <v>46111</v>
      </c>
      <c r="J2192" s="12" t="n">
        <v>46114</v>
      </c>
      <c r="K2192" s="2" t="n">
        <v>1110</v>
      </c>
      <c r="L2192" s="2" t="inlineStr">
        <is>
          <t>Road</t>
        </is>
      </c>
      <c r="M2192" s="2" t="inlineStr">
        <is>
          <t>No Delay</t>
        </is>
      </c>
      <c r="N2192" s="4">
        <f>IF(I2192&lt;=H2192,1,0)</f>
        <v/>
      </c>
      <c r="O2192" s="4">
        <f>IF(J2192&lt;=G2192,1,0)</f>
        <v/>
      </c>
      <c r="P2192" s="4">
        <f>MAX(0,I2192-H2192)</f>
        <v/>
      </c>
      <c r="Q2192" s="4">
        <f>MAX(0,J2192-G2192)</f>
        <v/>
      </c>
      <c r="R2192" s="4">
        <f>IF(AND(N2192=1,O2192=1),"On Track",IF(O2192=0,"Customer Delivery Late","Ship Late"))</f>
        <v/>
      </c>
    </row>
    <row r="2193">
      <c r="A2193" s="2" t="inlineStr">
        <is>
          <t>ORD-02192</t>
        </is>
      </c>
      <c r="B2193" s="2" t="inlineStr">
        <is>
          <t>Customer 27</t>
        </is>
      </c>
      <c r="C2193" s="2" t="inlineStr">
        <is>
          <t>Breaker</t>
        </is>
      </c>
      <c r="D2193" s="2" t="inlineStr">
        <is>
          <t>Plant B</t>
        </is>
      </c>
      <c r="E2193" s="2" t="inlineStr">
        <is>
          <t>Central</t>
        </is>
      </c>
      <c r="F2193" s="12" t="n">
        <v>46195</v>
      </c>
      <c r="G2193" s="12" t="n">
        <v>46204</v>
      </c>
      <c r="H2193" s="12" t="n">
        <v>46202</v>
      </c>
      <c r="I2193" s="12" t="n">
        <v>46201</v>
      </c>
      <c r="J2193" s="12" t="n">
        <v>46202</v>
      </c>
      <c r="K2193" s="2" t="n">
        <v>264</v>
      </c>
      <c r="L2193" s="2" t="inlineStr">
        <is>
          <t>Air</t>
        </is>
      </c>
      <c r="M2193" s="2" t="inlineStr">
        <is>
          <t>No Delay</t>
        </is>
      </c>
      <c r="N2193" s="4">
        <f>IF(I2193&lt;=H2193,1,0)</f>
        <v/>
      </c>
      <c r="O2193" s="4">
        <f>IF(J2193&lt;=G2193,1,0)</f>
        <v/>
      </c>
      <c r="P2193" s="4">
        <f>MAX(0,I2193-H2193)</f>
        <v/>
      </c>
      <c r="Q2193" s="4">
        <f>MAX(0,J2193-G2193)</f>
        <v/>
      </c>
      <c r="R2193" s="4">
        <f>IF(AND(N2193=1,O2193=1),"On Track",IF(O2193=0,"Customer Delivery Late","Ship Late"))</f>
        <v/>
      </c>
    </row>
    <row r="2194">
      <c r="A2194" s="2" t="inlineStr">
        <is>
          <t>ORD-02193</t>
        </is>
      </c>
      <c r="B2194" s="2" t="inlineStr">
        <is>
          <t>Customer 13</t>
        </is>
      </c>
      <c r="C2194" s="2" t="inlineStr">
        <is>
          <t>PLC</t>
        </is>
      </c>
      <c r="D2194" s="2" t="inlineStr">
        <is>
          <t>Plant B</t>
        </is>
      </c>
      <c r="E2194" s="2" t="inlineStr">
        <is>
          <t>Export</t>
        </is>
      </c>
      <c r="F2194" s="12" t="n">
        <v>46100</v>
      </c>
      <c r="G2194" s="12" t="n">
        <v>46113</v>
      </c>
      <c r="H2194" s="12" t="n">
        <v>46110</v>
      </c>
      <c r="I2194" s="12" t="n">
        <v>46109</v>
      </c>
      <c r="J2194" s="12" t="n">
        <v>46112</v>
      </c>
      <c r="K2194" s="2" t="n">
        <v>1112</v>
      </c>
      <c r="L2194" s="2" t="inlineStr">
        <is>
          <t>Air</t>
        </is>
      </c>
      <c r="M2194" s="2" t="inlineStr">
        <is>
          <t>No Delay</t>
        </is>
      </c>
      <c r="N2194" s="4">
        <f>IF(I2194&lt;=H2194,1,0)</f>
        <v/>
      </c>
      <c r="O2194" s="4">
        <f>IF(J2194&lt;=G2194,1,0)</f>
        <v/>
      </c>
      <c r="P2194" s="4">
        <f>MAX(0,I2194-H2194)</f>
        <v/>
      </c>
      <c r="Q2194" s="4">
        <f>MAX(0,J2194-G2194)</f>
        <v/>
      </c>
      <c r="R2194" s="4">
        <f>IF(AND(N2194=1,O2194=1),"On Track",IF(O2194=0,"Customer Delivery Late","Ship Late"))</f>
        <v/>
      </c>
    </row>
    <row r="2195">
      <c r="A2195" s="2" t="inlineStr">
        <is>
          <t>ORD-02194</t>
        </is>
      </c>
      <c r="B2195" s="2" t="inlineStr">
        <is>
          <t>Customer 16</t>
        </is>
      </c>
      <c r="C2195" s="2" t="inlineStr">
        <is>
          <t>Drive</t>
        </is>
      </c>
      <c r="D2195" s="2" t="inlineStr">
        <is>
          <t>Plant C</t>
        </is>
      </c>
      <c r="E2195" s="2" t="inlineStr">
        <is>
          <t>South</t>
        </is>
      </c>
      <c r="F2195" s="12" t="n">
        <v>46201</v>
      </c>
      <c r="G2195" s="12" t="n">
        <v>46207</v>
      </c>
      <c r="H2195" s="12" t="n">
        <v>46202</v>
      </c>
      <c r="I2195" s="12" t="n">
        <v>46202</v>
      </c>
      <c r="J2195" s="12" t="n">
        <v>46207</v>
      </c>
      <c r="K2195" s="2" t="n">
        <v>1411</v>
      </c>
      <c r="L2195" s="2" t="inlineStr">
        <is>
          <t>Air</t>
        </is>
      </c>
      <c r="M2195" s="2" t="inlineStr">
        <is>
          <t>No Delay</t>
        </is>
      </c>
      <c r="N2195" s="4">
        <f>IF(I2195&lt;=H2195,1,0)</f>
        <v/>
      </c>
      <c r="O2195" s="4">
        <f>IF(J2195&lt;=G2195,1,0)</f>
        <v/>
      </c>
      <c r="P2195" s="4">
        <f>MAX(0,I2195-H2195)</f>
        <v/>
      </c>
      <c r="Q2195" s="4">
        <f>MAX(0,J2195-G2195)</f>
        <v/>
      </c>
      <c r="R2195" s="4">
        <f>IF(AND(N2195=1,O2195=1),"On Track",IF(O2195=0,"Customer Delivery Late","Ship Late"))</f>
        <v/>
      </c>
    </row>
    <row r="2196">
      <c r="A2196" s="2" t="inlineStr">
        <is>
          <t>ORD-02195</t>
        </is>
      </c>
      <c r="B2196" s="2" t="inlineStr">
        <is>
          <t>Customer 28</t>
        </is>
      </c>
      <c r="C2196" s="2" t="inlineStr">
        <is>
          <t>PLC</t>
        </is>
      </c>
      <c r="D2196" s="2" t="inlineStr">
        <is>
          <t>Plant B</t>
        </is>
      </c>
      <c r="E2196" s="2" t="inlineStr">
        <is>
          <t>Export</t>
        </is>
      </c>
      <c r="F2196" s="12" t="n">
        <v>46189</v>
      </c>
      <c r="G2196" s="12" t="n">
        <v>46201</v>
      </c>
      <c r="H2196" s="12" t="n">
        <v>46198</v>
      </c>
      <c r="I2196" s="12" t="n">
        <v>46198</v>
      </c>
      <c r="J2196" s="12" t="n">
        <v>46201</v>
      </c>
      <c r="K2196" s="2" t="n">
        <v>529</v>
      </c>
      <c r="L2196" s="2" t="inlineStr">
        <is>
          <t>Road</t>
        </is>
      </c>
      <c r="M2196" s="2" t="inlineStr">
        <is>
          <t>No Delay</t>
        </is>
      </c>
      <c r="N2196" s="4">
        <f>IF(I2196&lt;=H2196,1,0)</f>
        <v/>
      </c>
      <c r="O2196" s="4">
        <f>IF(J2196&lt;=G2196,1,0)</f>
        <v/>
      </c>
      <c r="P2196" s="4">
        <f>MAX(0,I2196-H2196)</f>
        <v/>
      </c>
      <c r="Q2196" s="4">
        <f>MAX(0,J2196-G2196)</f>
        <v/>
      </c>
      <c r="R2196" s="4">
        <f>IF(AND(N2196=1,O2196=1),"On Track",IF(O2196=0,"Customer Delivery Late","Ship Late"))</f>
        <v/>
      </c>
    </row>
    <row r="2197">
      <c r="A2197" s="2" t="inlineStr">
        <is>
          <t>ORD-02196</t>
        </is>
      </c>
      <c r="B2197" s="2" t="inlineStr">
        <is>
          <t>Customer 28</t>
        </is>
      </c>
      <c r="C2197" s="2" t="inlineStr">
        <is>
          <t>Relay</t>
        </is>
      </c>
      <c r="D2197" s="2" t="inlineStr">
        <is>
          <t>Plant A</t>
        </is>
      </c>
      <c r="E2197" s="2" t="inlineStr">
        <is>
          <t>Export</t>
        </is>
      </c>
      <c r="F2197" s="12" t="n">
        <v>46084</v>
      </c>
      <c r="G2197" s="12" t="n">
        <v>46104</v>
      </c>
      <c r="H2197" s="12" t="n">
        <v>46100</v>
      </c>
      <c r="I2197" s="12" t="n">
        <v>46100</v>
      </c>
      <c r="J2197" s="12" t="n">
        <v>46104</v>
      </c>
      <c r="K2197" s="2" t="n">
        <v>872</v>
      </c>
      <c r="L2197" s="2" t="inlineStr">
        <is>
          <t>Air</t>
        </is>
      </c>
      <c r="M2197" s="2" t="inlineStr">
        <is>
          <t>No Delay</t>
        </is>
      </c>
      <c r="N2197" s="4">
        <f>IF(I2197&lt;=H2197,1,0)</f>
        <v/>
      </c>
      <c r="O2197" s="4">
        <f>IF(J2197&lt;=G2197,1,0)</f>
        <v/>
      </c>
      <c r="P2197" s="4">
        <f>MAX(0,I2197-H2197)</f>
        <v/>
      </c>
      <c r="Q2197" s="4">
        <f>MAX(0,J2197-G2197)</f>
        <v/>
      </c>
      <c r="R2197" s="4">
        <f>IF(AND(N2197=1,O2197=1),"On Track",IF(O2197=0,"Customer Delivery Late","Ship Late"))</f>
        <v/>
      </c>
    </row>
    <row r="2198">
      <c r="A2198" s="2" t="inlineStr">
        <is>
          <t>ORD-02197</t>
        </is>
      </c>
      <c r="B2198" s="2" t="inlineStr">
        <is>
          <t>Customer 11</t>
        </is>
      </c>
      <c r="C2198" s="2" t="inlineStr">
        <is>
          <t>Switchgear</t>
        </is>
      </c>
      <c r="D2198" s="2" t="inlineStr">
        <is>
          <t>Plant A</t>
        </is>
      </c>
      <c r="E2198" s="2" t="inlineStr">
        <is>
          <t>Central</t>
        </is>
      </c>
      <c r="F2198" s="12" t="n">
        <v>46113</v>
      </c>
      <c r="G2198" s="12" t="n">
        <v>46120</v>
      </c>
      <c r="H2198" s="12" t="n">
        <v>46117</v>
      </c>
      <c r="I2198" s="12" t="n">
        <v>46116</v>
      </c>
      <c r="J2198" s="12" t="n">
        <v>46119</v>
      </c>
      <c r="K2198" s="2" t="n">
        <v>131</v>
      </c>
      <c r="L2198" s="2" t="inlineStr">
        <is>
          <t>Sea</t>
        </is>
      </c>
      <c r="M2198" s="2" t="inlineStr">
        <is>
          <t>No Delay</t>
        </is>
      </c>
      <c r="N2198" s="4">
        <f>IF(I2198&lt;=H2198,1,0)</f>
        <v/>
      </c>
      <c r="O2198" s="4">
        <f>IF(J2198&lt;=G2198,1,0)</f>
        <v/>
      </c>
      <c r="P2198" s="4">
        <f>MAX(0,I2198-H2198)</f>
        <v/>
      </c>
      <c r="Q2198" s="4">
        <f>MAX(0,J2198-G2198)</f>
        <v/>
      </c>
      <c r="R2198" s="4">
        <f>IF(AND(N2198=1,O2198=1),"On Track",IF(O2198=0,"Customer Delivery Late","Ship Late"))</f>
        <v/>
      </c>
    </row>
    <row r="2199">
      <c r="A2199" s="2" t="inlineStr">
        <is>
          <t>ORD-02198</t>
        </is>
      </c>
      <c r="B2199" s="2" t="inlineStr">
        <is>
          <t>Customer 12</t>
        </is>
      </c>
      <c r="C2199" s="2" t="inlineStr">
        <is>
          <t>Power Supply</t>
        </is>
      </c>
      <c r="D2199" s="2" t="inlineStr">
        <is>
          <t>Plant B</t>
        </is>
      </c>
      <c r="E2199" s="2" t="inlineStr">
        <is>
          <t>Central</t>
        </is>
      </c>
      <c r="F2199" s="12" t="n">
        <v>46173</v>
      </c>
      <c r="G2199" s="12" t="n">
        <v>46179</v>
      </c>
      <c r="H2199" s="12" t="n">
        <v>46178</v>
      </c>
      <c r="I2199" s="12" t="n">
        <v>46176</v>
      </c>
      <c r="J2199" s="12" t="n">
        <v>46177</v>
      </c>
      <c r="K2199" s="2" t="n">
        <v>505</v>
      </c>
      <c r="L2199" s="2" t="inlineStr">
        <is>
          <t>Sea</t>
        </is>
      </c>
      <c r="M2199" s="2" t="inlineStr">
        <is>
          <t>No Delay</t>
        </is>
      </c>
      <c r="N2199" s="4">
        <f>IF(I2199&lt;=H2199,1,0)</f>
        <v/>
      </c>
      <c r="O2199" s="4">
        <f>IF(J2199&lt;=G2199,1,0)</f>
        <v/>
      </c>
      <c r="P2199" s="4">
        <f>MAX(0,I2199-H2199)</f>
        <v/>
      </c>
      <c r="Q2199" s="4">
        <f>MAX(0,J2199-G2199)</f>
        <v/>
      </c>
      <c r="R2199" s="4">
        <f>IF(AND(N2199=1,O2199=1),"On Track",IF(O2199=0,"Customer Delivery Late","Ship Late"))</f>
        <v/>
      </c>
    </row>
    <row r="2200">
      <c r="A2200" s="2" t="inlineStr">
        <is>
          <t>ORD-02199</t>
        </is>
      </c>
      <c r="B2200" s="2" t="inlineStr">
        <is>
          <t>Customer 06</t>
        </is>
      </c>
      <c r="C2200" s="2" t="inlineStr">
        <is>
          <t>PLC</t>
        </is>
      </c>
      <c r="D2200" s="2" t="inlineStr">
        <is>
          <t>Plant C</t>
        </is>
      </c>
      <c r="E2200" s="2" t="inlineStr">
        <is>
          <t>Central</t>
        </is>
      </c>
      <c r="F2200" s="12" t="n">
        <v>46097</v>
      </c>
      <c r="G2200" s="12" t="n">
        <v>46110</v>
      </c>
      <c r="H2200" s="12" t="n">
        <v>46107</v>
      </c>
      <c r="I2200" s="12" t="n">
        <v>46106</v>
      </c>
      <c r="J2200" s="12" t="n">
        <v>46109</v>
      </c>
      <c r="K2200" s="2" t="n">
        <v>852</v>
      </c>
      <c r="L2200" s="2" t="inlineStr">
        <is>
          <t>Air</t>
        </is>
      </c>
      <c r="M2200" s="2" t="inlineStr">
        <is>
          <t>No Delay</t>
        </is>
      </c>
      <c r="N2200" s="4">
        <f>IF(I2200&lt;=H2200,1,0)</f>
        <v/>
      </c>
      <c r="O2200" s="4">
        <f>IF(J2200&lt;=G2200,1,0)</f>
        <v/>
      </c>
      <c r="P2200" s="4">
        <f>MAX(0,I2200-H2200)</f>
        <v/>
      </c>
      <c r="Q2200" s="4">
        <f>MAX(0,J2200-G2200)</f>
        <v/>
      </c>
      <c r="R2200" s="4">
        <f>IF(AND(N2200=1,O2200=1),"On Track",IF(O2200=0,"Customer Delivery Late","Ship Late"))</f>
        <v/>
      </c>
    </row>
    <row r="2201">
      <c r="A2201" s="2" t="inlineStr">
        <is>
          <t>ORD-02200</t>
        </is>
      </c>
      <c r="B2201" s="2" t="inlineStr">
        <is>
          <t>Customer 19</t>
        </is>
      </c>
      <c r="C2201" s="2" t="inlineStr">
        <is>
          <t>Contactor</t>
        </is>
      </c>
      <c r="D2201" s="2" t="inlineStr">
        <is>
          <t>Plant A</t>
        </is>
      </c>
      <c r="E2201" s="2" t="inlineStr">
        <is>
          <t>North</t>
        </is>
      </c>
      <c r="F2201" s="12" t="n">
        <v>46031</v>
      </c>
      <c r="G2201" s="12" t="n">
        <v>46056</v>
      </c>
      <c r="H2201" s="12" t="n">
        <v>46055</v>
      </c>
      <c r="I2201" s="12" t="n">
        <v>46053</v>
      </c>
      <c r="J2201" s="12" t="n">
        <v>46054</v>
      </c>
      <c r="K2201" s="2" t="n">
        <v>512</v>
      </c>
      <c r="L2201" s="2" t="inlineStr">
        <is>
          <t>Air</t>
        </is>
      </c>
      <c r="M2201" s="2" t="inlineStr">
        <is>
          <t>No Delay</t>
        </is>
      </c>
      <c r="N2201" s="4">
        <f>IF(I2201&lt;=H2201,1,0)</f>
        <v/>
      </c>
      <c r="O2201" s="4">
        <f>IF(J2201&lt;=G2201,1,0)</f>
        <v/>
      </c>
      <c r="P2201" s="4">
        <f>MAX(0,I2201-H2201)</f>
        <v/>
      </c>
      <c r="Q2201" s="4">
        <f>MAX(0,J2201-G2201)</f>
        <v/>
      </c>
      <c r="R2201" s="4">
        <f>IF(AND(N2201=1,O2201=1),"On Track",IF(O2201=0,"Customer Delivery Late","Ship Late"))</f>
        <v/>
      </c>
    </row>
    <row r="2202">
      <c r="A2202" s="2" t="inlineStr">
        <is>
          <t>ORD-02201</t>
        </is>
      </c>
      <c r="B2202" s="2" t="inlineStr">
        <is>
          <t>Customer 03</t>
        </is>
      </c>
      <c r="C2202" s="2" t="inlineStr">
        <is>
          <t>Contactor</t>
        </is>
      </c>
      <c r="D2202" s="2" t="inlineStr">
        <is>
          <t>Plant C</t>
        </is>
      </c>
      <c r="E2202" s="2" t="inlineStr">
        <is>
          <t>South</t>
        </is>
      </c>
      <c r="F2202" s="12" t="n">
        <v>46172</v>
      </c>
      <c r="G2202" s="12" t="n">
        <v>46188</v>
      </c>
      <c r="H2202" s="12" t="n">
        <v>46184</v>
      </c>
      <c r="I2202" s="12" t="n">
        <v>46184</v>
      </c>
      <c r="J2202" s="12" t="n">
        <v>46188</v>
      </c>
      <c r="K2202" s="2" t="n">
        <v>1038</v>
      </c>
      <c r="L2202" s="2" t="inlineStr">
        <is>
          <t>Road</t>
        </is>
      </c>
      <c r="M2202" s="2" t="inlineStr">
        <is>
          <t>No Delay</t>
        </is>
      </c>
      <c r="N2202" s="4">
        <f>IF(I2202&lt;=H2202,1,0)</f>
        <v/>
      </c>
      <c r="O2202" s="4">
        <f>IF(J2202&lt;=G2202,1,0)</f>
        <v/>
      </c>
      <c r="P2202" s="4">
        <f>MAX(0,I2202-H2202)</f>
        <v/>
      </c>
      <c r="Q2202" s="4">
        <f>MAX(0,J2202-G2202)</f>
        <v/>
      </c>
      <c r="R2202" s="4">
        <f>IF(AND(N2202=1,O2202=1),"On Track",IF(O2202=0,"Customer Delivery Late","Ship Late"))</f>
        <v/>
      </c>
    </row>
    <row r="2203">
      <c r="A2203" s="2" t="inlineStr">
        <is>
          <t>ORD-02202</t>
        </is>
      </c>
      <c r="B2203" s="2" t="inlineStr">
        <is>
          <t>Customer 30</t>
        </is>
      </c>
      <c r="C2203" s="2" t="inlineStr">
        <is>
          <t>Contactor</t>
        </is>
      </c>
      <c r="D2203" s="2" t="inlineStr">
        <is>
          <t>Plant C</t>
        </is>
      </c>
      <c r="E2203" s="2" t="inlineStr">
        <is>
          <t>Export</t>
        </is>
      </c>
      <c r="F2203" s="12" t="n">
        <v>46137</v>
      </c>
      <c r="G2203" s="12" t="n">
        <v>46150</v>
      </c>
      <c r="H2203" s="12" t="n">
        <v>46146</v>
      </c>
      <c r="I2203" s="12" t="n">
        <v>46145</v>
      </c>
      <c r="J2203" s="12" t="n">
        <v>46149</v>
      </c>
      <c r="K2203" s="2" t="n">
        <v>1056</v>
      </c>
      <c r="L2203" s="2" t="inlineStr">
        <is>
          <t>Air</t>
        </is>
      </c>
      <c r="M2203" s="2" t="inlineStr">
        <is>
          <t>No Delay</t>
        </is>
      </c>
      <c r="N2203" s="4">
        <f>IF(I2203&lt;=H2203,1,0)</f>
        <v/>
      </c>
      <c r="O2203" s="4">
        <f>IF(J2203&lt;=G2203,1,0)</f>
        <v/>
      </c>
      <c r="P2203" s="4">
        <f>MAX(0,I2203-H2203)</f>
        <v/>
      </c>
      <c r="Q2203" s="4">
        <f>MAX(0,J2203-G2203)</f>
        <v/>
      </c>
      <c r="R2203" s="4">
        <f>IF(AND(N2203=1,O2203=1),"On Track",IF(O2203=0,"Customer Delivery Late","Ship Late"))</f>
        <v/>
      </c>
    </row>
    <row r="2204">
      <c r="A2204" s="2" t="inlineStr">
        <is>
          <t>ORD-02203</t>
        </is>
      </c>
      <c r="B2204" s="2" t="inlineStr">
        <is>
          <t>Customer 28</t>
        </is>
      </c>
      <c r="C2204" s="2" t="inlineStr">
        <is>
          <t>Power Supply</t>
        </is>
      </c>
      <c r="D2204" s="2" t="inlineStr">
        <is>
          <t>Plant C</t>
        </is>
      </c>
      <c r="E2204" s="2" t="inlineStr">
        <is>
          <t>Central</t>
        </is>
      </c>
      <c r="F2204" s="12" t="n">
        <v>46194</v>
      </c>
      <c r="G2204" s="12" t="n">
        <v>46199</v>
      </c>
      <c r="H2204" s="12" t="n">
        <v>46196</v>
      </c>
      <c r="I2204" s="12" t="n">
        <v>46196</v>
      </c>
      <c r="J2204" s="12" t="n">
        <v>46199</v>
      </c>
      <c r="K2204" s="2" t="n">
        <v>1460</v>
      </c>
      <c r="L2204" s="2" t="inlineStr">
        <is>
          <t>Sea</t>
        </is>
      </c>
      <c r="M2204" s="2" t="inlineStr">
        <is>
          <t>No Delay</t>
        </is>
      </c>
      <c r="N2204" s="4">
        <f>IF(I2204&lt;=H2204,1,0)</f>
        <v/>
      </c>
      <c r="O2204" s="4">
        <f>IF(J2204&lt;=G2204,1,0)</f>
        <v/>
      </c>
      <c r="P2204" s="4">
        <f>MAX(0,I2204-H2204)</f>
        <v/>
      </c>
      <c r="Q2204" s="4">
        <f>MAX(0,J2204-G2204)</f>
        <v/>
      </c>
      <c r="R2204" s="4">
        <f>IF(AND(N2204=1,O2204=1),"On Track",IF(O2204=0,"Customer Delivery Late","Ship Late"))</f>
        <v/>
      </c>
    </row>
    <row r="2205">
      <c r="A2205" s="2" t="inlineStr">
        <is>
          <t>ORD-02204</t>
        </is>
      </c>
      <c r="B2205" s="2" t="inlineStr">
        <is>
          <t>Customer 20</t>
        </is>
      </c>
      <c r="C2205" s="2" t="inlineStr">
        <is>
          <t>Contactor</t>
        </is>
      </c>
      <c r="D2205" s="2" t="inlineStr">
        <is>
          <t>Plant B</t>
        </is>
      </c>
      <c r="E2205" s="2" t="inlineStr">
        <is>
          <t>Central</t>
        </is>
      </c>
      <c r="F2205" s="12" t="n">
        <v>46027</v>
      </c>
      <c r="G2205" s="12" t="n">
        <v>46043</v>
      </c>
      <c r="H2205" s="12" t="n">
        <v>46041</v>
      </c>
      <c r="I2205" s="12" t="n">
        <v>46040</v>
      </c>
      <c r="J2205" s="12" t="n">
        <v>46041</v>
      </c>
      <c r="K2205" s="2" t="n">
        <v>1446</v>
      </c>
      <c r="L2205" s="2" t="inlineStr">
        <is>
          <t>Road</t>
        </is>
      </c>
      <c r="M2205" s="2" t="inlineStr">
        <is>
          <t>No Delay</t>
        </is>
      </c>
      <c r="N2205" s="4">
        <f>IF(I2205&lt;=H2205,1,0)</f>
        <v/>
      </c>
      <c r="O2205" s="4">
        <f>IF(J2205&lt;=G2205,1,0)</f>
        <v/>
      </c>
      <c r="P2205" s="4">
        <f>MAX(0,I2205-H2205)</f>
        <v/>
      </c>
      <c r="Q2205" s="4">
        <f>MAX(0,J2205-G2205)</f>
        <v/>
      </c>
      <c r="R2205" s="4">
        <f>IF(AND(N2205=1,O2205=1),"On Track",IF(O2205=0,"Customer Delivery Late","Ship Late"))</f>
        <v/>
      </c>
    </row>
    <row r="2206">
      <c r="A2206" s="2" t="inlineStr">
        <is>
          <t>ORD-02205</t>
        </is>
      </c>
      <c r="B2206" s="2" t="inlineStr">
        <is>
          <t>Customer 10</t>
        </is>
      </c>
      <c r="C2206" s="2" t="inlineStr">
        <is>
          <t>Breaker</t>
        </is>
      </c>
      <c r="D2206" s="2" t="inlineStr">
        <is>
          <t>Plant B</t>
        </is>
      </c>
      <c r="E2206" s="2" t="inlineStr">
        <is>
          <t>South</t>
        </is>
      </c>
      <c r="F2206" s="12" t="n">
        <v>46200</v>
      </c>
      <c r="G2206" s="12" t="n">
        <v>46212</v>
      </c>
      <c r="H2206" s="12" t="n">
        <v>46211</v>
      </c>
      <c r="I2206" s="12" t="n">
        <v>46211</v>
      </c>
      <c r="J2206" s="12" t="n">
        <v>46212</v>
      </c>
      <c r="K2206" s="2" t="n">
        <v>995</v>
      </c>
      <c r="L2206" s="2" t="inlineStr">
        <is>
          <t>Sea</t>
        </is>
      </c>
      <c r="M2206" s="2" t="inlineStr">
        <is>
          <t>No Delay</t>
        </is>
      </c>
      <c r="N2206" s="4">
        <f>IF(I2206&lt;=H2206,1,0)</f>
        <v/>
      </c>
      <c r="O2206" s="4">
        <f>IF(J2206&lt;=G2206,1,0)</f>
        <v/>
      </c>
      <c r="P2206" s="4">
        <f>MAX(0,I2206-H2206)</f>
        <v/>
      </c>
      <c r="Q2206" s="4">
        <f>MAX(0,J2206-G2206)</f>
        <v/>
      </c>
      <c r="R2206" s="4">
        <f>IF(AND(N2206=1,O2206=1),"On Track",IF(O2206=0,"Customer Delivery Late","Ship Late"))</f>
        <v/>
      </c>
    </row>
    <row r="2207">
      <c r="A2207" s="2" t="inlineStr">
        <is>
          <t>ORD-02206</t>
        </is>
      </c>
      <c r="B2207" s="2" t="inlineStr">
        <is>
          <t>Customer 03</t>
        </is>
      </c>
      <c r="C2207" s="2" t="inlineStr">
        <is>
          <t>PLC</t>
        </is>
      </c>
      <c r="D2207" s="2" t="inlineStr">
        <is>
          <t>Plant A</t>
        </is>
      </c>
      <c r="E2207" s="2" t="inlineStr">
        <is>
          <t>Export</t>
        </is>
      </c>
      <c r="F2207" s="12" t="n">
        <v>46084</v>
      </c>
      <c r="G2207" s="12" t="n">
        <v>46108</v>
      </c>
      <c r="H2207" s="12" t="n">
        <v>46103</v>
      </c>
      <c r="I2207" s="12" t="n">
        <v>46101</v>
      </c>
      <c r="J2207" s="12" t="n">
        <v>46106</v>
      </c>
      <c r="K2207" s="2" t="n">
        <v>780</v>
      </c>
      <c r="L2207" s="2" t="inlineStr">
        <is>
          <t>Road</t>
        </is>
      </c>
      <c r="M2207" s="2" t="inlineStr">
        <is>
          <t>No Delay</t>
        </is>
      </c>
      <c r="N2207" s="4">
        <f>IF(I2207&lt;=H2207,1,0)</f>
        <v/>
      </c>
      <c r="O2207" s="4">
        <f>IF(J2207&lt;=G2207,1,0)</f>
        <v/>
      </c>
      <c r="P2207" s="4">
        <f>MAX(0,I2207-H2207)</f>
        <v/>
      </c>
      <c r="Q2207" s="4">
        <f>MAX(0,J2207-G2207)</f>
        <v/>
      </c>
      <c r="R2207" s="4">
        <f>IF(AND(N2207=1,O2207=1),"On Track",IF(O2207=0,"Customer Delivery Late","Ship Late"))</f>
        <v/>
      </c>
    </row>
    <row r="2208">
      <c r="A2208" s="2" t="inlineStr">
        <is>
          <t>ORD-02207</t>
        </is>
      </c>
      <c r="B2208" s="2" t="inlineStr">
        <is>
          <t>Customer 03</t>
        </is>
      </c>
      <c r="C2208" s="2" t="inlineStr">
        <is>
          <t>Sensor</t>
        </is>
      </c>
      <c r="D2208" s="2" t="inlineStr">
        <is>
          <t>Plant B</t>
        </is>
      </c>
      <c r="E2208" s="2" t="inlineStr">
        <is>
          <t>South</t>
        </is>
      </c>
      <c r="F2208" s="12" t="n">
        <v>46101</v>
      </c>
      <c r="G2208" s="12" t="n">
        <v>46121</v>
      </c>
      <c r="H2208" s="12" t="n">
        <v>46118</v>
      </c>
      <c r="I2208" s="12" t="n">
        <v>46116</v>
      </c>
      <c r="J2208" s="12" t="n">
        <v>46120</v>
      </c>
      <c r="K2208" s="2" t="n">
        <v>353</v>
      </c>
      <c r="L2208" s="2" t="inlineStr">
        <is>
          <t>Air</t>
        </is>
      </c>
      <c r="M2208" s="2" t="inlineStr">
        <is>
          <t>No Delay</t>
        </is>
      </c>
      <c r="N2208" s="4">
        <f>IF(I2208&lt;=H2208,1,0)</f>
        <v/>
      </c>
      <c r="O2208" s="4">
        <f>IF(J2208&lt;=G2208,1,0)</f>
        <v/>
      </c>
      <c r="P2208" s="4">
        <f>MAX(0,I2208-H2208)</f>
        <v/>
      </c>
      <c r="Q2208" s="4">
        <f>MAX(0,J2208-G2208)</f>
        <v/>
      </c>
      <c r="R2208" s="4">
        <f>IF(AND(N2208=1,O2208=1),"On Track",IF(O2208=0,"Customer Delivery Late","Ship Late"))</f>
        <v/>
      </c>
    </row>
    <row r="2209">
      <c r="A2209" s="2" t="inlineStr">
        <is>
          <t>ORD-02208</t>
        </is>
      </c>
      <c r="B2209" s="2" t="inlineStr">
        <is>
          <t>Customer 10</t>
        </is>
      </c>
      <c r="C2209" s="2" t="inlineStr">
        <is>
          <t>Contactor</t>
        </is>
      </c>
      <c r="D2209" s="2" t="inlineStr">
        <is>
          <t>Plant A</t>
        </is>
      </c>
      <c r="E2209" s="2" t="inlineStr">
        <is>
          <t>Central</t>
        </is>
      </c>
      <c r="F2209" s="12" t="n">
        <v>46139</v>
      </c>
      <c r="G2209" s="12" t="n">
        <v>46153</v>
      </c>
      <c r="H2209" s="12" t="n">
        <v>46150</v>
      </c>
      <c r="I2209" s="12" t="n">
        <v>46148</v>
      </c>
      <c r="J2209" s="12" t="n">
        <v>46151</v>
      </c>
      <c r="K2209" s="2" t="n">
        <v>1488</v>
      </c>
      <c r="L2209" s="2" t="inlineStr">
        <is>
          <t>Road</t>
        </is>
      </c>
      <c r="M2209" s="2" t="inlineStr">
        <is>
          <t>No Delay</t>
        </is>
      </c>
      <c r="N2209" s="4">
        <f>IF(I2209&lt;=H2209,1,0)</f>
        <v/>
      </c>
      <c r="O2209" s="4">
        <f>IF(J2209&lt;=G2209,1,0)</f>
        <v/>
      </c>
      <c r="P2209" s="4">
        <f>MAX(0,I2209-H2209)</f>
        <v/>
      </c>
      <c r="Q2209" s="4">
        <f>MAX(0,J2209-G2209)</f>
        <v/>
      </c>
      <c r="R2209" s="4">
        <f>IF(AND(N2209=1,O2209=1),"On Track",IF(O2209=0,"Customer Delivery Late","Ship Late"))</f>
        <v/>
      </c>
    </row>
    <row r="2210">
      <c r="A2210" s="2" t="inlineStr">
        <is>
          <t>ORD-02209</t>
        </is>
      </c>
      <c r="B2210" s="2" t="inlineStr">
        <is>
          <t>Customer 28</t>
        </is>
      </c>
      <c r="C2210" s="2" t="inlineStr">
        <is>
          <t>Switchgear</t>
        </is>
      </c>
      <c r="D2210" s="2" t="inlineStr">
        <is>
          <t>Plant B</t>
        </is>
      </c>
      <c r="E2210" s="2" t="inlineStr">
        <is>
          <t>South</t>
        </is>
      </c>
      <c r="F2210" s="12" t="n">
        <v>46152</v>
      </c>
      <c r="G2210" s="12" t="n">
        <v>46172</v>
      </c>
      <c r="H2210" s="12" t="n">
        <v>46170</v>
      </c>
      <c r="I2210" s="12" t="n">
        <v>46168</v>
      </c>
      <c r="J2210" s="12" t="n">
        <v>46170</v>
      </c>
      <c r="K2210" s="2" t="n">
        <v>205</v>
      </c>
      <c r="L2210" s="2" t="inlineStr">
        <is>
          <t>Road</t>
        </is>
      </c>
      <c r="M2210" s="2" t="inlineStr">
        <is>
          <t>No Delay</t>
        </is>
      </c>
      <c r="N2210" s="4">
        <f>IF(I2210&lt;=H2210,1,0)</f>
        <v/>
      </c>
      <c r="O2210" s="4">
        <f>IF(J2210&lt;=G2210,1,0)</f>
        <v/>
      </c>
      <c r="P2210" s="4">
        <f>MAX(0,I2210-H2210)</f>
        <v/>
      </c>
      <c r="Q2210" s="4">
        <f>MAX(0,J2210-G2210)</f>
        <v/>
      </c>
      <c r="R2210" s="4">
        <f>IF(AND(N2210=1,O2210=1),"On Track",IF(O2210=0,"Customer Delivery Late","Ship Late"))</f>
        <v/>
      </c>
    </row>
    <row r="2211">
      <c r="A2211" s="2" t="inlineStr">
        <is>
          <t>ORD-02210</t>
        </is>
      </c>
      <c r="B2211" s="2" t="inlineStr">
        <is>
          <t>Customer 17</t>
        </is>
      </c>
      <c r="C2211" s="2" t="inlineStr">
        <is>
          <t>Drive</t>
        </is>
      </c>
      <c r="D2211" s="2" t="inlineStr">
        <is>
          <t>Plant A</t>
        </is>
      </c>
      <c r="E2211" s="2" t="inlineStr">
        <is>
          <t>South</t>
        </is>
      </c>
      <c r="F2211" s="12" t="n">
        <v>46046</v>
      </c>
      <c r="G2211" s="12" t="n">
        <v>46057</v>
      </c>
      <c r="H2211" s="12" t="n">
        <v>46054</v>
      </c>
      <c r="I2211" s="12" t="n">
        <v>46054</v>
      </c>
      <c r="J2211" s="12" t="n">
        <v>46056</v>
      </c>
      <c r="K2211" s="2" t="n">
        <v>866</v>
      </c>
      <c r="L2211" s="2" t="inlineStr">
        <is>
          <t>Air</t>
        </is>
      </c>
      <c r="M2211" s="2" t="inlineStr">
        <is>
          <t>No Delay</t>
        </is>
      </c>
      <c r="N2211" s="4">
        <f>IF(I2211&lt;=H2211,1,0)</f>
        <v/>
      </c>
      <c r="O2211" s="4">
        <f>IF(J2211&lt;=G2211,1,0)</f>
        <v/>
      </c>
      <c r="P2211" s="4">
        <f>MAX(0,I2211-H2211)</f>
        <v/>
      </c>
      <c r="Q2211" s="4">
        <f>MAX(0,J2211-G2211)</f>
        <v/>
      </c>
      <c r="R2211" s="4">
        <f>IF(AND(N2211=1,O2211=1),"On Track",IF(O2211=0,"Customer Delivery Late","Ship Late"))</f>
        <v/>
      </c>
    </row>
    <row r="2212">
      <c r="A2212" s="2" t="inlineStr">
        <is>
          <t>ORD-02211</t>
        </is>
      </c>
      <c r="B2212" s="2" t="inlineStr">
        <is>
          <t>Customer 16</t>
        </is>
      </c>
      <c r="C2212" s="2" t="inlineStr">
        <is>
          <t>Drive</t>
        </is>
      </c>
      <c r="D2212" s="2" t="inlineStr">
        <is>
          <t>Plant B</t>
        </is>
      </c>
      <c r="E2212" s="2" t="inlineStr">
        <is>
          <t>North</t>
        </is>
      </c>
      <c r="F2212" s="12" t="n">
        <v>46159</v>
      </c>
      <c r="G2212" s="12" t="n">
        <v>46166</v>
      </c>
      <c r="H2212" s="12" t="n">
        <v>46163</v>
      </c>
      <c r="I2212" s="12" t="n">
        <v>46163</v>
      </c>
      <c r="J2212" s="12" t="n">
        <v>46166</v>
      </c>
      <c r="K2212" s="2" t="n">
        <v>1192</v>
      </c>
      <c r="L2212" s="2" t="inlineStr">
        <is>
          <t>Sea</t>
        </is>
      </c>
      <c r="M2212" s="2" t="inlineStr">
        <is>
          <t>No Delay</t>
        </is>
      </c>
      <c r="N2212" s="4">
        <f>IF(I2212&lt;=H2212,1,0)</f>
        <v/>
      </c>
      <c r="O2212" s="4">
        <f>IF(J2212&lt;=G2212,1,0)</f>
        <v/>
      </c>
      <c r="P2212" s="4">
        <f>MAX(0,I2212-H2212)</f>
        <v/>
      </c>
      <c r="Q2212" s="4">
        <f>MAX(0,J2212-G2212)</f>
        <v/>
      </c>
      <c r="R2212" s="4">
        <f>IF(AND(N2212=1,O2212=1),"On Track",IF(O2212=0,"Customer Delivery Late","Ship Late"))</f>
        <v/>
      </c>
    </row>
    <row r="2213">
      <c r="A2213" s="2" t="inlineStr">
        <is>
          <t>ORD-02212</t>
        </is>
      </c>
      <c r="B2213" s="2" t="inlineStr">
        <is>
          <t>Customer 13</t>
        </is>
      </c>
      <c r="C2213" s="2" t="inlineStr">
        <is>
          <t>Switchgear</t>
        </is>
      </c>
      <c r="D2213" s="2" t="inlineStr">
        <is>
          <t>Plant B</t>
        </is>
      </c>
      <c r="E2213" s="2" t="inlineStr">
        <is>
          <t>Central</t>
        </is>
      </c>
      <c r="F2213" s="12" t="n">
        <v>46100</v>
      </c>
      <c r="G2213" s="12" t="n">
        <v>46107</v>
      </c>
      <c r="H2213" s="12" t="n">
        <v>46105</v>
      </c>
      <c r="I2213" s="12" t="n">
        <v>46112</v>
      </c>
      <c r="J2213" s="12" t="n">
        <v>46114</v>
      </c>
      <c r="K2213" s="2" t="n">
        <v>450</v>
      </c>
      <c r="L2213" s="2" t="inlineStr">
        <is>
          <t>Sea</t>
        </is>
      </c>
      <c r="M2213" s="2" t="inlineStr">
        <is>
          <t>Material Shortage</t>
        </is>
      </c>
      <c r="N2213" s="4">
        <f>IF(I2213&lt;=H2213,1,0)</f>
        <v/>
      </c>
      <c r="O2213" s="4">
        <f>IF(J2213&lt;=G2213,1,0)</f>
        <v/>
      </c>
      <c r="P2213" s="4">
        <f>MAX(0,I2213-H2213)</f>
        <v/>
      </c>
      <c r="Q2213" s="4">
        <f>MAX(0,J2213-G2213)</f>
        <v/>
      </c>
      <c r="R2213" s="4">
        <f>IF(AND(N2213=1,O2213=1),"On Track",IF(O2213=0,"Customer Delivery Late","Ship Late"))</f>
        <v/>
      </c>
    </row>
    <row r="2214">
      <c r="A2214" s="2" t="inlineStr">
        <is>
          <t>ORD-02213</t>
        </is>
      </c>
      <c r="B2214" s="2" t="inlineStr">
        <is>
          <t>Customer 24</t>
        </is>
      </c>
      <c r="C2214" s="2" t="inlineStr">
        <is>
          <t>Breaker</t>
        </is>
      </c>
      <c r="D2214" s="2" t="inlineStr">
        <is>
          <t>Plant A</t>
        </is>
      </c>
      <c r="E2214" s="2" t="inlineStr">
        <is>
          <t>North</t>
        </is>
      </c>
      <c r="F2214" s="12" t="n">
        <v>46075</v>
      </c>
      <c r="G2214" s="12" t="n">
        <v>46083</v>
      </c>
      <c r="H2214" s="12" t="n">
        <v>46078</v>
      </c>
      <c r="I2214" s="12" t="n">
        <v>46078</v>
      </c>
      <c r="J2214" s="12" t="n">
        <v>46084</v>
      </c>
      <c r="K2214" s="2" t="n">
        <v>538</v>
      </c>
      <c r="L2214" s="2" t="inlineStr">
        <is>
          <t>Air</t>
        </is>
      </c>
      <c r="M2214" s="2" t="inlineStr">
        <is>
          <t>Material Shortage</t>
        </is>
      </c>
      <c r="N2214" s="4">
        <f>IF(I2214&lt;=H2214,1,0)</f>
        <v/>
      </c>
      <c r="O2214" s="4">
        <f>IF(J2214&lt;=G2214,1,0)</f>
        <v/>
      </c>
      <c r="P2214" s="4">
        <f>MAX(0,I2214-H2214)</f>
        <v/>
      </c>
      <c r="Q2214" s="4">
        <f>MAX(0,J2214-G2214)</f>
        <v/>
      </c>
      <c r="R2214" s="4">
        <f>IF(AND(N2214=1,O2214=1),"On Track",IF(O2214=0,"Customer Delivery Late","Ship Late"))</f>
        <v/>
      </c>
    </row>
    <row r="2215">
      <c r="A2215" s="2" t="inlineStr">
        <is>
          <t>ORD-02214</t>
        </is>
      </c>
      <c r="B2215" s="2" t="inlineStr">
        <is>
          <t>Customer 20</t>
        </is>
      </c>
      <c r="C2215" s="2" t="inlineStr">
        <is>
          <t>Drive</t>
        </is>
      </c>
      <c r="D2215" s="2" t="inlineStr">
        <is>
          <t>Plant C</t>
        </is>
      </c>
      <c r="E2215" s="2" t="inlineStr">
        <is>
          <t>Export</t>
        </is>
      </c>
      <c r="F2215" s="12" t="n">
        <v>46071</v>
      </c>
      <c r="G2215" s="12" t="n">
        <v>46084</v>
      </c>
      <c r="H2215" s="12" t="n">
        <v>46082</v>
      </c>
      <c r="I2215" s="12" t="n">
        <v>46080</v>
      </c>
      <c r="J2215" s="12" t="n">
        <v>46082</v>
      </c>
      <c r="K2215" s="2" t="n">
        <v>505</v>
      </c>
      <c r="L2215" s="2" t="inlineStr">
        <is>
          <t>Road</t>
        </is>
      </c>
      <c r="M2215" s="2" t="inlineStr">
        <is>
          <t>No Delay</t>
        </is>
      </c>
      <c r="N2215" s="4">
        <f>IF(I2215&lt;=H2215,1,0)</f>
        <v/>
      </c>
      <c r="O2215" s="4">
        <f>IF(J2215&lt;=G2215,1,0)</f>
        <v/>
      </c>
      <c r="P2215" s="4">
        <f>MAX(0,I2215-H2215)</f>
        <v/>
      </c>
      <c r="Q2215" s="4">
        <f>MAX(0,J2215-G2215)</f>
        <v/>
      </c>
      <c r="R2215" s="4">
        <f>IF(AND(N2215=1,O2215=1),"On Track",IF(O2215=0,"Customer Delivery Late","Ship Late"))</f>
        <v/>
      </c>
    </row>
    <row r="2216">
      <c r="A2216" s="2" t="inlineStr">
        <is>
          <t>ORD-02215</t>
        </is>
      </c>
      <c r="B2216" s="2" t="inlineStr">
        <is>
          <t>Customer 10</t>
        </is>
      </c>
      <c r="C2216" s="2" t="inlineStr">
        <is>
          <t>Contactor</t>
        </is>
      </c>
      <c r="D2216" s="2" t="inlineStr">
        <is>
          <t>Plant A</t>
        </is>
      </c>
      <c r="E2216" s="2" t="inlineStr">
        <is>
          <t>South</t>
        </is>
      </c>
      <c r="F2216" s="12" t="n">
        <v>46173</v>
      </c>
      <c r="G2216" s="12" t="n">
        <v>46181</v>
      </c>
      <c r="H2216" s="12" t="n">
        <v>46179</v>
      </c>
      <c r="I2216" s="12" t="n">
        <v>46178</v>
      </c>
      <c r="J2216" s="12" t="n">
        <v>46180</v>
      </c>
      <c r="K2216" s="2" t="n">
        <v>1492</v>
      </c>
      <c r="L2216" s="2" t="inlineStr">
        <is>
          <t>Air</t>
        </is>
      </c>
      <c r="M2216" s="2" t="inlineStr">
        <is>
          <t>No Delay</t>
        </is>
      </c>
      <c r="N2216" s="4">
        <f>IF(I2216&lt;=H2216,1,0)</f>
        <v/>
      </c>
      <c r="O2216" s="4">
        <f>IF(J2216&lt;=G2216,1,0)</f>
        <v/>
      </c>
      <c r="P2216" s="4">
        <f>MAX(0,I2216-H2216)</f>
        <v/>
      </c>
      <c r="Q2216" s="4">
        <f>MAX(0,J2216-G2216)</f>
        <v/>
      </c>
      <c r="R2216" s="4">
        <f>IF(AND(N2216=1,O2216=1),"On Track",IF(O2216=0,"Customer Delivery Late","Ship Late"))</f>
        <v/>
      </c>
    </row>
    <row r="2217">
      <c r="A2217" s="2" t="inlineStr">
        <is>
          <t>ORD-02216</t>
        </is>
      </c>
      <c r="B2217" s="2" t="inlineStr">
        <is>
          <t>Customer 02</t>
        </is>
      </c>
      <c r="C2217" s="2" t="inlineStr">
        <is>
          <t>Contactor</t>
        </is>
      </c>
      <c r="D2217" s="2" t="inlineStr">
        <is>
          <t>Plant B</t>
        </is>
      </c>
      <c r="E2217" s="2" t="inlineStr">
        <is>
          <t>Central</t>
        </is>
      </c>
      <c r="F2217" s="12" t="n">
        <v>46045</v>
      </c>
      <c r="G2217" s="12" t="n">
        <v>46056</v>
      </c>
      <c r="H2217" s="12" t="n">
        <v>46054</v>
      </c>
      <c r="I2217" s="12" t="n">
        <v>46054</v>
      </c>
      <c r="J2217" s="12" t="n">
        <v>46056</v>
      </c>
      <c r="K2217" s="2" t="n">
        <v>89</v>
      </c>
      <c r="L2217" s="2" t="inlineStr">
        <is>
          <t>Road</t>
        </is>
      </c>
      <c r="M2217" s="2" t="inlineStr">
        <is>
          <t>No Delay</t>
        </is>
      </c>
      <c r="N2217" s="4">
        <f>IF(I2217&lt;=H2217,1,0)</f>
        <v/>
      </c>
      <c r="O2217" s="4">
        <f>IF(J2217&lt;=G2217,1,0)</f>
        <v/>
      </c>
      <c r="P2217" s="4">
        <f>MAX(0,I2217-H2217)</f>
        <v/>
      </c>
      <c r="Q2217" s="4">
        <f>MAX(0,J2217-G2217)</f>
        <v/>
      </c>
      <c r="R2217" s="4">
        <f>IF(AND(N2217=1,O2217=1),"On Track",IF(O2217=0,"Customer Delivery Late","Ship Late"))</f>
        <v/>
      </c>
    </row>
    <row r="2218">
      <c r="A2218" s="2" t="inlineStr">
        <is>
          <t>ORD-02217</t>
        </is>
      </c>
      <c r="B2218" s="2" t="inlineStr">
        <is>
          <t>Customer 20</t>
        </is>
      </c>
      <c r="C2218" s="2" t="inlineStr">
        <is>
          <t>Power Supply</t>
        </is>
      </c>
      <c r="D2218" s="2" t="inlineStr">
        <is>
          <t>Plant B</t>
        </is>
      </c>
      <c r="E2218" s="2" t="inlineStr">
        <is>
          <t>South</t>
        </is>
      </c>
      <c r="F2218" s="12" t="n">
        <v>46038</v>
      </c>
      <c r="G2218" s="12" t="n">
        <v>46052</v>
      </c>
      <c r="H2218" s="12" t="n">
        <v>46049</v>
      </c>
      <c r="I2218" s="12" t="n">
        <v>46048</v>
      </c>
      <c r="J2218" s="12" t="n">
        <v>46050</v>
      </c>
      <c r="K2218" s="2" t="n">
        <v>1369</v>
      </c>
      <c r="L2218" s="2" t="inlineStr">
        <is>
          <t>Air</t>
        </is>
      </c>
      <c r="M2218" s="2" t="inlineStr">
        <is>
          <t>No Delay</t>
        </is>
      </c>
      <c r="N2218" s="4">
        <f>IF(I2218&lt;=H2218,1,0)</f>
        <v/>
      </c>
      <c r="O2218" s="4">
        <f>IF(J2218&lt;=G2218,1,0)</f>
        <v/>
      </c>
      <c r="P2218" s="4">
        <f>MAX(0,I2218-H2218)</f>
        <v/>
      </c>
      <c r="Q2218" s="4">
        <f>MAX(0,J2218-G2218)</f>
        <v/>
      </c>
      <c r="R2218" s="4">
        <f>IF(AND(N2218=1,O2218=1),"On Track",IF(O2218=0,"Customer Delivery Late","Ship Late"))</f>
        <v/>
      </c>
    </row>
    <row r="2219">
      <c r="A2219" s="2" t="inlineStr">
        <is>
          <t>ORD-02218</t>
        </is>
      </c>
      <c r="B2219" s="2" t="inlineStr">
        <is>
          <t>Customer 10</t>
        </is>
      </c>
      <c r="C2219" s="2" t="inlineStr">
        <is>
          <t>Drive</t>
        </is>
      </c>
      <c r="D2219" s="2" t="inlineStr">
        <is>
          <t>Plant B</t>
        </is>
      </c>
      <c r="E2219" s="2" t="inlineStr">
        <is>
          <t>North</t>
        </is>
      </c>
      <c r="F2219" s="12" t="n">
        <v>46104</v>
      </c>
      <c r="G2219" s="12" t="n">
        <v>46123</v>
      </c>
      <c r="H2219" s="12" t="n">
        <v>46119</v>
      </c>
      <c r="I2219" s="12" t="n">
        <v>46119</v>
      </c>
      <c r="J2219" s="12" t="n">
        <v>46123</v>
      </c>
      <c r="K2219" s="2" t="n">
        <v>1153</v>
      </c>
      <c r="L2219" s="2" t="inlineStr">
        <is>
          <t>Sea</t>
        </is>
      </c>
      <c r="M2219" s="2" t="inlineStr">
        <is>
          <t>No Delay</t>
        </is>
      </c>
      <c r="N2219" s="4">
        <f>IF(I2219&lt;=H2219,1,0)</f>
        <v/>
      </c>
      <c r="O2219" s="4">
        <f>IF(J2219&lt;=G2219,1,0)</f>
        <v/>
      </c>
      <c r="P2219" s="4">
        <f>MAX(0,I2219-H2219)</f>
        <v/>
      </c>
      <c r="Q2219" s="4">
        <f>MAX(0,J2219-G2219)</f>
        <v/>
      </c>
      <c r="R2219" s="4">
        <f>IF(AND(N2219=1,O2219=1),"On Track",IF(O2219=0,"Customer Delivery Late","Ship Late"))</f>
        <v/>
      </c>
    </row>
    <row r="2220">
      <c r="A2220" s="2" t="inlineStr">
        <is>
          <t>ORD-02219</t>
        </is>
      </c>
      <c r="B2220" s="2" t="inlineStr">
        <is>
          <t>Customer 14</t>
        </is>
      </c>
      <c r="C2220" s="2" t="inlineStr">
        <is>
          <t>Sensor</t>
        </is>
      </c>
      <c r="D2220" s="2" t="inlineStr">
        <is>
          <t>Plant C</t>
        </is>
      </c>
      <c r="E2220" s="2" t="inlineStr">
        <is>
          <t>North</t>
        </is>
      </c>
      <c r="F2220" s="12" t="n">
        <v>46070</v>
      </c>
      <c r="G2220" s="12" t="n">
        <v>46094</v>
      </c>
      <c r="H2220" s="12" t="n">
        <v>46089</v>
      </c>
      <c r="I2220" s="12" t="n">
        <v>46088</v>
      </c>
      <c r="J2220" s="12" t="n">
        <v>46093</v>
      </c>
      <c r="K2220" s="2" t="n">
        <v>1275</v>
      </c>
      <c r="L2220" s="2" t="inlineStr">
        <is>
          <t>Sea</t>
        </is>
      </c>
      <c r="M2220" s="2" t="inlineStr">
        <is>
          <t>No Delay</t>
        </is>
      </c>
      <c r="N2220" s="4">
        <f>IF(I2220&lt;=H2220,1,0)</f>
        <v/>
      </c>
      <c r="O2220" s="4">
        <f>IF(J2220&lt;=G2220,1,0)</f>
        <v/>
      </c>
      <c r="P2220" s="4">
        <f>MAX(0,I2220-H2220)</f>
        <v/>
      </c>
      <c r="Q2220" s="4">
        <f>MAX(0,J2220-G2220)</f>
        <v/>
      </c>
      <c r="R2220" s="4">
        <f>IF(AND(N2220=1,O2220=1),"On Track",IF(O2220=0,"Customer Delivery Late","Ship Late"))</f>
        <v/>
      </c>
    </row>
    <row r="2221">
      <c r="A2221" s="2" t="inlineStr">
        <is>
          <t>ORD-02220</t>
        </is>
      </c>
      <c r="B2221" s="2" t="inlineStr">
        <is>
          <t>Customer 29</t>
        </is>
      </c>
      <c r="C2221" s="2" t="inlineStr">
        <is>
          <t>Relay</t>
        </is>
      </c>
      <c r="D2221" s="2" t="inlineStr">
        <is>
          <t>Plant A</t>
        </is>
      </c>
      <c r="E2221" s="2" t="inlineStr">
        <is>
          <t>South</t>
        </is>
      </c>
      <c r="F2221" s="12" t="n">
        <v>46049</v>
      </c>
      <c r="G2221" s="12" t="n">
        <v>46054</v>
      </c>
      <c r="H2221" s="12" t="n">
        <v>46050</v>
      </c>
      <c r="I2221" s="12" t="n">
        <v>46057</v>
      </c>
      <c r="J2221" s="12" t="n">
        <v>46062</v>
      </c>
      <c r="K2221" s="2" t="n">
        <v>284</v>
      </c>
      <c r="L2221" s="2" t="inlineStr">
        <is>
          <t>Sea</t>
        </is>
      </c>
      <c r="M2221" s="2" t="inlineStr">
        <is>
          <t>Material Shortage</t>
        </is>
      </c>
      <c r="N2221" s="4">
        <f>IF(I2221&lt;=H2221,1,0)</f>
        <v/>
      </c>
      <c r="O2221" s="4">
        <f>IF(J2221&lt;=G2221,1,0)</f>
        <v/>
      </c>
      <c r="P2221" s="4">
        <f>MAX(0,I2221-H2221)</f>
        <v/>
      </c>
      <c r="Q2221" s="4">
        <f>MAX(0,J2221-G2221)</f>
        <v/>
      </c>
      <c r="R2221" s="4">
        <f>IF(AND(N2221=1,O2221=1),"On Track",IF(O2221=0,"Customer Delivery Late","Ship Late"))</f>
        <v/>
      </c>
    </row>
    <row r="2222">
      <c r="A2222" s="2" t="inlineStr">
        <is>
          <t>ORD-02221</t>
        </is>
      </c>
      <c r="B2222" s="2" t="inlineStr">
        <is>
          <t>Customer 21</t>
        </is>
      </c>
      <c r="C2222" s="2" t="inlineStr">
        <is>
          <t>Switchgear</t>
        </is>
      </c>
      <c r="D2222" s="2" t="inlineStr">
        <is>
          <t>Plant B</t>
        </is>
      </c>
      <c r="E2222" s="2" t="inlineStr">
        <is>
          <t>Export</t>
        </is>
      </c>
      <c r="F2222" s="12" t="n">
        <v>46054</v>
      </c>
      <c r="G2222" s="12" t="n">
        <v>46071</v>
      </c>
      <c r="H2222" s="12" t="n">
        <v>46066</v>
      </c>
      <c r="I2222" s="12" t="n">
        <v>46066</v>
      </c>
      <c r="J2222" s="12" t="n">
        <v>46071</v>
      </c>
      <c r="K2222" s="2" t="n">
        <v>359</v>
      </c>
      <c r="L2222" s="2" t="inlineStr">
        <is>
          <t>Sea</t>
        </is>
      </c>
      <c r="M2222" s="2" t="inlineStr">
        <is>
          <t>No Delay</t>
        </is>
      </c>
      <c r="N2222" s="4">
        <f>IF(I2222&lt;=H2222,1,0)</f>
        <v/>
      </c>
      <c r="O2222" s="4">
        <f>IF(J2222&lt;=G2222,1,0)</f>
        <v/>
      </c>
      <c r="P2222" s="4">
        <f>MAX(0,I2222-H2222)</f>
        <v/>
      </c>
      <c r="Q2222" s="4">
        <f>MAX(0,J2222-G2222)</f>
        <v/>
      </c>
      <c r="R2222" s="4">
        <f>IF(AND(N2222=1,O2222=1),"On Track",IF(O2222=0,"Customer Delivery Late","Ship Late"))</f>
        <v/>
      </c>
    </row>
    <row r="2223">
      <c r="A2223" s="2" t="inlineStr">
        <is>
          <t>ORD-02222</t>
        </is>
      </c>
      <c r="B2223" s="2" t="inlineStr">
        <is>
          <t>Customer 09</t>
        </is>
      </c>
      <c r="C2223" s="2" t="inlineStr">
        <is>
          <t>Switchgear</t>
        </is>
      </c>
      <c r="D2223" s="2" t="inlineStr">
        <is>
          <t>Plant C</t>
        </is>
      </c>
      <c r="E2223" s="2" t="inlineStr">
        <is>
          <t>North</t>
        </is>
      </c>
      <c r="F2223" s="12" t="n">
        <v>46120</v>
      </c>
      <c r="G2223" s="12" t="n">
        <v>46144</v>
      </c>
      <c r="H2223" s="12" t="n">
        <v>46139</v>
      </c>
      <c r="I2223" s="12" t="n">
        <v>46137</v>
      </c>
      <c r="J2223" s="12" t="n">
        <v>46143</v>
      </c>
      <c r="K2223" s="2" t="n">
        <v>17</v>
      </c>
      <c r="L2223" s="2" t="inlineStr">
        <is>
          <t>Road</t>
        </is>
      </c>
      <c r="M2223" s="2" t="inlineStr">
        <is>
          <t>No Delay</t>
        </is>
      </c>
      <c r="N2223" s="4">
        <f>IF(I2223&lt;=H2223,1,0)</f>
        <v/>
      </c>
      <c r="O2223" s="4">
        <f>IF(J2223&lt;=G2223,1,0)</f>
        <v/>
      </c>
      <c r="P2223" s="4">
        <f>MAX(0,I2223-H2223)</f>
        <v/>
      </c>
      <c r="Q2223" s="4">
        <f>MAX(0,J2223-G2223)</f>
        <v/>
      </c>
      <c r="R2223" s="4">
        <f>IF(AND(N2223=1,O2223=1),"On Track",IF(O2223=0,"Customer Delivery Late","Ship Late"))</f>
        <v/>
      </c>
    </row>
    <row r="2224">
      <c r="A2224" s="2" t="inlineStr">
        <is>
          <t>ORD-02223</t>
        </is>
      </c>
      <c r="B2224" s="2" t="inlineStr">
        <is>
          <t>Customer 05</t>
        </is>
      </c>
      <c r="C2224" s="2" t="inlineStr">
        <is>
          <t>Switchgear</t>
        </is>
      </c>
      <c r="D2224" s="2" t="inlineStr">
        <is>
          <t>Plant A</t>
        </is>
      </c>
      <c r="E2224" s="2" t="inlineStr">
        <is>
          <t>Central</t>
        </is>
      </c>
      <c r="F2224" s="12" t="n">
        <v>46111</v>
      </c>
      <c r="G2224" s="12" t="n">
        <v>46134</v>
      </c>
      <c r="H2224" s="12" t="n">
        <v>46132</v>
      </c>
      <c r="I2224" s="12" t="n">
        <v>46132</v>
      </c>
      <c r="J2224" s="12" t="n">
        <v>46134</v>
      </c>
      <c r="K2224" s="2" t="n">
        <v>333</v>
      </c>
      <c r="L2224" s="2" t="inlineStr">
        <is>
          <t>Road</t>
        </is>
      </c>
      <c r="M2224" s="2" t="inlineStr">
        <is>
          <t>No Delay</t>
        </is>
      </c>
      <c r="N2224" s="4">
        <f>IF(I2224&lt;=H2224,1,0)</f>
        <v/>
      </c>
      <c r="O2224" s="4">
        <f>IF(J2224&lt;=G2224,1,0)</f>
        <v/>
      </c>
      <c r="P2224" s="4">
        <f>MAX(0,I2224-H2224)</f>
        <v/>
      </c>
      <c r="Q2224" s="4">
        <f>MAX(0,J2224-G2224)</f>
        <v/>
      </c>
      <c r="R2224" s="4">
        <f>IF(AND(N2224=1,O2224=1),"On Track",IF(O2224=0,"Customer Delivery Late","Ship Late"))</f>
        <v/>
      </c>
    </row>
    <row r="2225">
      <c r="A2225" s="2" t="inlineStr">
        <is>
          <t>ORD-02224</t>
        </is>
      </c>
      <c r="B2225" s="2" t="inlineStr">
        <is>
          <t>Customer 05</t>
        </is>
      </c>
      <c r="C2225" s="2" t="inlineStr">
        <is>
          <t>Sensor</t>
        </is>
      </c>
      <c r="D2225" s="2" t="inlineStr">
        <is>
          <t>Plant A</t>
        </is>
      </c>
      <c r="E2225" s="2" t="inlineStr">
        <is>
          <t>Export</t>
        </is>
      </c>
      <c r="F2225" s="12" t="n">
        <v>46030</v>
      </c>
      <c r="G2225" s="12" t="n">
        <v>46036</v>
      </c>
      <c r="H2225" s="12" t="n">
        <v>46032</v>
      </c>
      <c r="I2225" s="12" t="n">
        <v>46031</v>
      </c>
      <c r="J2225" s="12" t="n">
        <v>46036</v>
      </c>
      <c r="K2225" s="2" t="n">
        <v>260</v>
      </c>
      <c r="L2225" s="2" t="inlineStr">
        <is>
          <t>Road</t>
        </is>
      </c>
      <c r="M2225" s="2" t="inlineStr">
        <is>
          <t>No Delay</t>
        </is>
      </c>
      <c r="N2225" s="4">
        <f>IF(I2225&lt;=H2225,1,0)</f>
        <v/>
      </c>
      <c r="O2225" s="4">
        <f>IF(J2225&lt;=G2225,1,0)</f>
        <v/>
      </c>
      <c r="P2225" s="4">
        <f>MAX(0,I2225-H2225)</f>
        <v/>
      </c>
      <c r="Q2225" s="4">
        <f>MAX(0,J2225-G2225)</f>
        <v/>
      </c>
      <c r="R2225" s="4">
        <f>IF(AND(N2225=1,O2225=1),"On Track",IF(O2225=0,"Customer Delivery Late","Ship Late"))</f>
        <v/>
      </c>
    </row>
    <row r="2226">
      <c r="A2226" s="2" t="inlineStr">
        <is>
          <t>ORD-02225</t>
        </is>
      </c>
      <c r="B2226" s="2" t="inlineStr">
        <is>
          <t>Customer 17</t>
        </is>
      </c>
      <c r="C2226" s="2" t="inlineStr">
        <is>
          <t>Breaker</t>
        </is>
      </c>
      <c r="D2226" s="2" t="inlineStr">
        <is>
          <t>Plant C</t>
        </is>
      </c>
      <c r="E2226" s="2" t="inlineStr">
        <is>
          <t>Central</t>
        </is>
      </c>
      <c r="F2226" s="12" t="n">
        <v>46179</v>
      </c>
      <c r="G2226" s="12" t="n">
        <v>46195</v>
      </c>
      <c r="H2226" s="12" t="n">
        <v>46194</v>
      </c>
      <c r="I2226" s="12" t="n">
        <v>46192</v>
      </c>
      <c r="J2226" s="12" t="n">
        <v>46193</v>
      </c>
      <c r="K2226" s="2" t="n">
        <v>1303</v>
      </c>
      <c r="L2226" s="2" t="inlineStr">
        <is>
          <t>Sea</t>
        </is>
      </c>
      <c r="M2226" s="2" t="inlineStr">
        <is>
          <t>No Delay</t>
        </is>
      </c>
      <c r="N2226" s="4">
        <f>IF(I2226&lt;=H2226,1,0)</f>
        <v/>
      </c>
      <c r="O2226" s="4">
        <f>IF(J2226&lt;=G2226,1,0)</f>
        <v/>
      </c>
      <c r="P2226" s="4">
        <f>MAX(0,I2226-H2226)</f>
        <v/>
      </c>
      <c r="Q2226" s="4">
        <f>MAX(0,J2226-G2226)</f>
        <v/>
      </c>
      <c r="R2226" s="4">
        <f>IF(AND(N2226=1,O2226=1),"On Track",IF(O2226=0,"Customer Delivery Late","Ship Late"))</f>
        <v/>
      </c>
    </row>
    <row r="2227">
      <c r="A2227" s="2" t="inlineStr">
        <is>
          <t>ORD-02226</t>
        </is>
      </c>
      <c r="B2227" s="2" t="inlineStr">
        <is>
          <t>Customer 27</t>
        </is>
      </c>
      <c r="C2227" s="2" t="inlineStr">
        <is>
          <t>Relay</t>
        </is>
      </c>
      <c r="D2227" s="2" t="inlineStr">
        <is>
          <t>Plant B</t>
        </is>
      </c>
      <c r="E2227" s="2" t="inlineStr">
        <is>
          <t>North</t>
        </is>
      </c>
      <c r="F2227" s="12" t="n">
        <v>46125</v>
      </c>
      <c r="G2227" s="12" t="n">
        <v>46130</v>
      </c>
      <c r="H2227" s="12" t="n">
        <v>46126</v>
      </c>
      <c r="I2227" s="12" t="n">
        <v>46126</v>
      </c>
      <c r="J2227" s="12" t="n">
        <v>46130</v>
      </c>
      <c r="K2227" s="2" t="n">
        <v>867</v>
      </c>
      <c r="L2227" s="2" t="inlineStr">
        <is>
          <t>Air</t>
        </is>
      </c>
      <c r="M2227" s="2" t="inlineStr">
        <is>
          <t>No Delay</t>
        </is>
      </c>
      <c r="N2227" s="4">
        <f>IF(I2227&lt;=H2227,1,0)</f>
        <v/>
      </c>
      <c r="O2227" s="4">
        <f>IF(J2227&lt;=G2227,1,0)</f>
        <v/>
      </c>
      <c r="P2227" s="4">
        <f>MAX(0,I2227-H2227)</f>
        <v/>
      </c>
      <c r="Q2227" s="4">
        <f>MAX(0,J2227-G2227)</f>
        <v/>
      </c>
      <c r="R2227" s="4">
        <f>IF(AND(N2227=1,O2227=1),"On Track",IF(O2227=0,"Customer Delivery Late","Ship Late"))</f>
        <v/>
      </c>
    </row>
    <row r="2228">
      <c r="A2228" s="2" t="inlineStr">
        <is>
          <t>ORD-02227</t>
        </is>
      </c>
      <c r="B2228" s="2" t="inlineStr">
        <is>
          <t>Customer 01</t>
        </is>
      </c>
      <c r="C2228" s="2" t="inlineStr">
        <is>
          <t>Sensor</t>
        </is>
      </c>
      <c r="D2228" s="2" t="inlineStr">
        <is>
          <t>Plant A</t>
        </is>
      </c>
      <c r="E2228" s="2" t="inlineStr">
        <is>
          <t>South</t>
        </is>
      </c>
      <c r="F2228" s="12" t="n">
        <v>46099</v>
      </c>
      <c r="G2228" s="12" t="n">
        <v>46119</v>
      </c>
      <c r="H2228" s="12" t="n">
        <v>46116</v>
      </c>
      <c r="I2228" s="12" t="n">
        <v>46115</v>
      </c>
      <c r="J2228" s="12" t="n">
        <v>46117</v>
      </c>
      <c r="K2228" s="2" t="n">
        <v>902</v>
      </c>
      <c r="L2228" s="2" t="inlineStr">
        <is>
          <t>Air</t>
        </is>
      </c>
      <c r="M2228" s="2" t="inlineStr">
        <is>
          <t>No Delay</t>
        </is>
      </c>
      <c r="N2228" s="4">
        <f>IF(I2228&lt;=H2228,1,0)</f>
        <v/>
      </c>
      <c r="O2228" s="4">
        <f>IF(J2228&lt;=G2228,1,0)</f>
        <v/>
      </c>
      <c r="P2228" s="4">
        <f>MAX(0,I2228-H2228)</f>
        <v/>
      </c>
      <c r="Q2228" s="4">
        <f>MAX(0,J2228-G2228)</f>
        <v/>
      </c>
      <c r="R2228" s="4">
        <f>IF(AND(N2228=1,O2228=1),"On Track",IF(O2228=0,"Customer Delivery Late","Ship Late"))</f>
        <v/>
      </c>
    </row>
    <row r="2229">
      <c r="A2229" s="2" t="inlineStr">
        <is>
          <t>ORD-02228</t>
        </is>
      </c>
      <c r="B2229" s="2" t="inlineStr">
        <is>
          <t>Customer 05</t>
        </is>
      </c>
      <c r="C2229" s="2" t="inlineStr">
        <is>
          <t>PLC</t>
        </is>
      </c>
      <c r="D2229" s="2" t="inlineStr">
        <is>
          <t>Plant C</t>
        </is>
      </c>
      <c r="E2229" s="2" t="inlineStr">
        <is>
          <t>Export</t>
        </is>
      </c>
      <c r="F2229" s="12" t="n">
        <v>46199</v>
      </c>
      <c r="G2229" s="12" t="n">
        <v>46212</v>
      </c>
      <c r="H2229" s="12" t="n">
        <v>46210</v>
      </c>
      <c r="I2229" s="12" t="n">
        <v>46209</v>
      </c>
      <c r="J2229" s="12" t="n">
        <v>46211</v>
      </c>
      <c r="K2229" s="2" t="n">
        <v>1097</v>
      </c>
      <c r="L2229" s="2" t="inlineStr">
        <is>
          <t>Sea</t>
        </is>
      </c>
      <c r="M2229" s="2" t="inlineStr">
        <is>
          <t>No Delay</t>
        </is>
      </c>
      <c r="N2229" s="4">
        <f>IF(I2229&lt;=H2229,1,0)</f>
        <v/>
      </c>
      <c r="O2229" s="4">
        <f>IF(J2229&lt;=G2229,1,0)</f>
        <v/>
      </c>
      <c r="P2229" s="4">
        <f>MAX(0,I2229-H2229)</f>
        <v/>
      </c>
      <c r="Q2229" s="4">
        <f>MAX(0,J2229-G2229)</f>
        <v/>
      </c>
      <c r="R2229" s="4">
        <f>IF(AND(N2229=1,O2229=1),"On Track",IF(O2229=0,"Customer Delivery Late","Ship Late"))</f>
        <v/>
      </c>
    </row>
    <row r="2230">
      <c r="A2230" s="2" t="inlineStr">
        <is>
          <t>ORD-02229</t>
        </is>
      </c>
      <c r="B2230" s="2" t="inlineStr">
        <is>
          <t>Customer 22</t>
        </is>
      </c>
      <c r="C2230" s="2" t="inlineStr">
        <is>
          <t>Breaker</t>
        </is>
      </c>
      <c r="D2230" s="2" t="inlineStr">
        <is>
          <t>Plant B</t>
        </is>
      </c>
      <c r="E2230" s="2" t="inlineStr">
        <is>
          <t>Central</t>
        </is>
      </c>
      <c r="F2230" s="12" t="n">
        <v>46153</v>
      </c>
      <c r="G2230" s="12" t="n">
        <v>46172</v>
      </c>
      <c r="H2230" s="12" t="n">
        <v>46168</v>
      </c>
      <c r="I2230" s="12" t="n">
        <v>46168</v>
      </c>
      <c r="J2230" s="12" t="n">
        <v>46171</v>
      </c>
      <c r="K2230" s="2" t="n">
        <v>292</v>
      </c>
      <c r="L2230" s="2" t="inlineStr">
        <is>
          <t>Sea</t>
        </is>
      </c>
      <c r="M2230" s="2" t="inlineStr">
        <is>
          <t>No Delay</t>
        </is>
      </c>
      <c r="N2230" s="4">
        <f>IF(I2230&lt;=H2230,1,0)</f>
        <v/>
      </c>
      <c r="O2230" s="4">
        <f>IF(J2230&lt;=G2230,1,0)</f>
        <v/>
      </c>
      <c r="P2230" s="4">
        <f>MAX(0,I2230-H2230)</f>
        <v/>
      </c>
      <c r="Q2230" s="4">
        <f>MAX(0,J2230-G2230)</f>
        <v/>
      </c>
      <c r="R2230" s="4">
        <f>IF(AND(N2230=1,O2230=1),"On Track",IF(O2230=0,"Customer Delivery Late","Ship Late"))</f>
        <v/>
      </c>
    </row>
    <row r="2231">
      <c r="A2231" s="2" t="inlineStr">
        <is>
          <t>ORD-02230</t>
        </is>
      </c>
      <c r="B2231" s="2" t="inlineStr">
        <is>
          <t>Customer 16</t>
        </is>
      </c>
      <c r="C2231" s="2" t="inlineStr">
        <is>
          <t>Sensor</t>
        </is>
      </c>
      <c r="D2231" s="2" t="inlineStr">
        <is>
          <t>Plant C</t>
        </is>
      </c>
      <c r="E2231" s="2" t="inlineStr">
        <is>
          <t>Export</t>
        </is>
      </c>
      <c r="F2231" s="12" t="n">
        <v>46028</v>
      </c>
      <c r="G2231" s="12" t="n">
        <v>46035</v>
      </c>
      <c r="H2231" s="12" t="n">
        <v>46034</v>
      </c>
      <c r="I2231" s="12" t="n">
        <v>46032</v>
      </c>
      <c r="J2231" s="12" t="n">
        <v>46033</v>
      </c>
      <c r="K2231" s="2" t="n">
        <v>173</v>
      </c>
      <c r="L2231" s="2" t="inlineStr">
        <is>
          <t>Sea</t>
        </is>
      </c>
      <c r="M2231" s="2" t="inlineStr">
        <is>
          <t>No Delay</t>
        </is>
      </c>
      <c r="N2231" s="4">
        <f>IF(I2231&lt;=H2231,1,0)</f>
        <v/>
      </c>
      <c r="O2231" s="4">
        <f>IF(J2231&lt;=G2231,1,0)</f>
        <v/>
      </c>
      <c r="P2231" s="4">
        <f>MAX(0,I2231-H2231)</f>
        <v/>
      </c>
      <c r="Q2231" s="4">
        <f>MAX(0,J2231-G2231)</f>
        <v/>
      </c>
      <c r="R2231" s="4">
        <f>IF(AND(N2231=1,O2231=1),"On Track",IF(O2231=0,"Customer Delivery Late","Ship Late"))</f>
        <v/>
      </c>
    </row>
    <row r="2232">
      <c r="A2232" s="2" t="inlineStr">
        <is>
          <t>ORD-02231</t>
        </is>
      </c>
      <c r="B2232" s="2" t="inlineStr">
        <is>
          <t>Customer 24</t>
        </is>
      </c>
      <c r="C2232" s="2" t="inlineStr">
        <is>
          <t>Sensor</t>
        </is>
      </c>
      <c r="D2232" s="2" t="inlineStr">
        <is>
          <t>Plant C</t>
        </is>
      </c>
      <c r="E2232" s="2" t="inlineStr">
        <is>
          <t>South</t>
        </is>
      </c>
      <c r="F2232" s="12" t="n">
        <v>46180</v>
      </c>
      <c r="G2232" s="12" t="n">
        <v>46185</v>
      </c>
      <c r="H2232" s="12" t="n">
        <v>46183</v>
      </c>
      <c r="I2232" s="12" t="n">
        <v>46181</v>
      </c>
      <c r="J2232" s="12" t="n">
        <v>46182</v>
      </c>
      <c r="K2232" s="2" t="n">
        <v>513</v>
      </c>
      <c r="L2232" s="2" t="inlineStr">
        <is>
          <t>Sea</t>
        </is>
      </c>
      <c r="M2232" s="2" t="inlineStr">
        <is>
          <t>No Delay</t>
        </is>
      </c>
      <c r="N2232" s="4">
        <f>IF(I2232&lt;=H2232,1,0)</f>
        <v/>
      </c>
      <c r="O2232" s="4">
        <f>IF(J2232&lt;=G2232,1,0)</f>
        <v/>
      </c>
      <c r="P2232" s="4">
        <f>MAX(0,I2232-H2232)</f>
        <v/>
      </c>
      <c r="Q2232" s="4">
        <f>MAX(0,J2232-G2232)</f>
        <v/>
      </c>
      <c r="R2232" s="4">
        <f>IF(AND(N2232=1,O2232=1),"On Track",IF(O2232=0,"Customer Delivery Late","Ship Late"))</f>
        <v/>
      </c>
    </row>
    <row r="2233">
      <c r="A2233" s="2" t="inlineStr">
        <is>
          <t>ORD-02232</t>
        </is>
      </c>
      <c r="B2233" s="2" t="inlineStr">
        <is>
          <t>Customer 19</t>
        </is>
      </c>
      <c r="C2233" s="2" t="inlineStr">
        <is>
          <t>Breaker</t>
        </is>
      </c>
      <c r="D2233" s="2" t="inlineStr">
        <is>
          <t>Plant B</t>
        </is>
      </c>
      <c r="E2233" s="2" t="inlineStr">
        <is>
          <t>Central</t>
        </is>
      </c>
      <c r="F2233" s="12" t="n">
        <v>46066</v>
      </c>
      <c r="G2233" s="12" t="n">
        <v>46089</v>
      </c>
      <c r="H2233" s="12" t="n">
        <v>46086</v>
      </c>
      <c r="I2233" s="12" t="n">
        <v>46086</v>
      </c>
      <c r="J2233" s="12" t="n">
        <v>46089</v>
      </c>
      <c r="K2233" s="2" t="n">
        <v>640</v>
      </c>
      <c r="L2233" s="2" t="inlineStr">
        <is>
          <t>Air</t>
        </is>
      </c>
      <c r="M2233" s="2" t="inlineStr">
        <is>
          <t>No Delay</t>
        </is>
      </c>
      <c r="N2233" s="4">
        <f>IF(I2233&lt;=H2233,1,0)</f>
        <v/>
      </c>
      <c r="O2233" s="4">
        <f>IF(J2233&lt;=G2233,1,0)</f>
        <v/>
      </c>
      <c r="P2233" s="4">
        <f>MAX(0,I2233-H2233)</f>
        <v/>
      </c>
      <c r="Q2233" s="4">
        <f>MAX(0,J2233-G2233)</f>
        <v/>
      </c>
      <c r="R2233" s="4">
        <f>IF(AND(N2233=1,O2233=1),"On Track",IF(O2233=0,"Customer Delivery Late","Ship Late"))</f>
        <v/>
      </c>
    </row>
    <row r="2234">
      <c r="A2234" s="2" t="inlineStr">
        <is>
          <t>ORD-02233</t>
        </is>
      </c>
      <c r="B2234" s="2" t="inlineStr">
        <is>
          <t>Customer 02</t>
        </is>
      </c>
      <c r="C2234" s="2" t="inlineStr">
        <is>
          <t>Drive</t>
        </is>
      </c>
      <c r="D2234" s="2" t="inlineStr">
        <is>
          <t>Plant C</t>
        </is>
      </c>
      <c r="E2234" s="2" t="inlineStr">
        <is>
          <t>Central</t>
        </is>
      </c>
      <c r="F2234" s="12" t="n">
        <v>46055</v>
      </c>
      <c r="G2234" s="12" t="n">
        <v>46077</v>
      </c>
      <c r="H2234" s="12" t="n">
        <v>46075</v>
      </c>
      <c r="I2234" s="12" t="n">
        <v>46073</v>
      </c>
      <c r="J2234" s="12" t="n">
        <v>46075</v>
      </c>
      <c r="K2234" s="2" t="n">
        <v>268</v>
      </c>
      <c r="L2234" s="2" t="inlineStr">
        <is>
          <t>Sea</t>
        </is>
      </c>
      <c r="M2234" s="2" t="inlineStr">
        <is>
          <t>No Delay</t>
        </is>
      </c>
      <c r="N2234" s="4">
        <f>IF(I2234&lt;=H2234,1,0)</f>
        <v/>
      </c>
      <c r="O2234" s="4">
        <f>IF(J2234&lt;=G2234,1,0)</f>
        <v/>
      </c>
      <c r="P2234" s="4">
        <f>MAX(0,I2234-H2234)</f>
        <v/>
      </c>
      <c r="Q2234" s="4">
        <f>MAX(0,J2234-G2234)</f>
        <v/>
      </c>
      <c r="R2234" s="4">
        <f>IF(AND(N2234=1,O2234=1),"On Track",IF(O2234=0,"Customer Delivery Late","Ship Late"))</f>
        <v/>
      </c>
    </row>
    <row r="2235">
      <c r="A2235" s="2" t="inlineStr">
        <is>
          <t>ORD-02234</t>
        </is>
      </c>
      <c r="B2235" s="2" t="inlineStr">
        <is>
          <t>Customer 14</t>
        </is>
      </c>
      <c r="C2235" s="2" t="inlineStr">
        <is>
          <t>Drive</t>
        </is>
      </c>
      <c r="D2235" s="2" t="inlineStr">
        <is>
          <t>Plant B</t>
        </is>
      </c>
      <c r="E2235" s="2" t="inlineStr">
        <is>
          <t>Central</t>
        </is>
      </c>
      <c r="F2235" s="12" t="n">
        <v>46123</v>
      </c>
      <c r="G2235" s="12" t="n">
        <v>46143</v>
      </c>
      <c r="H2235" s="12" t="n">
        <v>46142</v>
      </c>
      <c r="I2235" s="12" t="n">
        <v>46141</v>
      </c>
      <c r="J2235" s="12" t="n">
        <v>46143</v>
      </c>
      <c r="K2235" s="2" t="n">
        <v>1224</v>
      </c>
      <c r="L2235" s="2" t="inlineStr">
        <is>
          <t>Road</t>
        </is>
      </c>
      <c r="M2235" s="2" t="inlineStr">
        <is>
          <t>No Delay</t>
        </is>
      </c>
      <c r="N2235" s="4">
        <f>IF(I2235&lt;=H2235,1,0)</f>
        <v/>
      </c>
      <c r="O2235" s="4">
        <f>IF(J2235&lt;=G2235,1,0)</f>
        <v/>
      </c>
      <c r="P2235" s="4">
        <f>MAX(0,I2235-H2235)</f>
        <v/>
      </c>
      <c r="Q2235" s="4">
        <f>MAX(0,J2235-G2235)</f>
        <v/>
      </c>
      <c r="R2235" s="4">
        <f>IF(AND(N2235=1,O2235=1),"On Track",IF(O2235=0,"Customer Delivery Late","Ship Late"))</f>
        <v/>
      </c>
    </row>
    <row r="2236">
      <c r="A2236" s="2" t="inlineStr">
        <is>
          <t>ORD-02235</t>
        </is>
      </c>
      <c r="B2236" s="2" t="inlineStr">
        <is>
          <t>Customer 25</t>
        </is>
      </c>
      <c r="C2236" s="2" t="inlineStr">
        <is>
          <t>Contactor</t>
        </is>
      </c>
      <c r="D2236" s="2" t="inlineStr">
        <is>
          <t>Plant C</t>
        </is>
      </c>
      <c r="E2236" s="2" t="inlineStr">
        <is>
          <t>Central</t>
        </is>
      </c>
      <c r="F2236" s="12" t="n">
        <v>46117</v>
      </c>
      <c r="G2236" s="12" t="n">
        <v>46139</v>
      </c>
      <c r="H2236" s="12" t="n">
        <v>46137</v>
      </c>
      <c r="I2236" s="12" t="n">
        <v>46135</v>
      </c>
      <c r="J2236" s="12" t="n">
        <v>46138</v>
      </c>
      <c r="K2236" s="2" t="n">
        <v>325</v>
      </c>
      <c r="L2236" s="2" t="inlineStr">
        <is>
          <t>Road</t>
        </is>
      </c>
      <c r="M2236" s="2" t="inlineStr">
        <is>
          <t>No Delay</t>
        </is>
      </c>
      <c r="N2236" s="4">
        <f>IF(I2236&lt;=H2236,1,0)</f>
        <v/>
      </c>
      <c r="O2236" s="4">
        <f>IF(J2236&lt;=G2236,1,0)</f>
        <v/>
      </c>
      <c r="P2236" s="4">
        <f>MAX(0,I2236-H2236)</f>
        <v/>
      </c>
      <c r="Q2236" s="4">
        <f>MAX(0,J2236-G2236)</f>
        <v/>
      </c>
      <c r="R2236" s="4">
        <f>IF(AND(N2236=1,O2236=1),"On Track",IF(O2236=0,"Customer Delivery Late","Ship Late"))</f>
        <v/>
      </c>
    </row>
    <row r="2237">
      <c r="A2237" s="2" t="inlineStr">
        <is>
          <t>ORD-02236</t>
        </is>
      </c>
      <c r="B2237" s="2" t="inlineStr">
        <is>
          <t>Customer 10</t>
        </is>
      </c>
      <c r="C2237" s="2" t="inlineStr">
        <is>
          <t>Power Supply</t>
        </is>
      </c>
      <c r="D2237" s="2" t="inlineStr">
        <is>
          <t>Plant B</t>
        </is>
      </c>
      <c r="E2237" s="2" t="inlineStr">
        <is>
          <t>Export</t>
        </is>
      </c>
      <c r="F2237" s="12" t="n">
        <v>46118</v>
      </c>
      <c r="G2237" s="12" t="n">
        <v>46129</v>
      </c>
      <c r="H2237" s="12" t="n">
        <v>46128</v>
      </c>
      <c r="I2237" s="12" t="n">
        <v>46128</v>
      </c>
      <c r="J2237" s="12" t="n">
        <v>46129</v>
      </c>
      <c r="K2237" s="2" t="n">
        <v>1318</v>
      </c>
      <c r="L2237" s="2" t="inlineStr">
        <is>
          <t>Air</t>
        </is>
      </c>
      <c r="M2237" s="2" t="inlineStr">
        <is>
          <t>No Delay</t>
        </is>
      </c>
      <c r="N2237" s="4">
        <f>IF(I2237&lt;=H2237,1,0)</f>
        <v/>
      </c>
      <c r="O2237" s="4">
        <f>IF(J2237&lt;=G2237,1,0)</f>
        <v/>
      </c>
      <c r="P2237" s="4">
        <f>MAX(0,I2237-H2237)</f>
        <v/>
      </c>
      <c r="Q2237" s="4">
        <f>MAX(0,J2237-G2237)</f>
        <v/>
      </c>
      <c r="R2237" s="4">
        <f>IF(AND(N2237=1,O2237=1),"On Track",IF(O2237=0,"Customer Delivery Late","Ship Late"))</f>
        <v/>
      </c>
    </row>
    <row r="2238">
      <c r="A2238" s="2" t="inlineStr">
        <is>
          <t>ORD-02237</t>
        </is>
      </c>
      <c r="B2238" s="2" t="inlineStr">
        <is>
          <t>Customer 09</t>
        </is>
      </c>
      <c r="C2238" s="2" t="inlineStr">
        <is>
          <t>Sensor</t>
        </is>
      </c>
      <c r="D2238" s="2" t="inlineStr">
        <is>
          <t>Plant C</t>
        </is>
      </c>
      <c r="E2238" s="2" t="inlineStr">
        <is>
          <t>South</t>
        </is>
      </c>
      <c r="F2238" s="12" t="n">
        <v>46151</v>
      </c>
      <c r="G2238" s="12" t="n">
        <v>46156</v>
      </c>
      <c r="H2238" s="12" t="n">
        <v>46151</v>
      </c>
      <c r="I2238" s="12" t="n">
        <v>46150</v>
      </c>
      <c r="J2238" s="12" t="n">
        <v>46156</v>
      </c>
      <c r="K2238" s="2" t="n">
        <v>1187</v>
      </c>
      <c r="L2238" s="2" t="inlineStr">
        <is>
          <t>Air</t>
        </is>
      </c>
      <c r="M2238" s="2" t="inlineStr">
        <is>
          <t>No Delay</t>
        </is>
      </c>
      <c r="N2238" s="4">
        <f>IF(I2238&lt;=H2238,1,0)</f>
        <v/>
      </c>
      <c r="O2238" s="4">
        <f>IF(J2238&lt;=G2238,1,0)</f>
        <v/>
      </c>
      <c r="P2238" s="4">
        <f>MAX(0,I2238-H2238)</f>
        <v/>
      </c>
      <c r="Q2238" s="4">
        <f>MAX(0,J2238-G2238)</f>
        <v/>
      </c>
      <c r="R2238" s="4">
        <f>IF(AND(N2238=1,O2238=1),"On Track",IF(O2238=0,"Customer Delivery Late","Ship Late"))</f>
        <v/>
      </c>
    </row>
    <row r="2239">
      <c r="A2239" s="2" t="inlineStr">
        <is>
          <t>ORD-02238</t>
        </is>
      </c>
      <c r="B2239" s="2" t="inlineStr">
        <is>
          <t>Customer 11</t>
        </is>
      </c>
      <c r="C2239" s="2" t="inlineStr">
        <is>
          <t>Drive</t>
        </is>
      </c>
      <c r="D2239" s="2" t="inlineStr">
        <is>
          <t>Plant C</t>
        </is>
      </c>
      <c r="E2239" s="2" t="inlineStr">
        <is>
          <t>South</t>
        </is>
      </c>
      <c r="F2239" s="12" t="n">
        <v>46108</v>
      </c>
      <c r="G2239" s="12" t="n">
        <v>46117</v>
      </c>
      <c r="H2239" s="12" t="n">
        <v>46116</v>
      </c>
      <c r="I2239" s="12" t="n">
        <v>46116</v>
      </c>
      <c r="J2239" s="12" t="n">
        <v>46117</v>
      </c>
      <c r="K2239" s="2" t="n">
        <v>1238</v>
      </c>
      <c r="L2239" s="2" t="inlineStr">
        <is>
          <t>Sea</t>
        </is>
      </c>
      <c r="M2239" s="2" t="inlineStr">
        <is>
          <t>No Delay</t>
        </is>
      </c>
      <c r="N2239" s="4">
        <f>IF(I2239&lt;=H2239,1,0)</f>
        <v/>
      </c>
      <c r="O2239" s="4">
        <f>IF(J2239&lt;=G2239,1,0)</f>
        <v/>
      </c>
      <c r="P2239" s="4">
        <f>MAX(0,I2239-H2239)</f>
        <v/>
      </c>
      <c r="Q2239" s="4">
        <f>MAX(0,J2239-G2239)</f>
        <v/>
      </c>
      <c r="R2239" s="4">
        <f>IF(AND(N2239=1,O2239=1),"On Track",IF(O2239=0,"Customer Delivery Late","Ship Late"))</f>
        <v/>
      </c>
    </row>
    <row r="2240">
      <c r="A2240" s="2" t="inlineStr">
        <is>
          <t>ORD-02239</t>
        </is>
      </c>
      <c r="B2240" s="2" t="inlineStr">
        <is>
          <t>Customer 22</t>
        </is>
      </c>
      <c r="C2240" s="2" t="inlineStr">
        <is>
          <t>Contactor</t>
        </is>
      </c>
      <c r="D2240" s="2" t="inlineStr">
        <is>
          <t>Plant C</t>
        </is>
      </c>
      <c r="E2240" s="2" t="inlineStr">
        <is>
          <t>South</t>
        </is>
      </c>
      <c r="F2240" s="12" t="n">
        <v>46063</v>
      </c>
      <c r="G2240" s="12" t="n">
        <v>46084</v>
      </c>
      <c r="H2240" s="12" t="n">
        <v>46079</v>
      </c>
      <c r="I2240" s="12" t="n">
        <v>46079</v>
      </c>
      <c r="J2240" s="12" t="n">
        <v>46084</v>
      </c>
      <c r="K2240" s="2" t="n">
        <v>1088</v>
      </c>
      <c r="L2240" s="2" t="inlineStr">
        <is>
          <t>Air</t>
        </is>
      </c>
      <c r="M2240" s="2" t="inlineStr">
        <is>
          <t>No Delay</t>
        </is>
      </c>
      <c r="N2240" s="4">
        <f>IF(I2240&lt;=H2240,1,0)</f>
        <v/>
      </c>
      <c r="O2240" s="4">
        <f>IF(J2240&lt;=G2240,1,0)</f>
        <v/>
      </c>
      <c r="P2240" s="4">
        <f>MAX(0,I2240-H2240)</f>
        <v/>
      </c>
      <c r="Q2240" s="4">
        <f>MAX(0,J2240-G2240)</f>
        <v/>
      </c>
      <c r="R2240" s="4">
        <f>IF(AND(N2240=1,O2240=1),"On Track",IF(O2240=0,"Customer Delivery Late","Ship Late"))</f>
        <v/>
      </c>
    </row>
    <row r="2241">
      <c r="A2241" s="2" t="inlineStr">
        <is>
          <t>ORD-02240</t>
        </is>
      </c>
      <c r="B2241" s="2" t="inlineStr">
        <is>
          <t>Customer 14</t>
        </is>
      </c>
      <c r="C2241" s="2" t="inlineStr">
        <is>
          <t>Sensor</t>
        </is>
      </c>
      <c r="D2241" s="2" t="inlineStr">
        <is>
          <t>Plant B</t>
        </is>
      </c>
      <c r="E2241" s="2" t="inlineStr">
        <is>
          <t>Central</t>
        </is>
      </c>
      <c r="F2241" s="12" t="n">
        <v>46198</v>
      </c>
      <c r="G2241" s="12" t="n">
        <v>46208</v>
      </c>
      <c r="H2241" s="12" t="n">
        <v>46204</v>
      </c>
      <c r="I2241" s="12" t="n">
        <v>46202</v>
      </c>
      <c r="J2241" s="12" t="n">
        <v>46207</v>
      </c>
      <c r="K2241" s="2" t="n">
        <v>559</v>
      </c>
      <c r="L2241" s="2" t="inlineStr">
        <is>
          <t>Sea</t>
        </is>
      </c>
      <c r="M2241" s="2" t="inlineStr">
        <is>
          <t>No Delay</t>
        </is>
      </c>
      <c r="N2241" s="4">
        <f>IF(I2241&lt;=H2241,1,0)</f>
        <v/>
      </c>
      <c r="O2241" s="4">
        <f>IF(J2241&lt;=G2241,1,0)</f>
        <v/>
      </c>
      <c r="P2241" s="4">
        <f>MAX(0,I2241-H2241)</f>
        <v/>
      </c>
      <c r="Q2241" s="4">
        <f>MAX(0,J2241-G2241)</f>
        <v/>
      </c>
      <c r="R2241" s="4">
        <f>IF(AND(N2241=1,O2241=1),"On Track",IF(O2241=0,"Customer Delivery Late","Ship Late"))</f>
        <v/>
      </c>
    </row>
    <row r="2242">
      <c r="A2242" s="2" t="inlineStr">
        <is>
          <t>ORD-02241</t>
        </is>
      </c>
      <c r="B2242" s="2" t="inlineStr">
        <is>
          <t>Customer 20</t>
        </is>
      </c>
      <c r="C2242" s="2" t="inlineStr">
        <is>
          <t>Power Supply</t>
        </is>
      </c>
      <c r="D2242" s="2" t="inlineStr">
        <is>
          <t>Plant B</t>
        </is>
      </c>
      <c r="E2242" s="2" t="inlineStr">
        <is>
          <t>Export</t>
        </is>
      </c>
      <c r="F2242" s="12" t="n">
        <v>46127</v>
      </c>
      <c r="G2242" s="12" t="n">
        <v>46143</v>
      </c>
      <c r="H2242" s="12" t="n">
        <v>46140</v>
      </c>
      <c r="I2242" s="12" t="n">
        <v>46139</v>
      </c>
      <c r="J2242" s="12" t="n">
        <v>46142</v>
      </c>
      <c r="K2242" s="2" t="n">
        <v>496</v>
      </c>
      <c r="L2242" s="2" t="inlineStr">
        <is>
          <t>Sea</t>
        </is>
      </c>
      <c r="M2242" s="2" t="inlineStr">
        <is>
          <t>No Delay</t>
        </is>
      </c>
      <c r="N2242" s="4">
        <f>IF(I2242&lt;=H2242,1,0)</f>
        <v/>
      </c>
      <c r="O2242" s="4">
        <f>IF(J2242&lt;=G2242,1,0)</f>
        <v/>
      </c>
      <c r="P2242" s="4">
        <f>MAX(0,I2242-H2242)</f>
        <v/>
      </c>
      <c r="Q2242" s="4">
        <f>MAX(0,J2242-G2242)</f>
        <v/>
      </c>
      <c r="R2242" s="4">
        <f>IF(AND(N2242=1,O2242=1),"On Track",IF(O2242=0,"Customer Delivery Late","Ship Late"))</f>
        <v/>
      </c>
    </row>
    <row r="2243">
      <c r="A2243" s="2" t="inlineStr">
        <is>
          <t>ORD-02242</t>
        </is>
      </c>
      <c r="B2243" s="2" t="inlineStr">
        <is>
          <t>Customer 13</t>
        </is>
      </c>
      <c r="C2243" s="2" t="inlineStr">
        <is>
          <t>PLC</t>
        </is>
      </c>
      <c r="D2243" s="2" t="inlineStr">
        <is>
          <t>Plant A</t>
        </is>
      </c>
      <c r="E2243" s="2" t="inlineStr">
        <is>
          <t>North</t>
        </is>
      </c>
      <c r="F2243" s="12" t="n">
        <v>46025</v>
      </c>
      <c r="G2243" s="12" t="n">
        <v>46031</v>
      </c>
      <c r="H2243" s="12" t="n">
        <v>46026</v>
      </c>
      <c r="I2243" s="12" t="n">
        <v>46025</v>
      </c>
      <c r="J2243" s="12" t="n">
        <v>46029</v>
      </c>
      <c r="K2243" s="2" t="n">
        <v>680</v>
      </c>
      <c r="L2243" s="2" t="inlineStr">
        <is>
          <t>Sea</t>
        </is>
      </c>
      <c r="M2243" s="2" t="inlineStr">
        <is>
          <t>No Delay</t>
        </is>
      </c>
      <c r="N2243" s="4">
        <f>IF(I2243&lt;=H2243,1,0)</f>
        <v/>
      </c>
      <c r="O2243" s="4">
        <f>IF(J2243&lt;=G2243,1,0)</f>
        <v/>
      </c>
      <c r="P2243" s="4">
        <f>MAX(0,I2243-H2243)</f>
        <v/>
      </c>
      <c r="Q2243" s="4">
        <f>MAX(0,J2243-G2243)</f>
        <v/>
      </c>
      <c r="R2243" s="4">
        <f>IF(AND(N2243=1,O2243=1),"On Track",IF(O2243=0,"Customer Delivery Late","Ship Late"))</f>
        <v/>
      </c>
    </row>
    <row r="2244">
      <c r="A2244" s="2" t="inlineStr">
        <is>
          <t>ORD-02243</t>
        </is>
      </c>
      <c r="B2244" s="2" t="inlineStr">
        <is>
          <t>Customer 25</t>
        </is>
      </c>
      <c r="C2244" s="2" t="inlineStr">
        <is>
          <t>PLC</t>
        </is>
      </c>
      <c r="D2244" s="2" t="inlineStr">
        <is>
          <t>Plant B</t>
        </is>
      </c>
      <c r="E2244" s="2" t="inlineStr">
        <is>
          <t>Central</t>
        </is>
      </c>
      <c r="F2244" s="12" t="n">
        <v>46144</v>
      </c>
      <c r="G2244" s="12" t="n">
        <v>46169</v>
      </c>
      <c r="H2244" s="12" t="n">
        <v>46167</v>
      </c>
      <c r="I2244" s="12" t="n">
        <v>46166</v>
      </c>
      <c r="J2244" s="12" t="n">
        <v>46168</v>
      </c>
      <c r="K2244" s="2" t="n">
        <v>992</v>
      </c>
      <c r="L2244" s="2" t="inlineStr">
        <is>
          <t>Air</t>
        </is>
      </c>
      <c r="M2244" s="2" t="inlineStr">
        <is>
          <t>No Delay</t>
        </is>
      </c>
      <c r="N2244" s="4">
        <f>IF(I2244&lt;=H2244,1,0)</f>
        <v/>
      </c>
      <c r="O2244" s="4">
        <f>IF(J2244&lt;=G2244,1,0)</f>
        <v/>
      </c>
      <c r="P2244" s="4">
        <f>MAX(0,I2244-H2244)</f>
        <v/>
      </c>
      <c r="Q2244" s="4">
        <f>MAX(0,J2244-G2244)</f>
        <v/>
      </c>
      <c r="R2244" s="4">
        <f>IF(AND(N2244=1,O2244=1),"On Track",IF(O2244=0,"Customer Delivery Late","Ship Late"))</f>
        <v/>
      </c>
    </row>
    <row r="2245">
      <c r="A2245" s="2" t="inlineStr">
        <is>
          <t>ORD-02244</t>
        </is>
      </c>
      <c r="B2245" s="2" t="inlineStr">
        <is>
          <t>Customer 02</t>
        </is>
      </c>
      <c r="C2245" s="2" t="inlineStr">
        <is>
          <t>Contactor</t>
        </is>
      </c>
      <c r="D2245" s="2" t="inlineStr">
        <is>
          <t>Plant C</t>
        </is>
      </c>
      <c r="E2245" s="2" t="inlineStr">
        <is>
          <t>North</t>
        </is>
      </c>
      <c r="F2245" s="12" t="n">
        <v>46128</v>
      </c>
      <c r="G2245" s="12" t="n">
        <v>46150</v>
      </c>
      <c r="H2245" s="12" t="n">
        <v>46149</v>
      </c>
      <c r="I2245" s="12" t="n">
        <v>46149</v>
      </c>
      <c r="J2245" s="12" t="n">
        <v>46150</v>
      </c>
      <c r="K2245" s="2" t="n">
        <v>572</v>
      </c>
      <c r="L2245" s="2" t="inlineStr">
        <is>
          <t>Road</t>
        </is>
      </c>
      <c r="M2245" s="2" t="inlineStr">
        <is>
          <t>No Delay</t>
        </is>
      </c>
      <c r="N2245" s="4">
        <f>IF(I2245&lt;=H2245,1,0)</f>
        <v/>
      </c>
      <c r="O2245" s="4">
        <f>IF(J2245&lt;=G2245,1,0)</f>
        <v/>
      </c>
      <c r="P2245" s="4">
        <f>MAX(0,I2245-H2245)</f>
        <v/>
      </c>
      <c r="Q2245" s="4">
        <f>MAX(0,J2245-G2245)</f>
        <v/>
      </c>
      <c r="R2245" s="4">
        <f>IF(AND(N2245=1,O2245=1),"On Track",IF(O2245=0,"Customer Delivery Late","Ship Late"))</f>
        <v/>
      </c>
    </row>
    <row r="2246">
      <c r="A2246" s="2" t="inlineStr">
        <is>
          <t>ORD-02245</t>
        </is>
      </c>
      <c r="B2246" s="2" t="inlineStr">
        <is>
          <t>Customer 08</t>
        </is>
      </c>
      <c r="C2246" s="2" t="inlineStr">
        <is>
          <t>Drive</t>
        </is>
      </c>
      <c r="D2246" s="2" t="inlineStr">
        <is>
          <t>Plant C</t>
        </is>
      </c>
      <c r="E2246" s="2" t="inlineStr">
        <is>
          <t>Export</t>
        </is>
      </c>
      <c r="F2246" s="12" t="n">
        <v>46075</v>
      </c>
      <c r="G2246" s="12" t="n">
        <v>46086</v>
      </c>
      <c r="H2246" s="12" t="n">
        <v>46083</v>
      </c>
      <c r="I2246" s="12" t="n">
        <v>46081</v>
      </c>
      <c r="J2246" s="12" t="n">
        <v>46084</v>
      </c>
      <c r="K2246" s="2" t="n">
        <v>829</v>
      </c>
      <c r="L2246" s="2" t="inlineStr">
        <is>
          <t>Sea</t>
        </is>
      </c>
      <c r="M2246" s="2" t="inlineStr">
        <is>
          <t>No Delay</t>
        </is>
      </c>
      <c r="N2246" s="4">
        <f>IF(I2246&lt;=H2246,1,0)</f>
        <v/>
      </c>
      <c r="O2246" s="4">
        <f>IF(J2246&lt;=G2246,1,0)</f>
        <v/>
      </c>
      <c r="P2246" s="4">
        <f>MAX(0,I2246-H2246)</f>
        <v/>
      </c>
      <c r="Q2246" s="4">
        <f>MAX(0,J2246-G2246)</f>
        <v/>
      </c>
      <c r="R2246" s="4">
        <f>IF(AND(N2246=1,O2246=1),"On Track",IF(O2246=0,"Customer Delivery Late","Ship Late"))</f>
        <v/>
      </c>
    </row>
    <row r="2247">
      <c r="A2247" s="2" t="inlineStr">
        <is>
          <t>ORD-02246</t>
        </is>
      </c>
      <c r="B2247" s="2" t="inlineStr">
        <is>
          <t>Customer 19</t>
        </is>
      </c>
      <c r="C2247" s="2" t="inlineStr">
        <is>
          <t>Relay</t>
        </is>
      </c>
      <c r="D2247" s="2" t="inlineStr">
        <is>
          <t>Plant B</t>
        </is>
      </c>
      <c r="E2247" s="2" t="inlineStr">
        <is>
          <t>North</t>
        </is>
      </c>
      <c r="F2247" s="12" t="n">
        <v>46147</v>
      </c>
      <c r="G2247" s="12" t="n">
        <v>46155</v>
      </c>
      <c r="H2247" s="12" t="n">
        <v>46152</v>
      </c>
      <c r="I2247" s="12" t="n">
        <v>46151</v>
      </c>
      <c r="J2247" s="12" t="n">
        <v>46153</v>
      </c>
      <c r="K2247" s="2" t="n">
        <v>1269</v>
      </c>
      <c r="L2247" s="2" t="inlineStr">
        <is>
          <t>Air</t>
        </is>
      </c>
      <c r="M2247" s="2" t="inlineStr">
        <is>
          <t>No Delay</t>
        </is>
      </c>
      <c r="N2247" s="4">
        <f>IF(I2247&lt;=H2247,1,0)</f>
        <v/>
      </c>
      <c r="O2247" s="4">
        <f>IF(J2247&lt;=G2247,1,0)</f>
        <v/>
      </c>
      <c r="P2247" s="4">
        <f>MAX(0,I2247-H2247)</f>
        <v/>
      </c>
      <c r="Q2247" s="4">
        <f>MAX(0,J2247-G2247)</f>
        <v/>
      </c>
      <c r="R2247" s="4">
        <f>IF(AND(N2247=1,O2247=1),"On Track",IF(O2247=0,"Customer Delivery Late","Ship Late"))</f>
        <v/>
      </c>
    </row>
    <row r="2248">
      <c r="A2248" s="2" t="inlineStr">
        <is>
          <t>ORD-02247</t>
        </is>
      </c>
      <c r="B2248" s="2" t="inlineStr">
        <is>
          <t>Customer 11</t>
        </is>
      </c>
      <c r="C2248" s="2" t="inlineStr">
        <is>
          <t>PLC</t>
        </is>
      </c>
      <c r="D2248" s="2" t="inlineStr">
        <is>
          <t>Plant B</t>
        </is>
      </c>
      <c r="E2248" s="2" t="inlineStr">
        <is>
          <t>South</t>
        </is>
      </c>
      <c r="F2248" s="12" t="n">
        <v>46147</v>
      </c>
      <c r="G2248" s="12" t="n">
        <v>46160</v>
      </c>
      <c r="H2248" s="12" t="n">
        <v>46156</v>
      </c>
      <c r="I2248" s="12" t="n">
        <v>46154</v>
      </c>
      <c r="J2248" s="12" t="n">
        <v>46158</v>
      </c>
      <c r="K2248" s="2" t="n">
        <v>1288</v>
      </c>
      <c r="L2248" s="2" t="inlineStr">
        <is>
          <t>Sea</t>
        </is>
      </c>
      <c r="M2248" s="2" t="inlineStr">
        <is>
          <t>No Delay</t>
        </is>
      </c>
      <c r="N2248" s="4">
        <f>IF(I2248&lt;=H2248,1,0)</f>
        <v/>
      </c>
      <c r="O2248" s="4">
        <f>IF(J2248&lt;=G2248,1,0)</f>
        <v/>
      </c>
      <c r="P2248" s="4">
        <f>MAX(0,I2248-H2248)</f>
        <v/>
      </c>
      <c r="Q2248" s="4">
        <f>MAX(0,J2248-G2248)</f>
        <v/>
      </c>
      <c r="R2248" s="4">
        <f>IF(AND(N2248=1,O2248=1),"On Track",IF(O2248=0,"Customer Delivery Late","Ship Late"))</f>
        <v/>
      </c>
    </row>
    <row r="2249">
      <c r="A2249" s="2" t="inlineStr">
        <is>
          <t>ORD-02248</t>
        </is>
      </c>
      <c r="B2249" s="2" t="inlineStr">
        <is>
          <t>Customer 21</t>
        </is>
      </c>
      <c r="C2249" s="2" t="inlineStr">
        <is>
          <t>Relay</t>
        </is>
      </c>
      <c r="D2249" s="2" t="inlineStr">
        <is>
          <t>Plant C</t>
        </is>
      </c>
      <c r="E2249" s="2" t="inlineStr">
        <is>
          <t>South</t>
        </is>
      </c>
      <c r="F2249" s="12" t="n">
        <v>46039</v>
      </c>
      <c r="G2249" s="12" t="n">
        <v>46047</v>
      </c>
      <c r="H2249" s="12" t="n">
        <v>46042</v>
      </c>
      <c r="I2249" s="12" t="n">
        <v>46042</v>
      </c>
      <c r="J2249" s="12" t="n">
        <v>46047</v>
      </c>
      <c r="K2249" s="2" t="n">
        <v>97</v>
      </c>
      <c r="L2249" s="2" t="inlineStr">
        <is>
          <t>Road</t>
        </is>
      </c>
      <c r="M2249" s="2" t="inlineStr">
        <is>
          <t>No Delay</t>
        </is>
      </c>
      <c r="N2249" s="4">
        <f>IF(I2249&lt;=H2249,1,0)</f>
        <v/>
      </c>
      <c r="O2249" s="4">
        <f>IF(J2249&lt;=G2249,1,0)</f>
        <v/>
      </c>
      <c r="P2249" s="4">
        <f>MAX(0,I2249-H2249)</f>
        <v/>
      </c>
      <c r="Q2249" s="4">
        <f>MAX(0,J2249-G2249)</f>
        <v/>
      </c>
      <c r="R2249" s="4">
        <f>IF(AND(N2249=1,O2249=1),"On Track",IF(O2249=0,"Customer Delivery Late","Ship Late"))</f>
        <v/>
      </c>
    </row>
    <row r="2250">
      <c r="A2250" s="2" t="inlineStr">
        <is>
          <t>ORD-02249</t>
        </is>
      </c>
      <c r="B2250" s="2" t="inlineStr">
        <is>
          <t>Customer 22</t>
        </is>
      </c>
      <c r="C2250" s="2" t="inlineStr">
        <is>
          <t>Switchgear</t>
        </is>
      </c>
      <c r="D2250" s="2" t="inlineStr">
        <is>
          <t>Plant B</t>
        </is>
      </c>
      <c r="E2250" s="2" t="inlineStr">
        <is>
          <t>South</t>
        </is>
      </c>
      <c r="F2250" s="12" t="n">
        <v>46044</v>
      </c>
      <c r="G2250" s="12" t="n">
        <v>46060</v>
      </c>
      <c r="H2250" s="12" t="n">
        <v>46057</v>
      </c>
      <c r="I2250" s="12" t="n">
        <v>46057</v>
      </c>
      <c r="J2250" s="12" t="n">
        <v>46061</v>
      </c>
      <c r="K2250" s="2" t="n">
        <v>665</v>
      </c>
      <c r="L2250" s="2" t="inlineStr">
        <is>
          <t>Sea</t>
        </is>
      </c>
      <c r="M2250" s="2" t="inlineStr">
        <is>
          <t>Material Shortage</t>
        </is>
      </c>
      <c r="N2250" s="4">
        <f>IF(I2250&lt;=H2250,1,0)</f>
        <v/>
      </c>
      <c r="O2250" s="4">
        <f>IF(J2250&lt;=G2250,1,0)</f>
        <v/>
      </c>
      <c r="P2250" s="4">
        <f>MAX(0,I2250-H2250)</f>
        <v/>
      </c>
      <c r="Q2250" s="4">
        <f>MAX(0,J2250-G2250)</f>
        <v/>
      </c>
      <c r="R2250" s="4">
        <f>IF(AND(N2250=1,O2250=1),"On Track",IF(O2250=0,"Customer Delivery Late","Ship Late"))</f>
        <v/>
      </c>
    </row>
    <row r="2251">
      <c r="A2251" s="2" t="inlineStr">
        <is>
          <t>ORD-02250</t>
        </is>
      </c>
      <c r="B2251" s="2" t="inlineStr">
        <is>
          <t>Customer 12</t>
        </is>
      </c>
      <c r="C2251" s="2" t="inlineStr">
        <is>
          <t>Power Supply</t>
        </is>
      </c>
      <c r="D2251" s="2" t="inlineStr">
        <is>
          <t>Plant B</t>
        </is>
      </c>
      <c r="E2251" s="2" t="inlineStr">
        <is>
          <t>South</t>
        </is>
      </c>
      <c r="F2251" s="12" t="n">
        <v>46058</v>
      </c>
      <c r="G2251" s="12" t="n">
        <v>46065</v>
      </c>
      <c r="H2251" s="12" t="n">
        <v>46063</v>
      </c>
      <c r="I2251" s="12" t="n">
        <v>46062</v>
      </c>
      <c r="J2251" s="12" t="n">
        <v>46064</v>
      </c>
      <c r="K2251" s="2" t="n">
        <v>600</v>
      </c>
      <c r="L2251" s="2" t="inlineStr">
        <is>
          <t>Sea</t>
        </is>
      </c>
      <c r="M2251" s="2" t="inlineStr">
        <is>
          <t>No Delay</t>
        </is>
      </c>
      <c r="N2251" s="4">
        <f>IF(I2251&lt;=H2251,1,0)</f>
        <v/>
      </c>
      <c r="O2251" s="4">
        <f>IF(J2251&lt;=G2251,1,0)</f>
        <v/>
      </c>
      <c r="P2251" s="4">
        <f>MAX(0,I2251-H2251)</f>
        <v/>
      </c>
      <c r="Q2251" s="4">
        <f>MAX(0,J2251-G2251)</f>
        <v/>
      </c>
      <c r="R2251" s="4">
        <f>IF(AND(N2251=1,O2251=1),"On Track",IF(O2251=0,"Customer Delivery Late","Ship Late"))</f>
        <v/>
      </c>
    </row>
    <row r="2252">
      <c r="A2252" s="2" t="inlineStr">
        <is>
          <t>ORD-02251</t>
        </is>
      </c>
      <c r="B2252" s="2" t="inlineStr">
        <is>
          <t>Customer 26</t>
        </is>
      </c>
      <c r="C2252" s="2" t="inlineStr">
        <is>
          <t>Contactor</t>
        </is>
      </c>
      <c r="D2252" s="2" t="inlineStr">
        <is>
          <t>Plant C</t>
        </is>
      </c>
      <c r="E2252" s="2" t="inlineStr">
        <is>
          <t>North</t>
        </is>
      </c>
      <c r="F2252" s="12" t="n">
        <v>46124</v>
      </c>
      <c r="G2252" s="12" t="n">
        <v>46129</v>
      </c>
      <c r="H2252" s="12" t="n">
        <v>46125</v>
      </c>
      <c r="I2252" s="12" t="n">
        <v>46123</v>
      </c>
      <c r="J2252" s="12" t="n">
        <v>46127</v>
      </c>
      <c r="K2252" s="2" t="n">
        <v>944</v>
      </c>
      <c r="L2252" s="2" t="inlineStr">
        <is>
          <t>Air</t>
        </is>
      </c>
      <c r="M2252" s="2" t="inlineStr">
        <is>
          <t>No Delay</t>
        </is>
      </c>
      <c r="N2252" s="4">
        <f>IF(I2252&lt;=H2252,1,0)</f>
        <v/>
      </c>
      <c r="O2252" s="4">
        <f>IF(J2252&lt;=G2252,1,0)</f>
        <v/>
      </c>
      <c r="P2252" s="4">
        <f>MAX(0,I2252-H2252)</f>
        <v/>
      </c>
      <c r="Q2252" s="4">
        <f>MAX(0,J2252-G2252)</f>
        <v/>
      </c>
      <c r="R2252" s="4">
        <f>IF(AND(N2252=1,O2252=1),"On Track",IF(O2252=0,"Customer Delivery Late","Ship Late"))</f>
        <v/>
      </c>
    </row>
    <row r="2253">
      <c r="A2253" s="2" t="inlineStr">
        <is>
          <t>ORD-02252</t>
        </is>
      </c>
      <c r="B2253" s="2" t="inlineStr">
        <is>
          <t>Customer 10</t>
        </is>
      </c>
      <c r="C2253" s="2" t="inlineStr">
        <is>
          <t>Relay</t>
        </is>
      </c>
      <c r="D2253" s="2" t="inlineStr">
        <is>
          <t>Plant B</t>
        </is>
      </c>
      <c r="E2253" s="2" t="inlineStr">
        <is>
          <t>Central</t>
        </is>
      </c>
      <c r="F2253" s="12" t="n">
        <v>46118</v>
      </c>
      <c r="G2253" s="12" t="n">
        <v>46134</v>
      </c>
      <c r="H2253" s="12" t="n">
        <v>46133</v>
      </c>
      <c r="I2253" s="12" t="n">
        <v>46133</v>
      </c>
      <c r="J2253" s="12" t="n">
        <v>46134</v>
      </c>
      <c r="K2253" s="2" t="n">
        <v>1386</v>
      </c>
      <c r="L2253" s="2" t="inlineStr">
        <is>
          <t>Road</t>
        </is>
      </c>
      <c r="M2253" s="2" t="inlineStr">
        <is>
          <t>No Delay</t>
        </is>
      </c>
      <c r="N2253" s="4">
        <f>IF(I2253&lt;=H2253,1,0)</f>
        <v/>
      </c>
      <c r="O2253" s="4">
        <f>IF(J2253&lt;=G2253,1,0)</f>
        <v/>
      </c>
      <c r="P2253" s="4">
        <f>MAX(0,I2253-H2253)</f>
        <v/>
      </c>
      <c r="Q2253" s="4">
        <f>MAX(0,J2253-G2253)</f>
        <v/>
      </c>
      <c r="R2253" s="4">
        <f>IF(AND(N2253=1,O2253=1),"On Track",IF(O2253=0,"Customer Delivery Late","Ship Late"))</f>
        <v/>
      </c>
    </row>
    <row r="2254">
      <c r="A2254" s="2" t="inlineStr">
        <is>
          <t>ORD-02253</t>
        </is>
      </c>
      <c r="B2254" s="2" t="inlineStr">
        <is>
          <t>Customer 22</t>
        </is>
      </c>
      <c r="C2254" s="2" t="inlineStr">
        <is>
          <t>Switchgear</t>
        </is>
      </c>
      <c r="D2254" s="2" t="inlineStr">
        <is>
          <t>Plant B</t>
        </is>
      </c>
      <c r="E2254" s="2" t="inlineStr">
        <is>
          <t>Export</t>
        </is>
      </c>
      <c r="F2254" s="12" t="n">
        <v>46132</v>
      </c>
      <c r="G2254" s="12" t="n">
        <v>46145</v>
      </c>
      <c r="H2254" s="12" t="n">
        <v>46140</v>
      </c>
      <c r="I2254" s="12" t="n">
        <v>46140</v>
      </c>
      <c r="J2254" s="12" t="n">
        <v>46146</v>
      </c>
      <c r="K2254" s="2" t="n">
        <v>921</v>
      </c>
      <c r="L2254" s="2" t="inlineStr">
        <is>
          <t>Air</t>
        </is>
      </c>
      <c r="M2254" s="2" t="inlineStr">
        <is>
          <t>Carrier Delay</t>
        </is>
      </c>
      <c r="N2254" s="4">
        <f>IF(I2254&lt;=H2254,1,0)</f>
        <v/>
      </c>
      <c r="O2254" s="4">
        <f>IF(J2254&lt;=G2254,1,0)</f>
        <v/>
      </c>
      <c r="P2254" s="4">
        <f>MAX(0,I2254-H2254)</f>
        <v/>
      </c>
      <c r="Q2254" s="4">
        <f>MAX(0,J2254-G2254)</f>
        <v/>
      </c>
      <c r="R2254" s="4">
        <f>IF(AND(N2254=1,O2254=1),"On Track",IF(O2254=0,"Customer Delivery Late","Ship Late"))</f>
        <v/>
      </c>
    </row>
    <row r="2255">
      <c r="A2255" s="2" t="inlineStr">
        <is>
          <t>ORD-02254</t>
        </is>
      </c>
      <c r="B2255" s="2" t="inlineStr">
        <is>
          <t>Customer 10</t>
        </is>
      </c>
      <c r="C2255" s="2" t="inlineStr">
        <is>
          <t>Sensor</t>
        </is>
      </c>
      <c r="D2255" s="2" t="inlineStr">
        <is>
          <t>Plant C</t>
        </is>
      </c>
      <c r="E2255" s="2" t="inlineStr">
        <is>
          <t>Central</t>
        </is>
      </c>
      <c r="F2255" s="12" t="n">
        <v>46112</v>
      </c>
      <c r="G2255" s="12" t="n">
        <v>46129</v>
      </c>
      <c r="H2255" s="12" t="n">
        <v>46126</v>
      </c>
      <c r="I2255" s="12" t="n">
        <v>46124</v>
      </c>
      <c r="J2255" s="12" t="n">
        <v>46126</v>
      </c>
      <c r="K2255" s="2" t="n">
        <v>1317</v>
      </c>
      <c r="L2255" s="2" t="inlineStr">
        <is>
          <t>Air</t>
        </is>
      </c>
      <c r="M2255" s="2" t="inlineStr">
        <is>
          <t>No Delay</t>
        </is>
      </c>
      <c r="N2255" s="4">
        <f>IF(I2255&lt;=H2255,1,0)</f>
        <v/>
      </c>
      <c r="O2255" s="4">
        <f>IF(J2255&lt;=G2255,1,0)</f>
        <v/>
      </c>
      <c r="P2255" s="4">
        <f>MAX(0,I2255-H2255)</f>
        <v/>
      </c>
      <c r="Q2255" s="4">
        <f>MAX(0,J2255-G2255)</f>
        <v/>
      </c>
      <c r="R2255" s="4">
        <f>IF(AND(N2255=1,O2255=1),"On Track",IF(O2255=0,"Customer Delivery Late","Ship Late"))</f>
        <v/>
      </c>
    </row>
    <row r="2256">
      <c r="A2256" s="2" t="inlineStr">
        <is>
          <t>ORD-02255</t>
        </is>
      </c>
      <c r="B2256" s="2" t="inlineStr">
        <is>
          <t>Customer 26</t>
        </is>
      </c>
      <c r="C2256" s="2" t="inlineStr">
        <is>
          <t>Relay</t>
        </is>
      </c>
      <c r="D2256" s="2" t="inlineStr">
        <is>
          <t>Plant A</t>
        </is>
      </c>
      <c r="E2256" s="2" t="inlineStr">
        <is>
          <t>North</t>
        </is>
      </c>
      <c r="F2256" s="12" t="n">
        <v>46079</v>
      </c>
      <c r="G2256" s="12" t="n">
        <v>46097</v>
      </c>
      <c r="H2256" s="12" t="n">
        <v>46092</v>
      </c>
      <c r="I2256" s="12" t="n">
        <v>46091</v>
      </c>
      <c r="J2256" s="12" t="n">
        <v>46096</v>
      </c>
      <c r="K2256" s="2" t="n">
        <v>1202</v>
      </c>
      <c r="L2256" s="2" t="inlineStr">
        <is>
          <t>Air</t>
        </is>
      </c>
      <c r="M2256" s="2" t="inlineStr">
        <is>
          <t>No Delay</t>
        </is>
      </c>
      <c r="N2256" s="4">
        <f>IF(I2256&lt;=H2256,1,0)</f>
        <v/>
      </c>
      <c r="O2256" s="4">
        <f>IF(J2256&lt;=G2256,1,0)</f>
        <v/>
      </c>
      <c r="P2256" s="4">
        <f>MAX(0,I2256-H2256)</f>
        <v/>
      </c>
      <c r="Q2256" s="4">
        <f>MAX(0,J2256-G2256)</f>
        <v/>
      </c>
      <c r="R2256" s="4">
        <f>IF(AND(N2256=1,O2256=1),"On Track",IF(O2256=0,"Customer Delivery Late","Ship Late"))</f>
        <v/>
      </c>
    </row>
    <row r="2257">
      <c r="A2257" s="2" t="inlineStr">
        <is>
          <t>ORD-02256</t>
        </is>
      </c>
      <c r="B2257" s="2" t="inlineStr">
        <is>
          <t>Customer 12</t>
        </is>
      </c>
      <c r="C2257" s="2" t="inlineStr">
        <is>
          <t>PLC</t>
        </is>
      </c>
      <c r="D2257" s="2" t="inlineStr">
        <is>
          <t>Plant B</t>
        </is>
      </c>
      <c r="E2257" s="2" t="inlineStr">
        <is>
          <t>Export</t>
        </is>
      </c>
      <c r="F2257" s="12" t="n">
        <v>46179</v>
      </c>
      <c r="G2257" s="12" t="n">
        <v>46185</v>
      </c>
      <c r="H2257" s="12" t="n">
        <v>46181</v>
      </c>
      <c r="I2257" s="12" t="n">
        <v>46181</v>
      </c>
      <c r="J2257" s="12" t="n">
        <v>46185</v>
      </c>
      <c r="K2257" s="2" t="n">
        <v>965</v>
      </c>
      <c r="L2257" s="2" t="inlineStr">
        <is>
          <t>Road</t>
        </is>
      </c>
      <c r="M2257" s="2" t="inlineStr">
        <is>
          <t>No Delay</t>
        </is>
      </c>
      <c r="N2257" s="4">
        <f>IF(I2257&lt;=H2257,1,0)</f>
        <v/>
      </c>
      <c r="O2257" s="4">
        <f>IF(J2257&lt;=G2257,1,0)</f>
        <v/>
      </c>
      <c r="P2257" s="4">
        <f>MAX(0,I2257-H2257)</f>
        <v/>
      </c>
      <c r="Q2257" s="4">
        <f>MAX(0,J2257-G2257)</f>
        <v/>
      </c>
      <c r="R2257" s="4">
        <f>IF(AND(N2257=1,O2257=1),"On Track",IF(O2257=0,"Customer Delivery Late","Ship Late"))</f>
        <v/>
      </c>
    </row>
    <row r="2258">
      <c r="A2258" s="2" t="inlineStr">
        <is>
          <t>ORD-02257</t>
        </is>
      </c>
      <c r="B2258" s="2" t="inlineStr">
        <is>
          <t>Customer 08</t>
        </is>
      </c>
      <c r="C2258" s="2" t="inlineStr">
        <is>
          <t>Sensor</t>
        </is>
      </c>
      <c r="D2258" s="2" t="inlineStr">
        <is>
          <t>Plant C</t>
        </is>
      </c>
      <c r="E2258" s="2" t="inlineStr">
        <is>
          <t>South</t>
        </is>
      </c>
      <c r="F2258" s="12" t="n">
        <v>46036</v>
      </c>
      <c r="G2258" s="12" t="n">
        <v>46042</v>
      </c>
      <c r="H2258" s="12" t="n">
        <v>46041</v>
      </c>
      <c r="I2258" s="12" t="n">
        <v>46040</v>
      </c>
      <c r="J2258" s="12" t="n">
        <v>46041</v>
      </c>
      <c r="K2258" s="2" t="n">
        <v>502</v>
      </c>
      <c r="L2258" s="2" t="inlineStr">
        <is>
          <t>Sea</t>
        </is>
      </c>
      <c r="M2258" s="2" t="inlineStr">
        <is>
          <t>No Delay</t>
        </is>
      </c>
      <c r="N2258" s="4">
        <f>IF(I2258&lt;=H2258,1,0)</f>
        <v/>
      </c>
      <c r="O2258" s="4">
        <f>IF(J2258&lt;=G2258,1,0)</f>
        <v/>
      </c>
      <c r="P2258" s="4">
        <f>MAX(0,I2258-H2258)</f>
        <v/>
      </c>
      <c r="Q2258" s="4">
        <f>MAX(0,J2258-G2258)</f>
        <v/>
      </c>
      <c r="R2258" s="4">
        <f>IF(AND(N2258=1,O2258=1),"On Track",IF(O2258=0,"Customer Delivery Late","Ship Late"))</f>
        <v/>
      </c>
    </row>
    <row r="2259">
      <c r="A2259" s="2" t="inlineStr">
        <is>
          <t>ORD-02258</t>
        </is>
      </c>
      <c r="B2259" s="2" t="inlineStr">
        <is>
          <t>Customer 17</t>
        </is>
      </c>
      <c r="C2259" s="2" t="inlineStr">
        <is>
          <t>Drive</t>
        </is>
      </c>
      <c r="D2259" s="2" t="inlineStr">
        <is>
          <t>Plant B</t>
        </is>
      </c>
      <c r="E2259" s="2" t="inlineStr">
        <is>
          <t>South</t>
        </is>
      </c>
      <c r="F2259" s="12" t="n">
        <v>46041</v>
      </c>
      <c r="G2259" s="12" t="n">
        <v>46054</v>
      </c>
      <c r="H2259" s="12" t="n">
        <v>46049</v>
      </c>
      <c r="I2259" s="12" t="n">
        <v>46047</v>
      </c>
      <c r="J2259" s="12" t="n">
        <v>46052</v>
      </c>
      <c r="K2259" s="2" t="n">
        <v>222</v>
      </c>
      <c r="L2259" s="2" t="inlineStr">
        <is>
          <t>Road</t>
        </is>
      </c>
      <c r="M2259" s="2" t="inlineStr">
        <is>
          <t>No Delay</t>
        </is>
      </c>
      <c r="N2259" s="4">
        <f>IF(I2259&lt;=H2259,1,0)</f>
        <v/>
      </c>
      <c r="O2259" s="4">
        <f>IF(J2259&lt;=G2259,1,0)</f>
        <v/>
      </c>
      <c r="P2259" s="4">
        <f>MAX(0,I2259-H2259)</f>
        <v/>
      </c>
      <c r="Q2259" s="4">
        <f>MAX(0,J2259-G2259)</f>
        <v/>
      </c>
      <c r="R2259" s="4">
        <f>IF(AND(N2259=1,O2259=1),"On Track",IF(O2259=0,"Customer Delivery Late","Ship Late"))</f>
        <v/>
      </c>
    </row>
    <row r="2260">
      <c r="A2260" s="2" t="inlineStr">
        <is>
          <t>ORD-02259</t>
        </is>
      </c>
      <c r="B2260" s="2" t="inlineStr">
        <is>
          <t>Customer 20</t>
        </is>
      </c>
      <c r="C2260" s="2" t="inlineStr">
        <is>
          <t>Drive</t>
        </is>
      </c>
      <c r="D2260" s="2" t="inlineStr">
        <is>
          <t>Plant A</t>
        </is>
      </c>
      <c r="E2260" s="2" t="inlineStr">
        <is>
          <t>Central</t>
        </is>
      </c>
      <c r="F2260" s="12" t="n">
        <v>46110</v>
      </c>
      <c r="G2260" s="12" t="n">
        <v>46123</v>
      </c>
      <c r="H2260" s="12" t="n">
        <v>46119</v>
      </c>
      <c r="I2260" s="12" t="n">
        <v>46118</v>
      </c>
      <c r="J2260" s="12" t="n">
        <v>46122</v>
      </c>
      <c r="K2260" s="2" t="n">
        <v>306</v>
      </c>
      <c r="L2260" s="2" t="inlineStr">
        <is>
          <t>Sea</t>
        </is>
      </c>
      <c r="M2260" s="2" t="inlineStr">
        <is>
          <t>No Delay</t>
        </is>
      </c>
      <c r="N2260" s="4">
        <f>IF(I2260&lt;=H2260,1,0)</f>
        <v/>
      </c>
      <c r="O2260" s="4">
        <f>IF(J2260&lt;=G2260,1,0)</f>
        <v/>
      </c>
      <c r="P2260" s="4">
        <f>MAX(0,I2260-H2260)</f>
        <v/>
      </c>
      <c r="Q2260" s="4">
        <f>MAX(0,J2260-G2260)</f>
        <v/>
      </c>
      <c r="R2260" s="4">
        <f>IF(AND(N2260=1,O2260=1),"On Track",IF(O2260=0,"Customer Delivery Late","Ship Late"))</f>
        <v/>
      </c>
    </row>
    <row r="2261">
      <c r="A2261" s="2" t="inlineStr">
        <is>
          <t>ORD-02260</t>
        </is>
      </c>
      <c r="B2261" s="2" t="inlineStr">
        <is>
          <t>Customer 10</t>
        </is>
      </c>
      <c r="C2261" s="2" t="inlineStr">
        <is>
          <t>Switchgear</t>
        </is>
      </c>
      <c r="D2261" s="2" t="inlineStr">
        <is>
          <t>Plant B</t>
        </is>
      </c>
      <c r="E2261" s="2" t="inlineStr">
        <is>
          <t>North</t>
        </is>
      </c>
      <c r="F2261" s="12" t="n">
        <v>46116</v>
      </c>
      <c r="G2261" s="12" t="n">
        <v>46132</v>
      </c>
      <c r="H2261" s="12" t="n">
        <v>46129</v>
      </c>
      <c r="I2261" s="12" t="n">
        <v>46129</v>
      </c>
      <c r="J2261" s="12" t="n">
        <v>46132</v>
      </c>
      <c r="K2261" s="2" t="n">
        <v>1348</v>
      </c>
      <c r="L2261" s="2" t="inlineStr">
        <is>
          <t>Air</t>
        </is>
      </c>
      <c r="M2261" s="2" t="inlineStr">
        <is>
          <t>No Delay</t>
        </is>
      </c>
      <c r="N2261" s="4">
        <f>IF(I2261&lt;=H2261,1,0)</f>
        <v/>
      </c>
      <c r="O2261" s="4">
        <f>IF(J2261&lt;=G2261,1,0)</f>
        <v/>
      </c>
      <c r="P2261" s="4">
        <f>MAX(0,I2261-H2261)</f>
        <v/>
      </c>
      <c r="Q2261" s="4">
        <f>MAX(0,J2261-G2261)</f>
        <v/>
      </c>
      <c r="R2261" s="4">
        <f>IF(AND(N2261=1,O2261=1),"On Track",IF(O2261=0,"Customer Delivery Late","Ship Late"))</f>
        <v/>
      </c>
    </row>
    <row r="2262">
      <c r="A2262" s="2" t="inlineStr">
        <is>
          <t>ORD-02261</t>
        </is>
      </c>
      <c r="B2262" s="2" t="inlineStr">
        <is>
          <t>Customer 14</t>
        </is>
      </c>
      <c r="C2262" s="2" t="inlineStr">
        <is>
          <t>Relay</t>
        </is>
      </c>
      <c r="D2262" s="2" t="inlineStr">
        <is>
          <t>Plant A</t>
        </is>
      </c>
      <c r="E2262" s="2" t="inlineStr">
        <is>
          <t>Central</t>
        </is>
      </c>
      <c r="F2262" s="12" t="n">
        <v>46126</v>
      </c>
      <c r="G2262" s="12" t="n">
        <v>46132</v>
      </c>
      <c r="H2262" s="12" t="n">
        <v>46130</v>
      </c>
      <c r="I2262" s="12" t="n">
        <v>46130</v>
      </c>
      <c r="J2262" s="12" t="n">
        <v>46131</v>
      </c>
      <c r="K2262" s="2" t="n">
        <v>1351</v>
      </c>
      <c r="L2262" s="2" t="inlineStr">
        <is>
          <t>Sea</t>
        </is>
      </c>
      <c r="M2262" s="2" t="inlineStr">
        <is>
          <t>No Delay</t>
        </is>
      </c>
      <c r="N2262" s="4">
        <f>IF(I2262&lt;=H2262,1,0)</f>
        <v/>
      </c>
      <c r="O2262" s="4">
        <f>IF(J2262&lt;=G2262,1,0)</f>
        <v/>
      </c>
      <c r="P2262" s="4">
        <f>MAX(0,I2262-H2262)</f>
        <v/>
      </c>
      <c r="Q2262" s="4">
        <f>MAX(0,J2262-G2262)</f>
        <v/>
      </c>
      <c r="R2262" s="4">
        <f>IF(AND(N2262=1,O2262=1),"On Track",IF(O2262=0,"Customer Delivery Late","Ship Late"))</f>
        <v/>
      </c>
    </row>
    <row r="2263">
      <c r="A2263" s="2" t="inlineStr">
        <is>
          <t>ORD-02262</t>
        </is>
      </c>
      <c r="B2263" s="2" t="inlineStr">
        <is>
          <t>Customer 19</t>
        </is>
      </c>
      <c r="C2263" s="2" t="inlineStr">
        <is>
          <t>Switchgear</t>
        </is>
      </c>
      <c r="D2263" s="2" t="inlineStr">
        <is>
          <t>Plant C</t>
        </is>
      </c>
      <c r="E2263" s="2" t="inlineStr">
        <is>
          <t>North</t>
        </is>
      </c>
      <c r="F2263" s="12" t="n">
        <v>46100</v>
      </c>
      <c r="G2263" s="12" t="n">
        <v>46119</v>
      </c>
      <c r="H2263" s="12" t="n">
        <v>46118</v>
      </c>
      <c r="I2263" s="12" t="n">
        <v>46117</v>
      </c>
      <c r="J2263" s="12" t="n">
        <v>46118</v>
      </c>
      <c r="K2263" s="2" t="n">
        <v>531</v>
      </c>
      <c r="L2263" s="2" t="inlineStr">
        <is>
          <t>Sea</t>
        </is>
      </c>
      <c r="M2263" s="2" t="inlineStr">
        <is>
          <t>No Delay</t>
        </is>
      </c>
      <c r="N2263" s="4">
        <f>IF(I2263&lt;=H2263,1,0)</f>
        <v/>
      </c>
      <c r="O2263" s="4">
        <f>IF(J2263&lt;=G2263,1,0)</f>
        <v/>
      </c>
      <c r="P2263" s="4">
        <f>MAX(0,I2263-H2263)</f>
        <v/>
      </c>
      <c r="Q2263" s="4">
        <f>MAX(0,J2263-G2263)</f>
        <v/>
      </c>
      <c r="R2263" s="4">
        <f>IF(AND(N2263=1,O2263=1),"On Track",IF(O2263=0,"Customer Delivery Late","Ship Late"))</f>
        <v/>
      </c>
    </row>
    <row r="2264">
      <c r="A2264" s="2" t="inlineStr">
        <is>
          <t>ORD-02263</t>
        </is>
      </c>
      <c r="B2264" s="2" t="inlineStr">
        <is>
          <t>Customer 12</t>
        </is>
      </c>
      <c r="C2264" s="2" t="inlineStr">
        <is>
          <t>Drive</t>
        </is>
      </c>
      <c r="D2264" s="2" t="inlineStr">
        <is>
          <t>Plant C</t>
        </is>
      </c>
      <c r="E2264" s="2" t="inlineStr">
        <is>
          <t>South</t>
        </is>
      </c>
      <c r="F2264" s="12" t="n">
        <v>46149</v>
      </c>
      <c r="G2264" s="12" t="n">
        <v>46172</v>
      </c>
      <c r="H2264" s="12" t="n">
        <v>46168</v>
      </c>
      <c r="I2264" s="12" t="n">
        <v>46168</v>
      </c>
      <c r="J2264" s="12" t="n">
        <v>46172</v>
      </c>
      <c r="K2264" s="2" t="n">
        <v>95</v>
      </c>
      <c r="L2264" s="2" t="inlineStr">
        <is>
          <t>Sea</t>
        </is>
      </c>
      <c r="M2264" s="2" t="inlineStr">
        <is>
          <t>No Delay</t>
        </is>
      </c>
      <c r="N2264" s="4">
        <f>IF(I2264&lt;=H2264,1,0)</f>
        <v/>
      </c>
      <c r="O2264" s="4">
        <f>IF(J2264&lt;=G2264,1,0)</f>
        <v/>
      </c>
      <c r="P2264" s="4">
        <f>MAX(0,I2264-H2264)</f>
        <v/>
      </c>
      <c r="Q2264" s="4">
        <f>MAX(0,J2264-G2264)</f>
        <v/>
      </c>
      <c r="R2264" s="4">
        <f>IF(AND(N2264=1,O2264=1),"On Track",IF(O2264=0,"Customer Delivery Late","Ship Late"))</f>
        <v/>
      </c>
    </row>
    <row r="2265">
      <c r="A2265" s="2" t="inlineStr">
        <is>
          <t>ORD-02264</t>
        </is>
      </c>
      <c r="B2265" s="2" t="inlineStr">
        <is>
          <t>Customer 07</t>
        </is>
      </c>
      <c r="C2265" s="2" t="inlineStr">
        <is>
          <t>Power Supply</t>
        </is>
      </c>
      <c r="D2265" s="2" t="inlineStr">
        <is>
          <t>Plant A</t>
        </is>
      </c>
      <c r="E2265" s="2" t="inlineStr">
        <is>
          <t>North</t>
        </is>
      </c>
      <c r="F2265" s="12" t="n">
        <v>46078</v>
      </c>
      <c r="G2265" s="12" t="n">
        <v>46098</v>
      </c>
      <c r="H2265" s="12" t="n">
        <v>46095</v>
      </c>
      <c r="I2265" s="12" t="n">
        <v>46094</v>
      </c>
      <c r="J2265" s="12" t="n">
        <v>46096</v>
      </c>
      <c r="K2265" s="2" t="n">
        <v>169</v>
      </c>
      <c r="L2265" s="2" t="inlineStr">
        <is>
          <t>Air</t>
        </is>
      </c>
      <c r="M2265" s="2" t="inlineStr">
        <is>
          <t>No Delay</t>
        </is>
      </c>
      <c r="N2265" s="4">
        <f>IF(I2265&lt;=H2265,1,0)</f>
        <v/>
      </c>
      <c r="O2265" s="4">
        <f>IF(J2265&lt;=G2265,1,0)</f>
        <v/>
      </c>
      <c r="P2265" s="4">
        <f>MAX(0,I2265-H2265)</f>
        <v/>
      </c>
      <c r="Q2265" s="4">
        <f>MAX(0,J2265-G2265)</f>
        <v/>
      </c>
      <c r="R2265" s="4">
        <f>IF(AND(N2265=1,O2265=1),"On Track",IF(O2265=0,"Customer Delivery Late","Ship Late"))</f>
        <v/>
      </c>
    </row>
    <row r="2266">
      <c r="A2266" s="2" t="inlineStr">
        <is>
          <t>ORD-02265</t>
        </is>
      </c>
      <c r="B2266" s="2" t="inlineStr">
        <is>
          <t>Customer 13</t>
        </is>
      </c>
      <c r="C2266" s="2" t="inlineStr">
        <is>
          <t>Switchgear</t>
        </is>
      </c>
      <c r="D2266" s="2" t="inlineStr">
        <is>
          <t>Plant C</t>
        </is>
      </c>
      <c r="E2266" s="2" t="inlineStr">
        <is>
          <t>South</t>
        </is>
      </c>
      <c r="F2266" s="12" t="n">
        <v>46112</v>
      </c>
      <c r="G2266" s="12" t="n">
        <v>46136</v>
      </c>
      <c r="H2266" s="12" t="n">
        <v>46135</v>
      </c>
      <c r="I2266" s="12" t="n">
        <v>46133</v>
      </c>
      <c r="J2266" s="12" t="n">
        <v>46134</v>
      </c>
      <c r="K2266" s="2" t="n">
        <v>1186</v>
      </c>
      <c r="L2266" s="2" t="inlineStr">
        <is>
          <t>Road</t>
        </is>
      </c>
      <c r="M2266" s="2" t="inlineStr">
        <is>
          <t>No Delay</t>
        </is>
      </c>
      <c r="N2266" s="4">
        <f>IF(I2266&lt;=H2266,1,0)</f>
        <v/>
      </c>
      <c r="O2266" s="4">
        <f>IF(J2266&lt;=G2266,1,0)</f>
        <v/>
      </c>
      <c r="P2266" s="4">
        <f>MAX(0,I2266-H2266)</f>
        <v/>
      </c>
      <c r="Q2266" s="4">
        <f>MAX(0,J2266-G2266)</f>
        <v/>
      </c>
      <c r="R2266" s="4">
        <f>IF(AND(N2266=1,O2266=1),"On Track",IF(O2266=0,"Customer Delivery Late","Ship Late"))</f>
        <v/>
      </c>
    </row>
    <row r="2267">
      <c r="A2267" s="2" t="inlineStr">
        <is>
          <t>ORD-02266</t>
        </is>
      </c>
      <c r="B2267" s="2" t="inlineStr">
        <is>
          <t>Customer 13</t>
        </is>
      </c>
      <c r="C2267" s="2" t="inlineStr">
        <is>
          <t>Relay</t>
        </is>
      </c>
      <c r="D2267" s="2" t="inlineStr">
        <is>
          <t>Plant A</t>
        </is>
      </c>
      <c r="E2267" s="2" t="inlineStr">
        <is>
          <t>South</t>
        </is>
      </c>
      <c r="F2267" s="12" t="n">
        <v>46148</v>
      </c>
      <c r="G2267" s="12" t="n">
        <v>46170</v>
      </c>
      <c r="H2267" s="12" t="n">
        <v>46166</v>
      </c>
      <c r="I2267" s="12" t="n">
        <v>46164</v>
      </c>
      <c r="J2267" s="12" t="n">
        <v>46168</v>
      </c>
      <c r="K2267" s="2" t="n">
        <v>1194</v>
      </c>
      <c r="L2267" s="2" t="inlineStr">
        <is>
          <t>Road</t>
        </is>
      </c>
      <c r="M2267" s="2" t="inlineStr">
        <is>
          <t>No Delay</t>
        </is>
      </c>
      <c r="N2267" s="4">
        <f>IF(I2267&lt;=H2267,1,0)</f>
        <v/>
      </c>
      <c r="O2267" s="4">
        <f>IF(J2267&lt;=G2267,1,0)</f>
        <v/>
      </c>
      <c r="P2267" s="4">
        <f>MAX(0,I2267-H2267)</f>
        <v/>
      </c>
      <c r="Q2267" s="4">
        <f>MAX(0,J2267-G2267)</f>
        <v/>
      </c>
      <c r="R2267" s="4">
        <f>IF(AND(N2267=1,O2267=1),"On Track",IF(O2267=0,"Customer Delivery Late","Ship Late"))</f>
        <v/>
      </c>
    </row>
    <row r="2268">
      <c r="A2268" s="2" t="inlineStr">
        <is>
          <t>ORD-02267</t>
        </is>
      </c>
      <c r="B2268" s="2" t="inlineStr">
        <is>
          <t>Customer 26</t>
        </is>
      </c>
      <c r="C2268" s="2" t="inlineStr">
        <is>
          <t>Power Supply</t>
        </is>
      </c>
      <c r="D2268" s="2" t="inlineStr">
        <is>
          <t>Plant B</t>
        </is>
      </c>
      <c r="E2268" s="2" t="inlineStr">
        <is>
          <t>Central</t>
        </is>
      </c>
      <c r="F2268" s="12" t="n">
        <v>46193</v>
      </c>
      <c r="G2268" s="12" t="n">
        <v>46215</v>
      </c>
      <c r="H2268" s="12" t="n">
        <v>46210</v>
      </c>
      <c r="I2268" s="12" t="n">
        <v>46209</v>
      </c>
      <c r="J2268" s="12" t="n">
        <v>46214</v>
      </c>
      <c r="K2268" s="2" t="n">
        <v>763</v>
      </c>
      <c r="L2268" s="2" t="inlineStr">
        <is>
          <t>Sea</t>
        </is>
      </c>
      <c r="M2268" s="2" t="inlineStr">
        <is>
          <t>No Delay</t>
        </is>
      </c>
      <c r="N2268" s="4">
        <f>IF(I2268&lt;=H2268,1,0)</f>
        <v/>
      </c>
      <c r="O2268" s="4">
        <f>IF(J2268&lt;=G2268,1,0)</f>
        <v/>
      </c>
      <c r="P2268" s="4">
        <f>MAX(0,I2268-H2268)</f>
        <v/>
      </c>
      <c r="Q2268" s="4">
        <f>MAX(0,J2268-G2268)</f>
        <v/>
      </c>
      <c r="R2268" s="4">
        <f>IF(AND(N2268=1,O2268=1),"On Track",IF(O2268=0,"Customer Delivery Late","Ship Late"))</f>
        <v/>
      </c>
    </row>
    <row r="2269">
      <c r="A2269" s="2" t="inlineStr">
        <is>
          <t>ORD-02268</t>
        </is>
      </c>
      <c r="B2269" s="2" t="inlineStr">
        <is>
          <t>Customer 18</t>
        </is>
      </c>
      <c r="C2269" s="2" t="inlineStr">
        <is>
          <t>PLC</t>
        </is>
      </c>
      <c r="D2269" s="2" t="inlineStr">
        <is>
          <t>Plant B</t>
        </is>
      </c>
      <c r="E2269" s="2" t="inlineStr">
        <is>
          <t>North</t>
        </is>
      </c>
      <c r="F2269" s="12" t="n">
        <v>46114</v>
      </c>
      <c r="G2269" s="12" t="n">
        <v>46135</v>
      </c>
      <c r="H2269" s="12" t="n">
        <v>46130</v>
      </c>
      <c r="I2269" s="12" t="n">
        <v>46129</v>
      </c>
      <c r="J2269" s="12" t="n">
        <v>46134</v>
      </c>
      <c r="K2269" s="2" t="n">
        <v>447</v>
      </c>
      <c r="L2269" s="2" t="inlineStr">
        <is>
          <t>Road</t>
        </is>
      </c>
      <c r="M2269" s="2" t="inlineStr">
        <is>
          <t>No Delay</t>
        </is>
      </c>
      <c r="N2269" s="4">
        <f>IF(I2269&lt;=H2269,1,0)</f>
        <v/>
      </c>
      <c r="O2269" s="4">
        <f>IF(J2269&lt;=G2269,1,0)</f>
        <v/>
      </c>
      <c r="P2269" s="4">
        <f>MAX(0,I2269-H2269)</f>
        <v/>
      </c>
      <c r="Q2269" s="4">
        <f>MAX(0,J2269-G2269)</f>
        <v/>
      </c>
      <c r="R2269" s="4">
        <f>IF(AND(N2269=1,O2269=1),"On Track",IF(O2269=0,"Customer Delivery Late","Ship Late"))</f>
        <v/>
      </c>
    </row>
    <row r="2270">
      <c r="A2270" s="2" t="inlineStr">
        <is>
          <t>ORD-02269</t>
        </is>
      </c>
      <c r="B2270" s="2" t="inlineStr">
        <is>
          <t>Customer 15</t>
        </is>
      </c>
      <c r="C2270" s="2" t="inlineStr">
        <is>
          <t>Sensor</t>
        </is>
      </c>
      <c r="D2270" s="2" t="inlineStr">
        <is>
          <t>Plant A</t>
        </is>
      </c>
      <c r="E2270" s="2" t="inlineStr">
        <is>
          <t>Export</t>
        </is>
      </c>
      <c r="F2270" s="12" t="n">
        <v>46111</v>
      </c>
      <c r="G2270" s="12" t="n">
        <v>46119</v>
      </c>
      <c r="H2270" s="12" t="n">
        <v>46117</v>
      </c>
      <c r="I2270" s="12" t="n">
        <v>46115</v>
      </c>
      <c r="J2270" s="12" t="n">
        <v>46117</v>
      </c>
      <c r="K2270" s="2" t="n">
        <v>1310</v>
      </c>
      <c r="L2270" s="2" t="inlineStr">
        <is>
          <t>Air</t>
        </is>
      </c>
      <c r="M2270" s="2" t="inlineStr">
        <is>
          <t>No Delay</t>
        </is>
      </c>
      <c r="N2270" s="4">
        <f>IF(I2270&lt;=H2270,1,0)</f>
        <v/>
      </c>
      <c r="O2270" s="4">
        <f>IF(J2270&lt;=G2270,1,0)</f>
        <v/>
      </c>
      <c r="P2270" s="4">
        <f>MAX(0,I2270-H2270)</f>
        <v/>
      </c>
      <c r="Q2270" s="4">
        <f>MAX(0,J2270-G2270)</f>
        <v/>
      </c>
      <c r="R2270" s="4">
        <f>IF(AND(N2270=1,O2270=1),"On Track",IF(O2270=0,"Customer Delivery Late","Ship Late"))</f>
        <v/>
      </c>
    </row>
    <row r="2271">
      <c r="A2271" s="2" t="inlineStr">
        <is>
          <t>ORD-02270</t>
        </is>
      </c>
      <c r="B2271" s="2" t="inlineStr">
        <is>
          <t>Customer 25</t>
        </is>
      </c>
      <c r="C2271" s="2" t="inlineStr">
        <is>
          <t>Power Supply</t>
        </is>
      </c>
      <c r="D2271" s="2" t="inlineStr">
        <is>
          <t>Plant B</t>
        </is>
      </c>
      <c r="E2271" s="2" t="inlineStr">
        <is>
          <t>North</t>
        </is>
      </c>
      <c r="F2271" s="12" t="n">
        <v>46180</v>
      </c>
      <c r="G2271" s="12" t="n">
        <v>46192</v>
      </c>
      <c r="H2271" s="12" t="n">
        <v>46188</v>
      </c>
      <c r="I2271" s="12" t="n">
        <v>46188</v>
      </c>
      <c r="J2271" s="12" t="n">
        <v>46192</v>
      </c>
      <c r="K2271" s="2" t="n">
        <v>1432</v>
      </c>
      <c r="L2271" s="2" t="inlineStr">
        <is>
          <t>Air</t>
        </is>
      </c>
      <c r="M2271" s="2" t="inlineStr">
        <is>
          <t>No Delay</t>
        </is>
      </c>
      <c r="N2271" s="4">
        <f>IF(I2271&lt;=H2271,1,0)</f>
        <v/>
      </c>
      <c r="O2271" s="4">
        <f>IF(J2271&lt;=G2271,1,0)</f>
        <v/>
      </c>
      <c r="P2271" s="4">
        <f>MAX(0,I2271-H2271)</f>
        <v/>
      </c>
      <c r="Q2271" s="4">
        <f>MAX(0,J2271-G2271)</f>
        <v/>
      </c>
      <c r="R2271" s="4">
        <f>IF(AND(N2271=1,O2271=1),"On Track",IF(O2271=0,"Customer Delivery Late","Ship Late"))</f>
        <v/>
      </c>
    </row>
    <row r="2272">
      <c r="A2272" s="2" t="inlineStr">
        <is>
          <t>ORD-02271</t>
        </is>
      </c>
      <c r="B2272" s="2" t="inlineStr">
        <is>
          <t>Customer 22</t>
        </is>
      </c>
      <c r="C2272" s="2" t="inlineStr">
        <is>
          <t>PLC</t>
        </is>
      </c>
      <c r="D2272" s="2" t="inlineStr">
        <is>
          <t>Plant B</t>
        </is>
      </c>
      <c r="E2272" s="2" t="inlineStr">
        <is>
          <t>Export</t>
        </is>
      </c>
      <c r="F2272" s="12" t="n">
        <v>46156</v>
      </c>
      <c r="G2272" s="12" t="n">
        <v>46161</v>
      </c>
      <c r="H2272" s="12" t="n">
        <v>46159</v>
      </c>
      <c r="I2272" s="12" t="n">
        <v>46159</v>
      </c>
      <c r="J2272" s="12" t="n">
        <v>46160</v>
      </c>
      <c r="K2272" s="2" t="n">
        <v>757</v>
      </c>
      <c r="L2272" s="2" t="inlineStr">
        <is>
          <t>Sea</t>
        </is>
      </c>
      <c r="M2272" s="2" t="inlineStr">
        <is>
          <t>No Delay</t>
        </is>
      </c>
      <c r="N2272" s="4">
        <f>IF(I2272&lt;=H2272,1,0)</f>
        <v/>
      </c>
      <c r="O2272" s="4">
        <f>IF(J2272&lt;=G2272,1,0)</f>
        <v/>
      </c>
      <c r="P2272" s="4">
        <f>MAX(0,I2272-H2272)</f>
        <v/>
      </c>
      <c r="Q2272" s="4">
        <f>MAX(0,J2272-G2272)</f>
        <v/>
      </c>
      <c r="R2272" s="4">
        <f>IF(AND(N2272=1,O2272=1),"On Track",IF(O2272=0,"Customer Delivery Late","Ship Late"))</f>
        <v/>
      </c>
    </row>
    <row r="2273">
      <c r="A2273" s="2" t="inlineStr">
        <is>
          <t>ORD-02272</t>
        </is>
      </c>
      <c r="B2273" s="2" t="inlineStr">
        <is>
          <t>Customer 24</t>
        </is>
      </c>
      <c r="C2273" s="2" t="inlineStr">
        <is>
          <t>Switchgear</t>
        </is>
      </c>
      <c r="D2273" s="2" t="inlineStr">
        <is>
          <t>Plant C</t>
        </is>
      </c>
      <c r="E2273" s="2" t="inlineStr">
        <is>
          <t>South</t>
        </is>
      </c>
      <c r="F2273" s="12" t="n">
        <v>46062</v>
      </c>
      <c r="G2273" s="12" t="n">
        <v>46079</v>
      </c>
      <c r="H2273" s="12" t="n">
        <v>46078</v>
      </c>
      <c r="I2273" s="12" t="n">
        <v>46077</v>
      </c>
      <c r="J2273" s="12" t="n">
        <v>46078</v>
      </c>
      <c r="K2273" s="2" t="n">
        <v>1459</v>
      </c>
      <c r="L2273" s="2" t="inlineStr">
        <is>
          <t>Road</t>
        </is>
      </c>
      <c r="M2273" s="2" t="inlineStr">
        <is>
          <t>No Delay</t>
        </is>
      </c>
      <c r="N2273" s="4">
        <f>IF(I2273&lt;=H2273,1,0)</f>
        <v/>
      </c>
      <c r="O2273" s="4">
        <f>IF(J2273&lt;=G2273,1,0)</f>
        <v/>
      </c>
      <c r="P2273" s="4">
        <f>MAX(0,I2273-H2273)</f>
        <v/>
      </c>
      <c r="Q2273" s="4">
        <f>MAX(0,J2273-G2273)</f>
        <v/>
      </c>
      <c r="R2273" s="4">
        <f>IF(AND(N2273=1,O2273=1),"On Track",IF(O2273=0,"Customer Delivery Late","Ship Late"))</f>
        <v/>
      </c>
    </row>
    <row r="2274">
      <c r="A2274" s="2" t="inlineStr">
        <is>
          <t>ORD-02273</t>
        </is>
      </c>
      <c r="B2274" s="2" t="inlineStr">
        <is>
          <t>Customer 22</t>
        </is>
      </c>
      <c r="C2274" s="2" t="inlineStr">
        <is>
          <t>Relay</t>
        </is>
      </c>
      <c r="D2274" s="2" t="inlineStr">
        <is>
          <t>Plant A</t>
        </is>
      </c>
      <c r="E2274" s="2" t="inlineStr">
        <is>
          <t>Central</t>
        </is>
      </c>
      <c r="F2274" s="12" t="n">
        <v>46059</v>
      </c>
      <c r="G2274" s="12" t="n">
        <v>46080</v>
      </c>
      <c r="H2274" s="12" t="n">
        <v>46075</v>
      </c>
      <c r="I2274" s="12" t="n">
        <v>46075</v>
      </c>
      <c r="J2274" s="12" t="n">
        <v>46079</v>
      </c>
      <c r="K2274" s="2" t="n">
        <v>164</v>
      </c>
      <c r="L2274" s="2" t="inlineStr">
        <is>
          <t>Air</t>
        </is>
      </c>
      <c r="M2274" s="2" t="inlineStr">
        <is>
          <t>No Delay</t>
        </is>
      </c>
      <c r="N2274" s="4">
        <f>IF(I2274&lt;=H2274,1,0)</f>
        <v/>
      </c>
      <c r="O2274" s="4">
        <f>IF(J2274&lt;=G2274,1,0)</f>
        <v/>
      </c>
      <c r="P2274" s="4">
        <f>MAX(0,I2274-H2274)</f>
        <v/>
      </c>
      <c r="Q2274" s="4">
        <f>MAX(0,J2274-G2274)</f>
        <v/>
      </c>
      <c r="R2274" s="4">
        <f>IF(AND(N2274=1,O2274=1),"On Track",IF(O2274=0,"Customer Delivery Late","Ship Late"))</f>
        <v/>
      </c>
    </row>
    <row r="2275">
      <c r="A2275" s="2" t="inlineStr">
        <is>
          <t>ORD-02274</t>
        </is>
      </c>
      <c r="B2275" s="2" t="inlineStr">
        <is>
          <t>Customer 26</t>
        </is>
      </c>
      <c r="C2275" s="2" t="inlineStr">
        <is>
          <t>Relay</t>
        </is>
      </c>
      <c r="D2275" s="2" t="inlineStr">
        <is>
          <t>Plant B</t>
        </is>
      </c>
      <c r="E2275" s="2" t="inlineStr">
        <is>
          <t>South</t>
        </is>
      </c>
      <c r="F2275" s="12" t="n">
        <v>46183</v>
      </c>
      <c r="G2275" s="12" t="n">
        <v>46193</v>
      </c>
      <c r="H2275" s="12" t="n">
        <v>46190</v>
      </c>
      <c r="I2275" s="12" t="n">
        <v>46189</v>
      </c>
      <c r="J2275" s="12" t="n">
        <v>46191</v>
      </c>
      <c r="K2275" s="2" t="n">
        <v>817</v>
      </c>
      <c r="L2275" s="2" t="inlineStr">
        <is>
          <t>Air</t>
        </is>
      </c>
      <c r="M2275" s="2" t="inlineStr">
        <is>
          <t>No Delay</t>
        </is>
      </c>
      <c r="N2275" s="4">
        <f>IF(I2275&lt;=H2275,1,0)</f>
        <v/>
      </c>
      <c r="O2275" s="4">
        <f>IF(J2275&lt;=G2275,1,0)</f>
        <v/>
      </c>
      <c r="P2275" s="4">
        <f>MAX(0,I2275-H2275)</f>
        <v/>
      </c>
      <c r="Q2275" s="4">
        <f>MAX(0,J2275-G2275)</f>
        <v/>
      </c>
      <c r="R2275" s="4">
        <f>IF(AND(N2275=1,O2275=1),"On Track",IF(O2275=0,"Customer Delivery Late","Ship Late"))</f>
        <v/>
      </c>
    </row>
    <row r="2276">
      <c r="A2276" s="2" t="inlineStr">
        <is>
          <t>ORD-02275</t>
        </is>
      </c>
      <c r="B2276" s="2" t="inlineStr">
        <is>
          <t>Customer 27</t>
        </is>
      </c>
      <c r="C2276" s="2" t="inlineStr">
        <is>
          <t>Drive</t>
        </is>
      </c>
      <c r="D2276" s="2" t="inlineStr">
        <is>
          <t>Plant B</t>
        </is>
      </c>
      <c r="E2276" s="2" t="inlineStr">
        <is>
          <t>South</t>
        </is>
      </c>
      <c r="F2276" s="12" t="n">
        <v>46138</v>
      </c>
      <c r="G2276" s="12" t="n">
        <v>46151</v>
      </c>
      <c r="H2276" s="12" t="n">
        <v>46148</v>
      </c>
      <c r="I2276" s="12" t="n">
        <v>46147</v>
      </c>
      <c r="J2276" s="12" t="n">
        <v>46150</v>
      </c>
      <c r="K2276" s="2" t="n">
        <v>166</v>
      </c>
      <c r="L2276" s="2" t="inlineStr">
        <is>
          <t>Road</t>
        </is>
      </c>
      <c r="M2276" s="2" t="inlineStr">
        <is>
          <t>No Delay</t>
        </is>
      </c>
      <c r="N2276" s="4">
        <f>IF(I2276&lt;=H2276,1,0)</f>
        <v/>
      </c>
      <c r="O2276" s="4">
        <f>IF(J2276&lt;=G2276,1,0)</f>
        <v/>
      </c>
      <c r="P2276" s="4">
        <f>MAX(0,I2276-H2276)</f>
        <v/>
      </c>
      <c r="Q2276" s="4">
        <f>MAX(0,J2276-G2276)</f>
        <v/>
      </c>
      <c r="R2276" s="4">
        <f>IF(AND(N2276=1,O2276=1),"On Track",IF(O2276=0,"Customer Delivery Late","Ship Late"))</f>
        <v/>
      </c>
    </row>
    <row r="2277">
      <c r="A2277" s="2" t="inlineStr">
        <is>
          <t>ORD-02276</t>
        </is>
      </c>
      <c r="B2277" s="2" t="inlineStr">
        <is>
          <t>Customer 30</t>
        </is>
      </c>
      <c r="C2277" s="2" t="inlineStr">
        <is>
          <t>Switchgear</t>
        </is>
      </c>
      <c r="D2277" s="2" t="inlineStr">
        <is>
          <t>Plant A</t>
        </is>
      </c>
      <c r="E2277" s="2" t="inlineStr">
        <is>
          <t>North</t>
        </is>
      </c>
      <c r="F2277" s="12" t="n">
        <v>46156</v>
      </c>
      <c r="G2277" s="12" t="n">
        <v>46164</v>
      </c>
      <c r="H2277" s="12" t="n">
        <v>46159</v>
      </c>
      <c r="I2277" s="12" t="n">
        <v>46159</v>
      </c>
      <c r="J2277" s="12" t="n">
        <v>46163</v>
      </c>
      <c r="K2277" s="2" t="n">
        <v>1417</v>
      </c>
      <c r="L2277" s="2" t="inlineStr">
        <is>
          <t>Air</t>
        </is>
      </c>
      <c r="M2277" s="2" t="inlineStr">
        <is>
          <t>No Delay</t>
        </is>
      </c>
      <c r="N2277" s="4">
        <f>IF(I2277&lt;=H2277,1,0)</f>
        <v/>
      </c>
      <c r="O2277" s="4">
        <f>IF(J2277&lt;=G2277,1,0)</f>
        <v/>
      </c>
      <c r="P2277" s="4">
        <f>MAX(0,I2277-H2277)</f>
        <v/>
      </c>
      <c r="Q2277" s="4">
        <f>MAX(0,J2277-G2277)</f>
        <v/>
      </c>
      <c r="R2277" s="4">
        <f>IF(AND(N2277=1,O2277=1),"On Track",IF(O2277=0,"Customer Delivery Late","Ship Late"))</f>
        <v/>
      </c>
    </row>
    <row r="2278">
      <c r="A2278" s="2" t="inlineStr">
        <is>
          <t>ORD-02277</t>
        </is>
      </c>
      <c r="B2278" s="2" t="inlineStr">
        <is>
          <t>Customer 14</t>
        </is>
      </c>
      <c r="C2278" s="2" t="inlineStr">
        <is>
          <t>Sensor</t>
        </is>
      </c>
      <c r="D2278" s="2" t="inlineStr">
        <is>
          <t>Plant A</t>
        </is>
      </c>
      <c r="E2278" s="2" t="inlineStr">
        <is>
          <t>South</t>
        </is>
      </c>
      <c r="F2278" s="12" t="n">
        <v>46059</v>
      </c>
      <c r="G2278" s="12" t="n">
        <v>46065</v>
      </c>
      <c r="H2278" s="12" t="n">
        <v>46063</v>
      </c>
      <c r="I2278" s="12" t="n">
        <v>46063</v>
      </c>
      <c r="J2278" s="12" t="n">
        <v>46066</v>
      </c>
      <c r="K2278" s="2" t="n">
        <v>1027</v>
      </c>
      <c r="L2278" s="2" t="inlineStr">
        <is>
          <t>Road</t>
        </is>
      </c>
      <c r="M2278" s="2" t="inlineStr">
        <is>
          <t>Customer Change</t>
        </is>
      </c>
      <c r="N2278" s="4">
        <f>IF(I2278&lt;=H2278,1,0)</f>
        <v/>
      </c>
      <c r="O2278" s="4">
        <f>IF(J2278&lt;=G2278,1,0)</f>
        <v/>
      </c>
      <c r="P2278" s="4">
        <f>MAX(0,I2278-H2278)</f>
        <v/>
      </c>
      <c r="Q2278" s="4">
        <f>MAX(0,J2278-G2278)</f>
        <v/>
      </c>
      <c r="R2278" s="4">
        <f>IF(AND(N2278=1,O2278=1),"On Track",IF(O2278=0,"Customer Delivery Late","Ship Late"))</f>
        <v/>
      </c>
    </row>
    <row r="2279">
      <c r="A2279" s="2" t="inlineStr">
        <is>
          <t>ORD-02278</t>
        </is>
      </c>
      <c r="B2279" s="2" t="inlineStr">
        <is>
          <t>Customer 08</t>
        </is>
      </c>
      <c r="C2279" s="2" t="inlineStr">
        <is>
          <t>Drive</t>
        </is>
      </c>
      <c r="D2279" s="2" t="inlineStr">
        <is>
          <t>Plant B</t>
        </is>
      </c>
      <c r="E2279" s="2" t="inlineStr">
        <is>
          <t>North</t>
        </is>
      </c>
      <c r="F2279" s="12" t="n">
        <v>46089</v>
      </c>
      <c r="G2279" s="12" t="n">
        <v>46106</v>
      </c>
      <c r="H2279" s="12" t="n">
        <v>46104</v>
      </c>
      <c r="I2279" s="12" t="n">
        <v>46102</v>
      </c>
      <c r="J2279" s="12" t="n">
        <v>46105</v>
      </c>
      <c r="K2279" s="2" t="n">
        <v>209</v>
      </c>
      <c r="L2279" s="2" t="inlineStr">
        <is>
          <t>Road</t>
        </is>
      </c>
      <c r="M2279" s="2" t="inlineStr">
        <is>
          <t>No Delay</t>
        </is>
      </c>
      <c r="N2279" s="4">
        <f>IF(I2279&lt;=H2279,1,0)</f>
        <v/>
      </c>
      <c r="O2279" s="4">
        <f>IF(J2279&lt;=G2279,1,0)</f>
        <v/>
      </c>
      <c r="P2279" s="4">
        <f>MAX(0,I2279-H2279)</f>
        <v/>
      </c>
      <c r="Q2279" s="4">
        <f>MAX(0,J2279-G2279)</f>
        <v/>
      </c>
      <c r="R2279" s="4">
        <f>IF(AND(N2279=1,O2279=1),"On Track",IF(O2279=0,"Customer Delivery Late","Ship Late"))</f>
        <v/>
      </c>
    </row>
    <row r="2280">
      <c r="A2280" s="2" t="inlineStr">
        <is>
          <t>ORD-02279</t>
        </is>
      </c>
      <c r="B2280" s="2" t="inlineStr">
        <is>
          <t>Customer 30</t>
        </is>
      </c>
      <c r="C2280" s="2" t="inlineStr">
        <is>
          <t>Sensor</t>
        </is>
      </c>
      <c r="D2280" s="2" t="inlineStr">
        <is>
          <t>Plant B</t>
        </is>
      </c>
      <c r="E2280" s="2" t="inlineStr">
        <is>
          <t>Export</t>
        </is>
      </c>
      <c r="F2280" s="12" t="n">
        <v>46070</v>
      </c>
      <c r="G2280" s="12" t="n">
        <v>46089</v>
      </c>
      <c r="H2280" s="12" t="n">
        <v>46087</v>
      </c>
      <c r="I2280" s="12" t="n">
        <v>46086</v>
      </c>
      <c r="J2280" s="12" t="n">
        <v>46093</v>
      </c>
      <c r="K2280" s="2" t="n">
        <v>104</v>
      </c>
      <c r="L2280" s="2" t="inlineStr">
        <is>
          <t>Sea</t>
        </is>
      </c>
      <c r="M2280" s="2" t="inlineStr">
        <is>
          <t>Documentation Issue</t>
        </is>
      </c>
      <c r="N2280" s="4">
        <f>IF(I2280&lt;=H2280,1,0)</f>
        <v/>
      </c>
      <c r="O2280" s="4">
        <f>IF(J2280&lt;=G2280,1,0)</f>
        <v/>
      </c>
      <c r="P2280" s="4">
        <f>MAX(0,I2280-H2280)</f>
        <v/>
      </c>
      <c r="Q2280" s="4">
        <f>MAX(0,J2280-G2280)</f>
        <v/>
      </c>
      <c r="R2280" s="4">
        <f>IF(AND(N2280=1,O2280=1),"On Track",IF(O2280=0,"Customer Delivery Late","Ship Late"))</f>
        <v/>
      </c>
    </row>
    <row r="2281">
      <c r="A2281" s="2" t="inlineStr">
        <is>
          <t>ORD-02280</t>
        </is>
      </c>
      <c r="B2281" s="2" t="inlineStr">
        <is>
          <t>Customer 08</t>
        </is>
      </c>
      <c r="C2281" s="2" t="inlineStr">
        <is>
          <t>Switchgear</t>
        </is>
      </c>
      <c r="D2281" s="2" t="inlineStr">
        <is>
          <t>Plant B</t>
        </is>
      </c>
      <c r="E2281" s="2" t="inlineStr">
        <is>
          <t>Central</t>
        </is>
      </c>
      <c r="F2281" s="12" t="n">
        <v>46169</v>
      </c>
      <c r="G2281" s="12" t="n">
        <v>46174</v>
      </c>
      <c r="H2281" s="12" t="n">
        <v>46170</v>
      </c>
      <c r="I2281" s="12" t="n">
        <v>46169</v>
      </c>
      <c r="J2281" s="12" t="n">
        <v>46172</v>
      </c>
      <c r="K2281" s="2" t="n">
        <v>1246</v>
      </c>
      <c r="L2281" s="2" t="inlineStr">
        <is>
          <t>Air</t>
        </is>
      </c>
      <c r="M2281" s="2" t="inlineStr">
        <is>
          <t>No Delay</t>
        </is>
      </c>
      <c r="N2281" s="4">
        <f>IF(I2281&lt;=H2281,1,0)</f>
        <v/>
      </c>
      <c r="O2281" s="4">
        <f>IF(J2281&lt;=G2281,1,0)</f>
        <v/>
      </c>
      <c r="P2281" s="4">
        <f>MAX(0,I2281-H2281)</f>
        <v/>
      </c>
      <c r="Q2281" s="4">
        <f>MAX(0,J2281-G2281)</f>
        <v/>
      </c>
      <c r="R2281" s="4">
        <f>IF(AND(N2281=1,O2281=1),"On Track",IF(O2281=0,"Customer Delivery Late","Ship Late"))</f>
        <v/>
      </c>
    </row>
    <row r="2282">
      <c r="A2282" s="2" t="inlineStr">
        <is>
          <t>ORD-02281</t>
        </is>
      </c>
      <c r="B2282" s="2" t="inlineStr">
        <is>
          <t>Customer 04</t>
        </is>
      </c>
      <c r="C2282" s="2" t="inlineStr">
        <is>
          <t>Switchgear</t>
        </is>
      </c>
      <c r="D2282" s="2" t="inlineStr">
        <is>
          <t>Plant A</t>
        </is>
      </c>
      <c r="E2282" s="2" t="inlineStr">
        <is>
          <t>North</t>
        </is>
      </c>
      <c r="F2282" s="12" t="n">
        <v>46023</v>
      </c>
      <c r="G2282" s="12" t="n">
        <v>46043</v>
      </c>
      <c r="H2282" s="12" t="n">
        <v>46039</v>
      </c>
      <c r="I2282" s="12" t="n">
        <v>46039</v>
      </c>
      <c r="J2282" s="12" t="n">
        <v>46043</v>
      </c>
      <c r="K2282" s="2" t="n">
        <v>587</v>
      </c>
      <c r="L2282" s="2" t="inlineStr">
        <is>
          <t>Sea</t>
        </is>
      </c>
      <c r="M2282" s="2" t="inlineStr">
        <is>
          <t>No Delay</t>
        </is>
      </c>
      <c r="N2282" s="4">
        <f>IF(I2282&lt;=H2282,1,0)</f>
        <v/>
      </c>
      <c r="O2282" s="4">
        <f>IF(J2282&lt;=G2282,1,0)</f>
        <v/>
      </c>
      <c r="P2282" s="4">
        <f>MAX(0,I2282-H2282)</f>
        <v/>
      </c>
      <c r="Q2282" s="4">
        <f>MAX(0,J2282-G2282)</f>
        <v/>
      </c>
      <c r="R2282" s="4">
        <f>IF(AND(N2282=1,O2282=1),"On Track",IF(O2282=0,"Customer Delivery Late","Ship Late"))</f>
        <v/>
      </c>
    </row>
    <row r="2283">
      <c r="A2283" s="2" t="inlineStr">
        <is>
          <t>ORD-02282</t>
        </is>
      </c>
      <c r="B2283" s="2" t="inlineStr">
        <is>
          <t>Customer 27</t>
        </is>
      </c>
      <c r="C2283" s="2" t="inlineStr">
        <is>
          <t>PLC</t>
        </is>
      </c>
      <c r="D2283" s="2" t="inlineStr">
        <is>
          <t>Plant A</t>
        </is>
      </c>
      <c r="E2283" s="2" t="inlineStr">
        <is>
          <t>Central</t>
        </is>
      </c>
      <c r="F2283" s="12" t="n">
        <v>46157</v>
      </c>
      <c r="G2283" s="12" t="n">
        <v>46178</v>
      </c>
      <c r="H2283" s="12" t="n">
        <v>46174</v>
      </c>
      <c r="I2283" s="12" t="n">
        <v>46174</v>
      </c>
      <c r="J2283" s="12" t="n">
        <v>46177</v>
      </c>
      <c r="K2283" s="2" t="n">
        <v>1384</v>
      </c>
      <c r="L2283" s="2" t="inlineStr">
        <is>
          <t>Road</t>
        </is>
      </c>
      <c r="M2283" s="2" t="inlineStr">
        <is>
          <t>No Delay</t>
        </is>
      </c>
      <c r="N2283" s="4">
        <f>IF(I2283&lt;=H2283,1,0)</f>
        <v/>
      </c>
      <c r="O2283" s="4">
        <f>IF(J2283&lt;=G2283,1,0)</f>
        <v/>
      </c>
      <c r="P2283" s="4">
        <f>MAX(0,I2283-H2283)</f>
        <v/>
      </c>
      <c r="Q2283" s="4">
        <f>MAX(0,J2283-G2283)</f>
        <v/>
      </c>
      <c r="R2283" s="4">
        <f>IF(AND(N2283=1,O2283=1),"On Track",IF(O2283=0,"Customer Delivery Late","Ship Late"))</f>
        <v/>
      </c>
    </row>
    <row r="2284">
      <c r="A2284" s="2" t="inlineStr">
        <is>
          <t>ORD-02283</t>
        </is>
      </c>
      <c r="B2284" s="2" t="inlineStr">
        <is>
          <t>Customer 19</t>
        </is>
      </c>
      <c r="C2284" s="2" t="inlineStr">
        <is>
          <t>Contactor</t>
        </is>
      </c>
      <c r="D2284" s="2" t="inlineStr">
        <is>
          <t>Plant B</t>
        </is>
      </c>
      <c r="E2284" s="2" t="inlineStr">
        <is>
          <t>North</t>
        </is>
      </c>
      <c r="F2284" s="12" t="n">
        <v>46122</v>
      </c>
      <c r="G2284" s="12" t="n">
        <v>46136</v>
      </c>
      <c r="H2284" s="12" t="n">
        <v>46133</v>
      </c>
      <c r="I2284" s="12" t="n">
        <v>46132</v>
      </c>
      <c r="J2284" s="12" t="n">
        <v>46135</v>
      </c>
      <c r="K2284" s="2" t="n">
        <v>671</v>
      </c>
      <c r="L2284" s="2" t="inlineStr">
        <is>
          <t>Sea</t>
        </is>
      </c>
      <c r="M2284" s="2" t="inlineStr">
        <is>
          <t>No Delay</t>
        </is>
      </c>
      <c r="N2284" s="4">
        <f>IF(I2284&lt;=H2284,1,0)</f>
        <v/>
      </c>
      <c r="O2284" s="4">
        <f>IF(J2284&lt;=G2284,1,0)</f>
        <v/>
      </c>
      <c r="P2284" s="4">
        <f>MAX(0,I2284-H2284)</f>
        <v/>
      </c>
      <c r="Q2284" s="4">
        <f>MAX(0,J2284-G2284)</f>
        <v/>
      </c>
      <c r="R2284" s="4">
        <f>IF(AND(N2284=1,O2284=1),"On Track",IF(O2284=0,"Customer Delivery Late","Ship Late"))</f>
        <v/>
      </c>
    </row>
    <row r="2285">
      <c r="A2285" s="2" t="inlineStr">
        <is>
          <t>ORD-02284</t>
        </is>
      </c>
      <c r="B2285" s="2" t="inlineStr">
        <is>
          <t>Customer 19</t>
        </is>
      </c>
      <c r="C2285" s="2" t="inlineStr">
        <is>
          <t>Switchgear</t>
        </is>
      </c>
      <c r="D2285" s="2" t="inlineStr">
        <is>
          <t>Plant C</t>
        </is>
      </c>
      <c r="E2285" s="2" t="inlineStr">
        <is>
          <t>North</t>
        </is>
      </c>
      <c r="F2285" s="12" t="n">
        <v>46198</v>
      </c>
      <c r="G2285" s="12" t="n">
        <v>46210</v>
      </c>
      <c r="H2285" s="12" t="n">
        <v>46205</v>
      </c>
      <c r="I2285" s="12" t="n">
        <v>46204</v>
      </c>
      <c r="J2285" s="12" t="n">
        <v>46210</v>
      </c>
      <c r="K2285" s="2" t="n">
        <v>479</v>
      </c>
      <c r="L2285" s="2" t="inlineStr">
        <is>
          <t>Air</t>
        </is>
      </c>
      <c r="M2285" s="2" t="inlineStr">
        <is>
          <t>No Delay</t>
        </is>
      </c>
      <c r="N2285" s="4">
        <f>IF(I2285&lt;=H2285,1,0)</f>
        <v/>
      </c>
      <c r="O2285" s="4">
        <f>IF(J2285&lt;=G2285,1,0)</f>
        <v/>
      </c>
      <c r="P2285" s="4">
        <f>MAX(0,I2285-H2285)</f>
        <v/>
      </c>
      <c r="Q2285" s="4">
        <f>MAX(0,J2285-G2285)</f>
        <v/>
      </c>
      <c r="R2285" s="4">
        <f>IF(AND(N2285=1,O2285=1),"On Track",IF(O2285=0,"Customer Delivery Late","Ship Late"))</f>
        <v/>
      </c>
    </row>
    <row r="2286">
      <c r="A2286" s="2" t="inlineStr">
        <is>
          <t>ORD-02285</t>
        </is>
      </c>
      <c r="B2286" s="2" t="inlineStr">
        <is>
          <t>Customer 03</t>
        </is>
      </c>
      <c r="C2286" s="2" t="inlineStr">
        <is>
          <t>Drive</t>
        </is>
      </c>
      <c r="D2286" s="2" t="inlineStr">
        <is>
          <t>Plant C</t>
        </is>
      </c>
      <c r="E2286" s="2" t="inlineStr">
        <is>
          <t>North</t>
        </is>
      </c>
      <c r="F2286" s="12" t="n">
        <v>46056</v>
      </c>
      <c r="G2286" s="12" t="n">
        <v>46071</v>
      </c>
      <c r="H2286" s="12" t="n">
        <v>46070</v>
      </c>
      <c r="I2286" s="12" t="n">
        <v>46070</v>
      </c>
      <c r="J2286" s="12" t="n">
        <v>46071</v>
      </c>
      <c r="K2286" s="2" t="n">
        <v>394</v>
      </c>
      <c r="L2286" s="2" t="inlineStr">
        <is>
          <t>Air</t>
        </is>
      </c>
      <c r="M2286" s="2" t="inlineStr">
        <is>
          <t>No Delay</t>
        </is>
      </c>
      <c r="N2286" s="4">
        <f>IF(I2286&lt;=H2286,1,0)</f>
        <v/>
      </c>
      <c r="O2286" s="4">
        <f>IF(J2286&lt;=G2286,1,0)</f>
        <v/>
      </c>
      <c r="P2286" s="4">
        <f>MAX(0,I2286-H2286)</f>
        <v/>
      </c>
      <c r="Q2286" s="4">
        <f>MAX(0,J2286-G2286)</f>
        <v/>
      </c>
      <c r="R2286" s="4">
        <f>IF(AND(N2286=1,O2286=1),"On Track",IF(O2286=0,"Customer Delivery Late","Ship Late"))</f>
        <v/>
      </c>
    </row>
    <row r="2287">
      <c r="A2287" s="2" t="inlineStr">
        <is>
          <t>ORD-02286</t>
        </is>
      </c>
      <c r="B2287" s="2" t="inlineStr">
        <is>
          <t>Customer 11</t>
        </is>
      </c>
      <c r="C2287" s="2" t="inlineStr">
        <is>
          <t>PLC</t>
        </is>
      </c>
      <c r="D2287" s="2" t="inlineStr">
        <is>
          <t>Plant A</t>
        </is>
      </c>
      <c r="E2287" s="2" t="inlineStr">
        <is>
          <t>Central</t>
        </is>
      </c>
      <c r="F2287" s="12" t="n">
        <v>46162</v>
      </c>
      <c r="G2287" s="12" t="n">
        <v>46171</v>
      </c>
      <c r="H2287" s="12" t="n">
        <v>46166</v>
      </c>
      <c r="I2287" s="12" t="n">
        <v>46164</v>
      </c>
      <c r="J2287" s="12" t="n">
        <v>46169</v>
      </c>
      <c r="K2287" s="2" t="n">
        <v>1315</v>
      </c>
      <c r="L2287" s="2" t="inlineStr">
        <is>
          <t>Air</t>
        </is>
      </c>
      <c r="M2287" s="2" t="inlineStr">
        <is>
          <t>No Delay</t>
        </is>
      </c>
      <c r="N2287" s="4">
        <f>IF(I2287&lt;=H2287,1,0)</f>
        <v/>
      </c>
      <c r="O2287" s="4">
        <f>IF(J2287&lt;=G2287,1,0)</f>
        <v/>
      </c>
      <c r="P2287" s="4">
        <f>MAX(0,I2287-H2287)</f>
        <v/>
      </c>
      <c r="Q2287" s="4">
        <f>MAX(0,J2287-G2287)</f>
        <v/>
      </c>
      <c r="R2287" s="4">
        <f>IF(AND(N2287=1,O2287=1),"On Track",IF(O2287=0,"Customer Delivery Late","Ship Late"))</f>
        <v/>
      </c>
    </row>
    <row r="2288">
      <c r="A2288" s="2" t="inlineStr">
        <is>
          <t>ORD-02287</t>
        </is>
      </c>
      <c r="B2288" s="2" t="inlineStr">
        <is>
          <t>Customer 19</t>
        </is>
      </c>
      <c r="C2288" s="2" t="inlineStr">
        <is>
          <t>Breaker</t>
        </is>
      </c>
      <c r="D2288" s="2" t="inlineStr">
        <is>
          <t>Plant C</t>
        </is>
      </c>
      <c r="E2288" s="2" t="inlineStr">
        <is>
          <t>Export</t>
        </is>
      </c>
      <c r="F2288" s="12" t="n">
        <v>46058</v>
      </c>
      <c r="G2288" s="12" t="n">
        <v>46073</v>
      </c>
      <c r="H2288" s="12" t="n">
        <v>46071</v>
      </c>
      <c r="I2288" s="12" t="n">
        <v>46069</v>
      </c>
      <c r="J2288" s="12" t="n">
        <v>46071</v>
      </c>
      <c r="K2288" s="2" t="n">
        <v>761</v>
      </c>
      <c r="L2288" s="2" t="inlineStr">
        <is>
          <t>Air</t>
        </is>
      </c>
      <c r="M2288" s="2" t="inlineStr">
        <is>
          <t>No Delay</t>
        </is>
      </c>
      <c r="N2288" s="4">
        <f>IF(I2288&lt;=H2288,1,0)</f>
        <v/>
      </c>
      <c r="O2288" s="4">
        <f>IF(J2288&lt;=G2288,1,0)</f>
        <v/>
      </c>
      <c r="P2288" s="4">
        <f>MAX(0,I2288-H2288)</f>
        <v/>
      </c>
      <c r="Q2288" s="4">
        <f>MAX(0,J2288-G2288)</f>
        <v/>
      </c>
      <c r="R2288" s="4">
        <f>IF(AND(N2288=1,O2288=1),"On Track",IF(O2288=0,"Customer Delivery Late","Ship Late"))</f>
        <v/>
      </c>
    </row>
    <row r="2289">
      <c r="A2289" s="2" t="inlineStr">
        <is>
          <t>ORD-02288</t>
        </is>
      </c>
      <c r="B2289" s="2" t="inlineStr">
        <is>
          <t>Customer 12</t>
        </is>
      </c>
      <c r="C2289" s="2" t="inlineStr">
        <is>
          <t>PLC</t>
        </is>
      </c>
      <c r="D2289" s="2" t="inlineStr">
        <is>
          <t>Plant C</t>
        </is>
      </c>
      <c r="E2289" s="2" t="inlineStr">
        <is>
          <t>South</t>
        </is>
      </c>
      <c r="F2289" s="12" t="n">
        <v>46154</v>
      </c>
      <c r="G2289" s="12" t="n">
        <v>46159</v>
      </c>
      <c r="H2289" s="12" t="n">
        <v>46157</v>
      </c>
      <c r="I2289" s="12" t="n">
        <v>46157</v>
      </c>
      <c r="J2289" s="12" t="n">
        <v>46159</v>
      </c>
      <c r="K2289" s="2" t="n">
        <v>403</v>
      </c>
      <c r="L2289" s="2" t="inlineStr">
        <is>
          <t>Sea</t>
        </is>
      </c>
      <c r="M2289" s="2" t="inlineStr">
        <is>
          <t>No Delay</t>
        </is>
      </c>
      <c r="N2289" s="4">
        <f>IF(I2289&lt;=H2289,1,0)</f>
        <v/>
      </c>
      <c r="O2289" s="4">
        <f>IF(J2289&lt;=G2289,1,0)</f>
        <v/>
      </c>
      <c r="P2289" s="4">
        <f>MAX(0,I2289-H2289)</f>
        <v/>
      </c>
      <c r="Q2289" s="4">
        <f>MAX(0,J2289-G2289)</f>
        <v/>
      </c>
      <c r="R2289" s="4">
        <f>IF(AND(N2289=1,O2289=1),"On Track",IF(O2289=0,"Customer Delivery Late","Ship Late"))</f>
        <v/>
      </c>
    </row>
    <row r="2290">
      <c r="A2290" s="2" t="inlineStr">
        <is>
          <t>ORD-02289</t>
        </is>
      </c>
      <c r="B2290" s="2" t="inlineStr">
        <is>
          <t>Customer 11</t>
        </is>
      </c>
      <c r="C2290" s="2" t="inlineStr">
        <is>
          <t>Contactor</t>
        </is>
      </c>
      <c r="D2290" s="2" t="inlineStr">
        <is>
          <t>Plant B</t>
        </is>
      </c>
      <c r="E2290" s="2" t="inlineStr">
        <is>
          <t>South</t>
        </is>
      </c>
      <c r="F2290" s="12" t="n">
        <v>46182</v>
      </c>
      <c r="G2290" s="12" t="n">
        <v>46207</v>
      </c>
      <c r="H2290" s="12" t="n">
        <v>46206</v>
      </c>
      <c r="I2290" s="12" t="n">
        <v>46205</v>
      </c>
      <c r="J2290" s="12" t="n">
        <v>46206</v>
      </c>
      <c r="K2290" s="2" t="n">
        <v>702</v>
      </c>
      <c r="L2290" s="2" t="inlineStr">
        <is>
          <t>Air</t>
        </is>
      </c>
      <c r="M2290" s="2" t="inlineStr">
        <is>
          <t>No Delay</t>
        </is>
      </c>
      <c r="N2290" s="4">
        <f>IF(I2290&lt;=H2290,1,0)</f>
        <v/>
      </c>
      <c r="O2290" s="4">
        <f>IF(J2290&lt;=G2290,1,0)</f>
        <v/>
      </c>
      <c r="P2290" s="4">
        <f>MAX(0,I2290-H2290)</f>
        <v/>
      </c>
      <c r="Q2290" s="4">
        <f>MAX(0,J2290-G2290)</f>
        <v/>
      </c>
      <c r="R2290" s="4">
        <f>IF(AND(N2290=1,O2290=1),"On Track",IF(O2290=0,"Customer Delivery Late","Ship Late"))</f>
        <v/>
      </c>
    </row>
    <row r="2291">
      <c r="A2291" s="2" t="inlineStr">
        <is>
          <t>ORD-02290</t>
        </is>
      </c>
      <c r="B2291" s="2" t="inlineStr">
        <is>
          <t>Customer 06</t>
        </is>
      </c>
      <c r="C2291" s="2" t="inlineStr">
        <is>
          <t>Contactor</t>
        </is>
      </c>
      <c r="D2291" s="2" t="inlineStr">
        <is>
          <t>Plant B</t>
        </is>
      </c>
      <c r="E2291" s="2" t="inlineStr">
        <is>
          <t>North</t>
        </is>
      </c>
      <c r="F2291" s="12" t="n">
        <v>46119</v>
      </c>
      <c r="G2291" s="12" t="n">
        <v>46142</v>
      </c>
      <c r="H2291" s="12" t="n">
        <v>46140</v>
      </c>
      <c r="I2291" s="12" t="n">
        <v>46140</v>
      </c>
      <c r="J2291" s="12" t="n">
        <v>46141</v>
      </c>
      <c r="K2291" s="2" t="n">
        <v>191</v>
      </c>
      <c r="L2291" s="2" t="inlineStr">
        <is>
          <t>Road</t>
        </is>
      </c>
      <c r="M2291" s="2" t="inlineStr">
        <is>
          <t>No Delay</t>
        </is>
      </c>
      <c r="N2291" s="4">
        <f>IF(I2291&lt;=H2291,1,0)</f>
        <v/>
      </c>
      <c r="O2291" s="4">
        <f>IF(J2291&lt;=G2291,1,0)</f>
        <v/>
      </c>
      <c r="P2291" s="4">
        <f>MAX(0,I2291-H2291)</f>
        <v/>
      </c>
      <c r="Q2291" s="4">
        <f>MAX(0,J2291-G2291)</f>
        <v/>
      </c>
      <c r="R2291" s="4">
        <f>IF(AND(N2291=1,O2291=1),"On Track",IF(O2291=0,"Customer Delivery Late","Ship Late"))</f>
        <v/>
      </c>
    </row>
    <row r="2292">
      <c r="A2292" s="2" t="inlineStr">
        <is>
          <t>ORD-02291</t>
        </is>
      </c>
      <c r="B2292" s="2" t="inlineStr">
        <is>
          <t>Customer 19</t>
        </is>
      </c>
      <c r="C2292" s="2" t="inlineStr">
        <is>
          <t>Switchgear</t>
        </is>
      </c>
      <c r="D2292" s="2" t="inlineStr">
        <is>
          <t>Plant C</t>
        </is>
      </c>
      <c r="E2292" s="2" t="inlineStr">
        <is>
          <t>North</t>
        </is>
      </c>
      <c r="F2292" s="12" t="n">
        <v>46162</v>
      </c>
      <c r="G2292" s="12" t="n">
        <v>46174</v>
      </c>
      <c r="H2292" s="12" t="n">
        <v>46172</v>
      </c>
      <c r="I2292" s="12" t="n">
        <v>46171</v>
      </c>
      <c r="J2292" s="12" t="n">
        <v>46174</v>
      </c>
      <c r="K2292" s="2" t="n">
        <v>461</v>
      </c>
      <c r="L2292" s="2" t="inlineStr">
        <is>
          <t>Air</t>
        </is>
      </c>
      <c r="M2292" s="2" t="inlineStr">
        <is>
          <t>No Delay</t>
        </is>
      </c>
      <c r="N2292" s="4">
        <f>IF(I2292&lt;=H2292,1,0)</f>
        <v/>
      </c>
      <c r="O2292" s="4">
        <f>IF(J2292&lt;=G2292,1,0)</f>
        <v/>
      </c>
      <c r="P2292" s="4">
        <f>MAX(0,I2292-H2292)</f>
        <v/>
      </c>
      <c r="Q2292" s="4">
        <f>MAX(0,J2292-G2292)</f>
        <v/>
      </c>
      <c r="R2292" s="4">
        <f>IF(AND(N2292=1,O2292=1),"On Track",IF(O2292=0,"Customer Delivery Late","Ship Late"))</f>
        <v/>
      </c>
    </row>
    <row r="2293">
      <c r="A2293" s="2" t="inlineStr">
        <is>
          <t>ORD-02292</t>
        </is>
      </c>
      <c r="B2293" s="2" t="inlineStr">
        <is>
          <t>Customer 07</t>
        </is>
      </c>
      <c r="C2293" s="2" t="inlineStr">
        <is>
          <t>Breaker</t>
        </is>
      </c>
      <c r="D2293" s="2" t="inlineStr">
        <is>
          <t>Plant B</t>
        </is>
      </c>
      <c r="E2293" s="2" t="inlineStr">
        <is>
          <t>Export</t>
        </is>
      </c>
      <c r="F2293" s="12" t="n">
        <v>46177</v>
      </c>
      <c r="G2293" s="12" t="n">
        <v>46196</v>
      </c>
      <c r="H2293" s="12" t="n">
        <v>46195</v>
      </c>
      <c r="I2293" s="12" t="n">
        <v>46194</v>
      </c>
      <c r="J2293" s="12" t="n">
        <v>46195</v>
      </c>
      <c r="K2293" s="2" t="n">
        <v>1034</v>
      </c>
      <c r="L2293" s="2" t="inlineStr">
        <is>
          <t>Air</t>
        </is>
      </c>
      <c r="M2293" s="2" t="inlineStr">
        <is>
          <t>No Delay</t>
        </is>
      </c>
      <c r="N2293" s="4">
        <f>IF(I2293&lt;=H2293,1,0)</f>
        <v/>
      </c>
      <c r="O2293" s="4">
        <f>IF(J2293&lt;=G2293,1,0)</f>
        <v/>
      </c>
      <c r="P2293" s="4">
        <f>MAX(0,I2293-H2293)</f>
        <v/>
      </c>
      <c r="Q2293" s="4">
        <f>MAX(0,J2293-G2293)</f>
        <v/>
      </c>
      <c r="R2293" s="4">
        <f>IF(AND(N2293=1,O2293=1),"On Track",IF(O2293=0,"Customer Delivery Late","Ship Late"))</f>
        <v/>
      </c>
    </row>
    <row r="2294">
      <c r="A2294" s="2" t="inlineStr">
        <is>
          <t>ORD-02293</t>
        </is>
      </c>
      <c r="B2294" s="2" t="inlineStr">
        <is>
          <t>Customer 13</t>
        </is>
      </c>
      <c r="C2294" s="2" t="inlineStr">
        <is>
          <t>Sensor</t>
        </is>
      </c>
      <c r="D2294" s="2" t="inlineStr">
        <is>
          <t>Plant C</t>
        </is>
      </c>
      <c r="E2294" s="2" t="inlineStr">
        <is>
          <t>Central</t>
        </is>
      </c>
      <c r="F2294" s="12" t="n">
        <v>46037</v>
      </c>
      <c r="G2294" s="12" t="n">
        <v>46060</v>
      </c>
      <c r="H2294" s="12" t="n">
        <v>46057</v>
      </c>
      <c r="I2294" s="12" t="n">
        <v>46056</v>
      </c>
      <c r="J2294" s="12" t="n">
        <v>46058</v>
      </c>
      <c r="K2294" s="2" t="n">
        <v>1309</v>
      </c>
      <c r="L2294" s="2" t="inlineStr">
        <is>
          <t>Sea</t>
        </is>
      </c>
      <c r="M2294" s="2" t="inlineStr">
        <is>
          <t>No Delay</t>
        </is>
      </c>
      <c r="N2294" s="4">
        <f>IF(I2294&lt;=H2294,1,0)</f>
        <v/>
      </c>
      <c r="O2294" s="4">
        <f>IF(J2294&lt;=G2294,1,0)</f>
        <v/>
      </c>
      <c r="P2294" s="4">
        <f>MAX(0,I2294-H2294)</f>
        <v/>
      </c>
      <c r="Q2294" s="4">
        <f>MAX(0,J2294-G2294)</f>
        <v/>
      </c>
      <c r="R2294" s="4">
        <f>IF(AND(N2294=1,O2294=1),"On Track",IF(O2294=0,"Customer Delivery Late","Ship Late"))</f>
        <v/>
      </c>
    </row>
    <row r="2295">
      <c r="A2295" s="2" t="inlineStr">
        <is>
          <t>ORD-02294</t>
        </is>
      </c>
      <c r="B2295" s="2" t="inlineStr">
        <is>
          <t>Customer 25</t>
        </is>
      </c>
      <c r="C2295" s="2" t="inlineStr">
        <is>
          <t>Switchgear</t>
        </is>
      </c>
      <c r="D2295" s="2" t="inlineStr">
        <is>
          <t>Plant B</t>
        </is>
      </c>
      <c r="E2295" s="2" t="inlineStr">
        <is>
          <t>Export</t>
        </is>
      </c>
      <c r="F2295" s="12" t="n">
        <v>46165</v>
      </c>
      <c r="G2295" s="12" t="n">
        <v>46188</v>
      </c>
      <c r="H2295" s="12" t="n">
        <v>46185</v>
      </c>
      <c r="I2295" s="12" t="n">
        <v>46184</v>
      </c>
      <c r="J2295" s="12" t="n">
        <v>46188</v>
      </c>
      <c r="K2295" s="2" t="n">
        <v>961</v>
      </c>
      <c r="L2295" s="2" t="inlineStr">
        <is>
          <t>Sea</t>
        </is>
      </c>
      <c r="M2295" s="2" t="inlineStr">
        <is>
          <t>No Delay</t>
        </is>
      </c>
      <c r="N2295" s="4">
        <f>IF(I2295&lt;=H2295,1,0)</f>
        <v/>
      </c>
      <c r="O2295" s="4">
        <f>IF(J2295&lt;=G2295,1,0)</f>
        <v/>
      </c>
      <c r="P2295" s="4">
        <f>MAX(0,I2295-H2295)</f>
        <v/>
      </c>
      <c r="Q2295" s="4">
        <f>MAX(0,J2295-G2295)</f>
        <v/>
      </c>
      <c r="R2295" s="4">
        <f>IF(AND(N2295=1,O2295=1),"On Track",IF(O2295=0,"Customer Delivery Late","Ship Late"))</f>
        <v/>
      </c>
    </row>
    <row r="2296">
      <c r="A2296" s="2" t="inlineStr">
        <is>
          <t>ORD-02295</t>
        </is>
      </c>
      <c r="B2296" s="2" t="inlineStr">
        <is>
          <t>Customer 21</t>
        </is>
      </c>
      <c r="C2296" s="2" t="inlineStr">
        <is>
          <t>Switchgear</t>
        </is>
      </c>
      <c r="D2296" s="2" t="inlineStr">
        <is>
          <t>Plant C</t>
        </is>
      </c>
      <c r="E2296" s="2" t="inlineStr">
        <is>
          <t>Central</t>
        </is>
      </c>
      <c r="F2296" s="12" t="n">
        <v>46134</v>
      </c>
      <c r="G2296" s="12" t="n">
        <v>46140</v>
      </c>
      <c r="H2296" s="12" t="n">
        <v>46139</v>
      </c>
      <c r="I2296" s="12" t="n">
        <v>46137</v>
      </c>
      <c r="J2296" s="12" t="n">
        <v>46138</v>
      </c>
      <c r="K2296" s="2" t="n">
        <v>173</v>
      </c>
      <c r="L2296" s="2" t="inlineStr">
        <is>
          <t>Sea</t>
        </is>
      </c>
      <c r="M2296" s="2" t="inlineStr">
        <is>
          <t>No Delay</t>
        </is>
      </c>
      <c r="N2296" s="4">
        <f>IF(I2296&lt;=H2296,1,0)</f>
        <v/>
      </c>
      <c r="O2296" s="4">
        <f>IF(J2296&lt;=G2296,1,0)</f>
        <v/>
      </c>
      <c r="P2296" s="4">
        <f>MAX(0,I2296-H2296)</f>
        <v/>
      </c>
      <c r="Q2296" s="4">
        <f>MAX(0,J2296-G2296)</f>
        <v/>
      </c>
      <c r="R2296" s="4">
        <f>IF(AND(N2296=1,O2296=1),"On Track",IF(O2296=0,"Customer Delivery Late","Ship Late"))</f>
        <v/>
      </c>
    </row>
    <row r="2297">
      <c r="A2297" s="2" t="inlineStr">
        <is>
          <t>ORD-02296</t>
        </is>
      </c>
      <c r="B2297" s="2" t="inlineStr">
        <is>
          <t>Customer 24</t>
        </is>
      </c>
      <c r="C2297" s="2" t="inlineStr">
        <is>
          <t>Switchgear</t>
        </is>
      </c>
      <c r="D2297" s="2" t="inlineStr">
        <is>
          <t>Plant B</t>
        </is>
      </c>
      <c r="E2297" s="2" t="inlineStr">
        <is>
          <t>Export</t>
        </is>
      </c>
      <c r="F2297" s="12" t="n">
        <v>46143</v>
      </c>
      <c r="G2297" s="12" t="n">
        <v>46155</v>
      </c>
      <c r="H2297" s="12" t="n">
        <v>46154</v>
      </c>
      <c r="I2297" s="12" t="n">
        <v>46152</v>
      </c>
      <c r="J2297" s="12" t="n">
        <v>46154</v>
      </c>
      <c r="K2297" s="2" t="n">
        <v>550</v>
      </c>
      <c r="L2297" s="2" t="inlineStr">
        <is>
          <t>Air</t>
        </is>
      </c>
      <c r="M2297" s="2" t="inlineStr">
        <is>
          <t>No Delay</t>
        </is>
      </c>
      <c r="N2297" s="4">
        <f>IF(I2297&lt;=H2297,1,0)</f>
        <v/>
      </c>
      <c r="O2297" s="4">
        <f>IF(J2297&lt;=G2297,1,0)</f>
        <v/>
      </c>
      <c r="P2297" s="4">
        <f>MAX(0,I2297-H2297)</f>
        <v/>
      </c>
      <c r="Q2297" s="4">
        <f>MAX(0,J2297-G2297)</f>
        <v/>
      </c>
      <c r="R2297" s="4">
        <f>IF(AND(N2297=1,O2297=1),"On Track",IF(O2297=0,"Customer Delivery Late","Ship Late"))</f>
        <v/>
      </c>
    </row>
    <row r="2298">
      <c r="A2298" s="2" t="inlineStr">
        <is>
          <t>ORD-02297</t>
        </is>
      </c>
      <c r="B2298" s="2" t="inlineStr">
        <is>
          <t>Customer 24</t>
        </is>
      </c>
      <c r="C2298" s="2" t="inlineStr">
        <is>
          <t>PLC</t>
        </is>
      </c>
      <c r="D2298" s="2" t="inlineStr">
        <is>
          <t>Plant A</t>
        </is>
      </c>
      <c r="E2298" s="2" t="inlineStr">
        <is>
          <t>North</t>
        </is>
      </c>
      <c r="F2298" s="12" t="n">
        <v>46052</v>
      </c>
      <c r="G2298" s="12" t="n">
        <v>46057</v>
      </c>
      <c r="H2298" s="12" t="n">
        <v>46054</v>
      </c>
      <c r="I2298" s="12" t="n">
        <v>46054</v>
      </c>
      <c r="J2298" s="12" t="n">
        <v>46058</v>
      </c>
      <c r="K2298" s="2" t="n">
        <v>715</v>
      </c>
      <c r="L2298" s="2" t="inlineStr">
        <is>
          <t>Air</t>
        </is>
      </c>
      <c r="M2298" s="2" t="inlineStr">
        <is>
          <t>Documentation Issue</t>
        </is>
      </c>
      <c r="N2298" s="4">
        <f>IF(I2298&lt;=H2298,1,0)</f>
        <v/>
      </c>
      <c r="O2298" s="4">
        <f>IF(J2298&lt;=G2298,1,0)</f>
        <v/>
      </c>
      <c r="P2298" s="4">
        <f>MAX(0,I2298-H2298)</f>
        <v/>
      </c>
      <c r="Q2298" s="4">
        <f>MAX(0,J2298-G2298)</f>
        <v/>
      </c>
      <c r="R2298" s="4">
        <f>IF(AND(N2298=1,O2298=1),"On Track",IF(O2298=0,"Customer Delivery Late","Ship Late"))</f>
        <v/>
      </c>
    </row>
    <row r="2299">
      <c r="A2299" s="2" t="inlineStr">
        <is>
          <t>ORD-02298</t>
        </is>
      </c>
      <c r="B2299" s="2" t="inlineStr">
        <is>
          <t>Customer 19</t>
        </is>
      </c>
      <c r="C2299" s="2" t="inlineStr">
        <is>
          <t>Drive</t>
        </is>
      </c>
      <c r="D2299" s="2" t="inlineStr">
        <is>
          <t>Plant C</t>
        </is>
      </c>
      <c r="E2299" s="2" t="inlineStr">
        <is>
          <t>South</t>
        </is>
      </c>
      <c r="F2299" s="12" t="n">
        <v>46028</v>
      </c>
      <c r="G2299" s="12" t="n">
        <v>46043</v>
      </c>
      <c r="H2299" s="12" t="n">
        <v>46040</v>
      </c>
      <c r="I2299" s="12" t="n">
        <v>46038</v>
      </c>
      <c r="J2299" s="12" t="n">
        <v>46042</v>
      </c>
      <c r="K2299" s="2" t="n">
        <v>987</v>
      </c>
      <c r="L2299" s="2" t="inlineStr">
        <is>
          <t>Air</t>
        </is>
      </c>
      <c r="M2299" s="2" t="inlineStr">
        <is>
          <t>No Delay</t>
        </is>
      </c>
      <c r="N2299" s="4">
        <f>IF(I2299&lt;=H2299,1,0)</f>
        <v/>
      </c>
      <c r="O2299" s="4">
        <f>IF(J2299&lt;=G2299,1,0)</f>
        <v/>
      </c>
      <c r="P2299" s="4">
        <f>MAX(0,I2299-H2299)</f>
        <v/>
      </c>
      <c r="Q2299" s="4">
        <f>MAX(0,J2299-G2299)</f>
        <v/>
      </c>
      <c r="R2299" s="4">
        <f>IF(AND(N2299=1,O2299=1),"On Track",IF(O2299=0,"Customer Delivery Late","Ship Late"))</f>
        <v/>
      </c>
    </row>
    <row r="2300">
      <c r="A2300" s="2" t="inlineStr">
        <is>
          <t>ORD-02299</t>
        </is>
      </c>
      <c r="B2300" s="2" t="inlineStr">
        <is>
          <t>Customer 15</t>
        </is>
      </c>
      <c r="C2300" s="2" t="inlineStr">
        <is>
          <t>Drive</t>
        </is>
      </c>
      <c r="D2300" s="2" t="inlineStr">
        <is>
          <t>Plant B</t>
        </is>
      </c>
      <c r="E2300" s="2" t="inlineStr">
        <is>
          <t>South</t>
        </is>
      </c>
      <c r="F2300" s="12" t="n">
        <v>46053</v>
      </c>
      <c r="G2300" s="12" t="n">
        <v>46061</v>
      </c>
      <c r="H2300" s="12" t="n">
        <v>46060</v>
      </c>
      <c r="I2300" s="12" t="n">
        <v>46060</v>
      </c>
      <c r="J2300" s="12" t="n">
        <v>46061</v>
      </c>
      <c r="K2300" s="2" t="n">
        <v>866</v>
      </c>
      <c r="L2300" s="2" t="inlineStr">
        <is>
          <t>Air</t>
        </is>
      </c>
      <c r="M2300" s="2" t="inlineStr">
        <is>
          <t>No Delay</t>
        </is>
      </c>
      <c r="N2300" s="4">
        <f>IF(I2300&lt;=H2300,1,0)</f>
        <v/>
      </c>
      <c r="O2300" s="4">
        <f>IF(J2300&lt;=G2300,1,0)</f>
        <v/>
      </c>
      <c r="P2300" s="4">
        <f>MAX(0,I2300-H2300)</f>
        <v/>
      </c>
      <c r="Q2300" s="4">
        <f>MAX(0,J2300-G2300)</f>
        <v/>
      </c>
      <c r="R2300" s="4">
        <f>IF(AND(N2300=1,O2300=1),"On Track",IF(O2300=0,"Customer Delivery Late","Ship Late"))</f>
        <v/>
      </c>
    </row>
    <row r="2301">
      <c r="A2301" s="2" t="inlineStr">
        <is>
          <t>ORD-02300</t>
        </is>
      </c>
      <c r="B2301" s="2" t="inlineStr">
        <is>
          <t>Customer 19</t>
        </is>
      </c>
      <c r="C2301" s="2" t="inlineStr">
        <is>
          <t>PLC</t>
        </is>
      </c>
      <c r="D2301" s="2" t="inlineStr">
        <is>
          <t>Plant B</t>
        </is>
      </c>
      <c r="E2301" s="2" t="inlineStr">
        <is>
          <t>South</t>
        </is>
      </c>
      <c r="F2301" s="12" t="n">
        <v>46141</v>
      </c>
      <c r="G2301" s="12" t="n">
        <v>46150</v>
      </c>
      <c r="H2301" s="12" t="n">
        <v>46145</v>
      </c>
      <c r="I2301" s="12" t="n">
        <v>46144</v>
      </c>
      <c r="J2301" s="12" t="n">
        <v>46149</v>
      </c>
      <c r="K2301" s="2" t="n">
        <v>559</v>
      </c>
      <c r="L2301" s="2" t="inlineStr">
        <is>
          <t>Sea</t>
        </is>
      </c>
      <c r="M2301" s="2" t="inlineStr">
        <is>
          <t>No Delay</t>
        </is>
      </c>
      <c r="N2301" s="4">
        <f>IF(I2301&lt;=H2301,1,0)</f>
        <v/>
      </c>
      <c r="O2301" s="4">
        <f>IF(J2301&lt;=G2301,1,0)</f>
        <v/>
      </c>
      <c r="P2301" s="4">
        <f>MAX(0,I2301-H2301)</f>
        <v/>
      </c>
      <c r="Q2301" s="4">
        <f>MAX(0,J2301-G2301)</f>
        <v/>
      </c>
      <c r="R2301" s="4">
        <f>IF(AND(N2301=1,O2301=1),"On Track",IF(O2301=0,"Customer Delivery Late","Ship Late"))</f>
        <v/>
      </c>
    </row>
    <row r="2302">
      <c r="A2302" s="2" t="inlineStr">
        <is>
          <t>ORD-02301</t>
        </is>
      </c>
      <c r="B2302" s="2" t="inlineStr">
        <is>
          <t>Customer 12</t>
        </is>
      </c>
      <c r="C2302" s="2" t="inlineStr">
        <is>
          <t>Power Supply</t>
        </is>
      </c>
      <c r="D2302" s="2" t="inlineStr">
        <is>
          <t>Plant A</t>
        </is>
      </c>
      <c r="E2302" s="2" t="inlineStr">
        <is>
          <t>Export</t>
        </is>
      </c>
      <c r="F2302" s="12" t="n">
        <v>46029</v>
      </c>
      <c r="G2302" s="12" t="n">
        <v>46040</v>
      </c>
      <c r="H2302" s="12" t="n">
        <v>46035</v>
      </c>
      <c r="I2302" s="12" t="n">
        <v>46035</v>
      </c>
      <c r="J2302" s="12" t="n">
        <v>46040</v>
      </c>
      <c r="K2302" s="2" t="n">
        <v>786</v>
      </c>
      <c r="L2302" s="2" t="inlineStr">
        <is>
          <t>Sea</t>
        </is>
      </c>
      <c r="M2302" s="2" t="inlineStr">
        <is>
          <t>No Delay</t>
        </is>
      </c>
      <c r="N2302" s="4">
        <f>IF(I2302&lt;=H2302,1,0)</f>
        <v/>
      </c>
      <c r="O2302" s="4">
        <f>IF(J2302&lt;=G2302,1,0)</f>
        <v/>
      </c>
      <c r="P2302" s="4">
        <f>MAX(0,I2302-H2302)</f>
        <v/>
      </c>
      <c r="Q2302" s="4">
        <f>MAX(0,J2302-G2302)</f>
        <v/>
      </c>
      <c r="R2302" s="4">
        <f>IF(AND(N2302=1,O2302=1),"On Track",IF(O2302=0,"Customer Delivery Late","Ship Late"))</f>
        <v/>
      </c>
    </row>
    <row r="2303">
      <c r="A2303" s="2" t="inlineStr">
        <is>
          <t>ORD-02302</t>
        </is>
      </c>
      <c r="B2303" s="2" t="inlineStr">
        <is>
          <t>Customer 05</t>
        </is>
      </c>
      <c r="C2303" s="2" t="inlineStr">
        <is>
          <t>Power Supply</t>
        </is>
      </c>
      <c r="D2303" s="2" t="inlineStr">
        <is>
          <t>Plant C</t>
        </is>
      </c>
      <c r="E2303" s="2" t="inlineStr">
        <is>
          <t>Export</t>
        </is>
      </c>
      <c r="F2303" s="12" t="n">
        <v>46174</v>
      </c>
      <c r="G2303" s="12" t="n">
        <v>46198</v>
      </c>
      <c r="H2303" s="12" t="n">
        <v>46196</v>
      </c>
      <c r="I2303" s="12" t="n">
        <v>46196</v>
      </c>
      <c r="J2303" s="12" t="n">
        <v>46197</v>
      </c>
      <c r="K2303" s="2" t="n">
        <v>79</v>
      </c>
      <c r="L2303" s="2" t="inlineStr">
        <is>
          <t>Sea</t>
        </is>
      </c>
      <c r="M2303" s="2" t="inlineStr">
        <is>
          <t>No Delay</t>
        </is>
      </c>
      <c r="N2303" s="4">
        <f>IF(I2303&lt;=H2303,1,0)</f>
        <v/>
      </c>
      <c r="O2303" s="4">
        <f>IF(J2303&lt;=G2303,1,0)</f>
        <v/>
      </c>
      <c r="P2303" s="4">
        <f>MAX(0,I2303-H2303)</f>
        <v/>
      </c>
      <c r="Q2303" s="4">
        <f>MAX(0,J2303-G2303)</f>
        <v/>
      </c>
      <c r="R2303" s="4">
        <f>IF(AND(N2303=1,O2303=1),"On Track",IF(O2303=0,"Customer Delivery Late","Ship Late"))</f>
        <v/>
      </c>
    </row>
    <row r="2304">
      <c r="A2304" s="2" t="inlineStr">
        <is>
          <t>ORD-02303</t>
        </is>
      </c>
      <c r="B2304" s="2" t="inlineStr">
        <is>
          <t>Customer 07</t>
        </is>
      </c>
      <c r="C2304" s="2" t="inlineStr">
        <is>
          <t>Power Supply</t>
        </is>
      </c>
      <c r="D2304" s="2" t="inlineStr">
        <is>
          <t>Plant A</t>
        </is>
      </c>
      <c r="E2304" s="2" t="inlineStr">
        <is>
          <t>Export</t>
        </is>
      </c>
      <c r="F2304" s="12" t="n">
        <v>46136</v>
      </c>
      <c r="G2304" s="12" t="n">
        <v>46155</v>
      </c>
      <c r="H2304" s="12" t="n">
        <v>46151</v>
      </c>
      <c r="I2304" s="12" t="n">
        <v>46150</v>
      </c>
      <c r="J2304" s="12" t="n">
        <v>46153</v>
      </c>
      <c r="K2304" s="2" t="n">
        <v>466</v>
      </c>
      <c r="L2304" s="2" t="inlineStr">
        <is>
          <t>Air</t>
        </is>
      </c>
      <c r="M2304" s="2" t="inlineStr">
        <is>
          <t>No Delay</t>
        </is>
      </c>
      <c r="N2304" s="4">
        <f>IF(I2304&lt;=H2304,1,0)</f>
        <v/>
      </c>
      <c r="O2304" s="4">
        <f>IF(J2304&lt;=G2304,1,0)</f>
        <v/>
      </c>
      <c r="P2304" s="4">
        <f>MAX(0,I2304-H2304)</f>
        <v/>
      </c>
      <c r="Q2304" s="4">
        <f>MAX(0,J2304-G2304)</f>
        <v/>
      </c>
      <c r="R2304" s="4">
        <f>IF(AND(N2304=1,O2304=1),"On Track",IF(O2304=0,"Customer Delivery Late","Ship Late"))</f>
        <v/>
      </c>
    </row>
    <row r="2305">
      <c r="A2305" s="2" t="inlineStr">
        <is>
          <t>ORD-02304</t>
        </is>
      </c>
      <c r="B2305" s="2" t="inlineStr">
        <is>
          <t>Customer 15</t>
        </is>
      </c>
      <c r="C2305" s="2" t="inlineStr">
        <is>
          <t>PLC</t>
        </is>
      </c>
      <c r="D2305" s="2" t="inlineStr">
        <is>
          <t>Plant B</t>
        </is>
      </c>
      <c r="E2305" s="2" t="inlineStr">
        <is>
          <t>North</t>
        </is>
      </c>
      <c r="F2305" s="12" t="n">
        <v>46142</v>
      </c>
      <c r="G2305" s="12" t="n">
        <v>46165</v>
      </c>
      <c r="H2305" s="12" t="n">
        <v>46163</v>
      </c>
      <c r="I2305" s="12" t="n">
        <v>46162</v>
      </c>
      <c r="J2305" s="12" t="n">
        <v>46163</v>
      </c>
      <c r="K2305" s="2" t="n">
        <v>276</v>
      </c>
      <c r="L2305" s="2" t="inlineStr">
        <is>
          <t>Sea</t>
        </is>
      </c>
      <c r="M2305" s="2" t="inlineStr">
        <is>
          <t>No Delay</t>
        </is>
      </c>
      <c r="N2305" s="4">
        <f>IF(I2305&lt;=H2305,1,0)</f>
        <v/>
      </c>
      <c r="O2305" s="4">
        <f>IF(J2305&lt;=G2305,1,0)</f>
        <v/>
      </c>
      <c r="P2305" s="4">
        <f>MAX(0,I2305-H2305)</f>
        <v/>
      </c>
      <c r="Q2305" s="4">
        <f>MAX(0,J2305-G2305)</f>
        <v/>
      </c>
      <c r="R2305" s="4">
        <f>IF(AND(N2305=1,O2305=1),"On Track",IF(O2305=0,"Customer Delivery Late","Ship Late"))</f>
        <v/>
      </c>
    </row>
    <row r="2306">
      <c r="A2306" s="2" t="inlineStr">
        <is>
          <t>ORD-02305</t>
        </is>
      </c>
      <c r="B2306" s="2" t="inlineStr">
        <is>
          <t>Customer 21</t>
        </is>
      </c>
      <c r="C2306" s="2" t="inlineStr">
        <is>
          <t>Relay</t>
        </is>
      </c>
      <c r="D2306" s="2" t="inlineStr">
        <is>
          <t>Plant B</t>
        </is>
      </c>
      <c r="E2306" s="2" t="inlineStr">
        <is>
          <t>Central</t>
        </is>
      </c>
      <c r="F2306" s="12" t="n">
        <v>46175</v>
      </c>
      <c r="G2306" s="12" t="n">
        <v>46193</v>
      </c>
      <c r="H2306" s="12" t="n">
        <v>46191</v>
      </c>
      <c r="I2306" s="12" t="n">
        <v>46189</v>
      </c>
      <c r="J2306" s="12" t="n">
        <v>46192</v>
      </c>
      <c r="K2306" s="2" t="n">
        <v>345</v>
      </c>
      <c r="L2306" s="2" t="inlineStr">
        <is>
          <t>Road</t>
        </is>
      </c>
      <c r="M2306" s="2" t="inlineStr">
        <is>
          <t>No Delay</t>
        </is>
      </c>
      <c r="N2306" s="4">
        <f>IF(I2306&lt;=H2306,1,0)</f>
        <v/>
      </c>
      <c r="O2306" s="4">
        <f>IF(J2306&lt;=G2306,1,0)</f>
        <v/>
      </c>
      <c r="P2306" s="4">
        <f>MAX(0,I2306-H2306)</f>
        <v/>
      </c>
      <c r="Q2306" s="4">
        <f>MAX(0,J2306-G2306)</f>
        <v/>
      </c>
      <c r="R2306" s="4">
        <f>IF(AND(N2306=1,O2306=1),"On Track",IF(O2306=0,"Customer Delivery Late","Ship Late"))</f>
        <v/>
      </c>
    </row>
    <row r="2307">
      <c r="A2307" s="2" t="inlineStr">
        <is>
          <t>ORD-02306</t>
        </is>
      </c>
      <c r="B2307" s="2" t="inlineStr">
        <is>
          <t>Customer 01</t>
        </is>
      </c>
      <c r="C2307" s="2" t="inlineStr">
        <is>
          <t>Power Supply</t>
        </is>
      </c>
      <c r="D2307" s="2" t="inlineStr">
        <is>
          <t>Plant C</t>
        </is>
      </c>
      <c r="E2307" s="2" t="inlineStr">
        <is>
          <t>North</t>
        </is>
      </c>
      <c r="F2307" s="12" t="n">
        <v>46072</v>
      </c>
      <c r="G2307" s="12" t="n">
        <v>46084</v>
      </c>
      <c r="H2307" s="12" t="n">
        <v>46083</v>
      </c>
      <c r="I2307" s="12" t="n">
        <v>46081</v>
      </c>
      <c r="J2307" s="12" t="n">
        <v>46082</v>
      </c>
      <c r="K2307" s="2" t="n">
        <v>783</v>
      </c>
      <c r="L2307" s="2" t="inlineStr">
        <is>
          <t>Sea</t>
        </is>
      </c>
      <c r="M2307" s="2" t="inlineStr">
        <is>
          <t>No Delay</t>
        </is>
      </c>
      <c r="N2307" s="4">
        <f>IF(I2307&lt;=H2307,1,0)</f>
        <v/>
      </c>
      <c r="O2307" s="4">
        <f>IF(J2307&lt;=G2307,1,0)</f>
        <v/>
      </c>
      <c r="P2307" s="4">
        <f>MAX(0,I2307-H2307)</f>
        <v/>
      </c>
      <c r="Q2307" s="4">
        <f>MAX(0,J2307-G2307)</f>
        <v/>
      </c>
      <c r="R2307" s="4">
        <f>IF(AND(N2307=1,O2307=1),"On Track",IF(O2307=0,"Customer Delivery Late","Ship Late"))</f>
        <v/>
      </c>
    </row>
    <row r="2308">
      <c r="A2308" s="2" t="inlineStr">
        <is>
          <t>ORD-02307</t>
        </is>
      </c>
      <c r="B2308" s="2" t="inlineStr">
        <is>
          <t>Customer 18</t>
        </is>
      </c>
      <c r="C2308" s="2" t="inlineStr">
        <is>
          <t>Power Supply</t>
        </is>
      </c>
      <c r="D2308" s="2" t="inlineStr">
        <is>
          <t>Plant B</t>
        </is>
      </c>
      <c r="E2308" s="2" t="inlineStr">
        <is>
          <t>Central</t>
        </is>
      </c>
      <c r="F2308" s="12" t="n">
        <v>46089</v>
      </c>
      <c r="G2308" s="12" t="n">
        <v>46101</v>
      </c>
      <c r="H2308" s="12" t="n">
        <v>46100</v>
      </c>
      <c r="I2308" s="12" t="n">
        <v>46099</v>
      </c>
      <c r="J2308" s="12" t="n">
        <v>46100</v>
      </c>
      <c r="K2308" s="2" t="n">
        <v>1236</v>
      </c>
      <c r="L2308" s="2" t="inlineStr">
        <is>
          <t>Air</t>
        </is>
      </c>
      <c r="M2308" s="2" t="inlineStr">
        <is>
          <t>No Delay</t>
        </is>
      </c>
      <c r="N2308" s="4">
        <f>IF(I2308&lt;=H2308,1,0)</f>
        <v/>
      </c>
      <c r="O2308" s="4">
        <f>IF(J2308&lt;=G2308,1,0)</f>
        <v/>
      </c>
      <c r="P2308" s="4">
        <f>MAX(0,I2308-H2308)</f>
        <v/>
      </c>
      <c r="Q2308" s="4">
        <f>MAX(0,J2308-G2308)</f>
        <v/>
      </c>
      <c r="R2308" s="4">
        <f>IF(AND(N2308=1,O2308=1),"On Track",IF(O2308=0,"Customer Delivery Late","Ship Late"))</f>
        <v/>
      </c>
    </row>
    <row r="2309">
      <c r="A2309" s="2" t="inlineStr">
        <is>
          <t>ORD-02308</t>
        </is>
      </c>
      <c r="B2309" s="2" t="inlineStr">
        <is>
          <t>Customer 28</t>
        </is>
      </c>
      <c r="C2309" s="2" t="inlineStr">
        <is>
          <t>Sensor</t>
        </is>
      </c>
      <c r="D2309" s="2" t="inlineStr">
        <is>
          <t>Plant B</t>
        </is>
      </c>
      <c r="E2309" s="2" t="inlineStr">
        <is>
          <t>South</t>
        </is>
      </c>
      <c r="F2309" s="12" t="n">
        <v>46046</v>
      </c>
      <c r="G2309" s="12" t="n">
        <v>46055</v>
      </c>
      <c r="H2309" s="12" t="n">
        <v>46050</v>
      </c>
      <c r="I2309" s="12" t="n">
        <v>46049</v>
      </c>
      <c r="J2309" s="12" t="n">
        <v>46053</v>
      </c>
      <c r="K2309" s="2" t="n">
        <v>598</v>
      </c>
      <c r="L2309" s="2" t="inlineStr">
        <is>
          <t>Sea</t>
        </is>
      </c>
      <c r="M2309" s="2" t="inlineStr">
        <is>
          <t>No Delay</t>
        </is>
      </c>
      <c r="N2309" s="4">
        <f>IF(I2309&lt;=H2309,1,0)</f>
        <v/>
      </c>
      <c r="O2309" s="4">
        <f>IF(J2309&lt;=G2309,1,0)</f>
        <v/>
      </c>
      <c r="P2309" s="4">
        <f>MAX(0,I2309-H2309)</f>
        <v/>
      </c>
      <c r="Q2309" s="4">
        <f>MAX(0,J2309-G2309)</f>
        <v/>
      </c>
      <c r="R2309" s="4">
        <f>IF(AND(N2309=1,O2309=1),"On Track",IF(O2309=0,"Customer Delivery Late","Ship Late"))</f>
        <v/>
      </c>
    </row>
    <row r="2310">
      <c r="A2310" s="2" t="inlineStr">
        <is>
          <t>ORD-02309</t>
        </is>
      </c>
      <c r="B2310" s="2" t="inlineStr">
        <is>
          <t>Customer 12</t>
        </is>
      </c>
      <c r="C2310" s="2" t="inlineStr">
        <is>
          <t>Sensor</t>
        </is>
      </c>
      <c r="D2310" s="2" t="inlineStr">
        <is>
          <t>Plant A</t>
        </is>
      </c>
      <c r="E2310" s="2" t="inlineStr">
        <is>
          <t>North</t>
        </is>
      </c>
      <c r="F2310" s="12" t="n">
        <v>46145</v>
      </c>
      <c r="G2310" s="12" t="n">
        <v>46160</v>
      </c>
      <c r="H2310" s="12" t="n">
        <v>46158</v>
      </c>
      <c r="I2310" s="12" t="n">
        <v>46158</v>
      </c>
      <c r="J2310" s="12" t="n">
        <v>46160</v>
      </c>
      <c r="K2310" s="2" t="n">
        <v>673</v>
      </c>
      <c r="L2310" s="2" t="inlineStr">
        <is>
          <t>Road</t>
        </is>
      </c>
      <c r="M2310" s="2" t="inlineStr">
        <is>
          <t>No Delay</t>
        </is>
      </c>
      <c r="N2310" s="4">
        <f>IF(I2310&lt;=H2310,1,0)</f>
        <v/>
      </c>
      <c r="O2310" s="4">
        <f>IF(J2310&lt;=G2310,1,0)</f>
        <v/>
      </c>
      <c r="P2310" s="4">
        <f>MAX(0,I2310-H2310)</f>
        <v/>
      </c>
      <c r="Q2310" s="4">
        <f>MAX(0,J2310-G2310)</f>
        <v/>
      </c>
      <c r="R2310" s="4">
        <f>IF(AND(N2310=1,O2310=1),"On Track",IF(O2310=0,"Customer Delivery Late","Ship Late"))</f>
        <v/>
      </c>
    </row>
    <row r="2311">
      <c r="A2311" s="2" t="inlineStr">
        <is>
          <t>ORD-02310</t>
        </is>
      </c>
      <c r="B2311" s="2" t="inlineStr">
        <is>
          <t>Customer 18</t>
        </is>
      </c>
      <c r="C2311" s="2" t="inlineStr">
        <is>
          <t>Switchgear</t>
        </is>
      </c>
      <c r="D2311" s="2" t="inlineStr">
        <is>
          <t>Plant C</t>
        </is>
      </c>
      <c r="E2311" s="2" t="inlineStr">
        <is>
          <t>Export</t>
        </is>
      </c>
      <c r="F2311" s="12" t="n">
        <v>46136</v>
      </c>
      <c r="G2311" s="12" t="n">
        <v>46154</v>
      </c>
      <c r="H2311" s="12" t="n">
        <v>46151</v>
      </c>
      <c r="I2311" s="12" t="n">
        <v>46157</v>
      </c>
      <c r="J2311" s="12" t="n">
        <v>46159</v>
      </c>
      <c r="K2311" s="2" t="n">
        <v>66</v>
      </c>
      <c r="L2311" s="2" t="inlineStr">
        <is>
          <t>Sea</t>
        </is>
      </c>
      <c r="M2311" s="2" t="inlineStr">
        <is>
          <t>Documentation Issue</t>
        </is>
      </c>
      <c r="N2311" s="4">
        <f>IF(I2311&lt;=H2311,1,0)</f>
        <v/>
      </c>
      <c r="O2311" s="4">
        <f>IF(J2311&lt;=G2311,1,0)</f>
        <v/>
      </c>
      <c r="P2311" s="4">
        <f>MAX(0,I2311-H2311)</f>
        <v/>
      </c>
      <c r="Q2311" s="4">
        <f>MAX(0,J2311-G2311)</f>
        <v/>
      </c>
      <c r="R2311" s="4">
        <f>IF(AND(N2311=1,O2311=1),"On Track",IF(O2311=0,"Customer Delivery Late","Ship Late"))</f>
        <v/>
      </c>
    </row>
    <row r="2312">
      <c r="A2312" s="2" t="inlineStr">
        <is>
          <t>ORD-02311</t>
        </is>
      </c>
      <c r="B2312" s="2" t="inlineStr">
        <is>
          <t>Customer 03</t>
        </is>
      </c>
      <c r="C2312" s="2" t="inlineStr">
        <is>
          <t>Switchgear</t>
        </is>
      </c>
      <c r="D2312" s="2" t="inlineStr">
        <is>
          <t>Plant A</t>
        </is>
      </c>
      <c r="E2312" s="2" t="inlineStr">
        <is>
          <t>North</t>
        </is>
      </c>
      <c r="F2312" s="12" t="n">
        <v>46069</v>
      </c>
      <c r="G2312" s="12" t="n">
        <v>46075</v>
      </c>
      <c r="H2312" s="12" t="n">
        <v>46073</v>
      </c>
      <c r="I2312" s="12" t="n">
        <v>46071</v>
      </c>
      <c r="J2312" s="12" t="n">
        <v>46072</v>
      </c>
      <c r="K2312" s="2" t="n">
        <v>1282</v>
      </c>
      <c r="L2312" s="2" t="inlineStr">
        <is>
          <t>Sea</t>
        </is>
      </c>
      <c r="M2312" s="2" t="inlineStr">
        <is>
          <t>No Delay</t>
        </is>
      </c>
      <c r="N2312" s="4">
        <f>IF(I2312&lt;=H2312,1,0)</f>
        <v/>
      </c>
      <c r="O2312" s="4">
        <f>IF(J2312&lt;=G2312,1,0)</f>
        <v/>
      </c>
      <c r="P2312" s="4">
        <f>MAX(0,I2312-H2312)</f>
        <v/>
      </c>
      <c r="Q2312" s="4">
        <f>MAX(0,J2312-G2312)</f>
        <v/>
      </c>
      <c r="R2312" s="4">
        <f>IF(AND(N2312=1,O2312=1),"On Track",IF(O2312=0,"Customer Delivery Late","Ship Late"))</f>
        <v/>
      </c>
    </row>
    <row r="2313">
      <c r="A2313" s="2" t="inlineStr">
        <is>
          <t>ORD-02312</t>
        </is>
      </c>
      <c r="B2313" s="2" t="inlineStr">
        <is>
          <t>Customer 19</t>
        </is>
      </c>
      <c r="C2313" s="2" t="inlineStr">
        <is>
          <t>Switchgear</t>
        </is>
      </c>
      <c r="D2313" s="2" t="inlineStr">
        <is>
          <t>Plant A</t>
        </is>
      </c>
      <c r="E2313" s="2" t="inlineStr">
        <is>
          <t>Export</t>
        </is>
      </c>
      <c r="F2313" s="12" t="n">
        <v>46106</v>
      </c>
      <c r="G2313" s="12" t="n">
        <v>46128</v>
      </c>
      <c r="H2313" s="12" t="n">
        <v>46124</v>
      </c>
      <c r="I2313" s="12" t="n">
        <v>46122</v>
      </c>
      <c r="J2313" s="12" t="n">
        <v>46127</v>
      </c>
      <c r="K2313" s="2" t="n">
        <v>425</v>
      </c>
      <c r="L2313" s="2" t="inlineStr">
        <is>
          <t>Sea</t>
        </is>
      </c>
      <c r="M2313" s="2" t="inlineStr">
        <is>
          <t>No Delay</t>
        </is>
      </c>
      <c r="N2313" s="4">
        <f>IF(I2313&lt;=H2313,1,0)</f>
        <v/>
      </c>
      <c r="O2313" s="4">
        <f>IF(J2313&lt;=G2313,1,0)</f>
        <v/>
      </c>
      <c r="P2313" s="4">
        <f>MAX(0,I2313-H2313)</f>
        <v/>
      </c>
      <c r="Q2313" s="4">
        <f>MAX(0,J2313-G2313)</f>
        <v/>
      </c>
      <c r="R2313" s="4">
        <f>IF(AND(N2313=1,O2313=1),"On Track",IF(O2313=0,"Customer Delivery Late","Ship Late"))</f>
        <v/>
      </c>
    </row>
    <row r="2314">
      <c r="A2314" s="2" t="inlineStr">
        <is>
          <t>ORD-02313</t>
        </is>
      </c>
      <c r="B2314" s="2" t="inlineStr">
        <is>
          <t>Customer 27</t>
        </is>
      </c>
      <c r="C2314" s="2" t="inlineStr">
        <is>
          <t>Contactor</t>
        </is>
      </c>
      <c r="D2314" s="2" t="inlineStr">
        <is>
          <t>Plant B</t>
        </is>
      </c>
      <c r="E2314" s="2" t="inlineStr">
        <is>
          <t>Export</t>
        </is>
      </c>
      <c r="F2314" s="12" t="n">
        <v>46042</v>
      </c>
      <c r="G2314" s="12" t="n">
        <v>46055</v>
      </c>
      <c r="H2314" s="12" t="n">
        <v>46053</v>
      </c>
      <c r="I2314" s="12" t="n">
        <v>46053</v>
      </c>
      <c r="J2314" s="12" t="n">
        <v>46055</v>
      </c>
      <c r="K2314" s="2" t="n">
        <v>644</v>
      </c>
      <c r="L2314" s="2" t="inlineStr">
        <is>
          <t>Air</t>
        </is>
      </c>
      <c r="M2314" s="2" t="inlineStr">
        <is>
          <t>No Delay</t>
        </is>
      </c>
      <c r="N2314" s="4">
        <f>IF(I2314&lt;=H2314,1,0)</f>
        <v/>
      </c>
      <c r="O2314" s="4">
        <f>IF(J2314&lt;=G2314,1,0)</f>
        <v/>
      </c>
      <c r="P2314" s="4">
        <f>MAX(0,I2314-H2314)</f>
        <v/>
      </c>
      <c r="Q2314" s="4">
        <f>MAX(0,J2314-G2314)</f>
        <v/>
      </c>
      <c r="R2314" s="4">
        <f>IF(AND(N2314=1,O2314=1),"On Track",IF(O2314=0,"Customer Delivery Late","Ship Late"))</f>
        <v/>
      </c>
    </row>
    <row r="2315">
      <c r="A2315" s="2" t="inlineStr">
        <is>
          <t>ORD-02314</t>
        </is>
      </c>
      <c r="B2315" s="2" t="inlineStr">
        <is>
          <t>Customer 23</t>
        </is>
      </c>
      <c r="C2315" s="2" t="inlineStr">
        <is>
          <t>Breaker</t>
        </is>
      </c>
      <c r="D2315" s="2" t="inlineStr">
        <is>
          <t>Plant A</t>
        </is>
      </c>
      <c r="E2315" s="2" t="inlineStr">
        <is>
          <t>Export</t>
        </is>
      </c>
      <c r="F2315" s="12" t="n">
        <v>46052</v>
      </c>
      <c r="G2315" s="12" t="n">
        <v>46070</v>
      </c>
      <c r="H2315" s="12" t="n">
        <v>46069</v>
      </c>
      <c r="I2315" s="12" t="n">
        <v>46067</v>
      </c>
      <c r="J2315" s="12" t="n">
        <v>46073</v>
      </c>
      <c r="K2315" s="2" t="n">
        <v>649</v>
      </c>
      <c r="L2315" s="2" t="inlineStr">
        <is>
          <t>Air</t>
        </is>
      </c>
      <c r="M2315" s="2" t="inlineStr">
        <is>
          <t>Material Shortage</t>
        </is>
      </c>
      <c r="N2315" s="4">
        <f>IF(I2315&lt;=H2315,1,0)</f>
        <v/>
      </c>
      <c r="O2315" s="4">
        <f>IF(J2315&lt;=G2315,1,0)</f>
        <v/>
      </c>
      <c r="P2315" s="4">
        <f>MAX(0,I2315-H2315)</f>
        <v/>
      </c>
      <c r="Q2315" s="4">
        <f>MAX(0,J2315-G2315)</f>
        <v/>
      </c>
      <c r="R2315" s="4">
        <f>IF(AND(N2315=1,O2315=1),"On Track",IF(O2315=0,"Customer Delivery Late","Ship Late"))</f>
        <v/>
      </c>
    </row>
    <row r="2316">
      <c r="A2316" s="2" t="inlineStr">
        <is>
          <t>ORD-02315</t>
        </is>
      </c>
      <c r="B2316" s="2" t="inlineStr">
        <is>
          <t>Customer 29</t>
        </is>
      </c>
      <c r="C2316" s="2" t="inlineStr">
        <is>
          <t>Switchgear</t>
        </is>
      </c>
      <c r="D2316" s="2" t="inlineStr">
        <is>
          <t>Plant B</t>
        </is>
      </c>
      <c r="E2316" s="2" t="inlineStr">
        <is>
          <t>South</t>
        </is>
      </c>
      <c r="F2316" s="12" t="n">
        <v>46198</v>
      </c>
      <c r="G2316" s="12" t="n">
        <v>46205</v>
      </c>
      <c r="H2316" s="12" t="n">
        <v>46203</v>
      </c>
      <c r="I2316" s="12" t="n">
        <v>46201</v>
      </c>
      <c r="J2316" s="12" t="n">
        <v>46202</v>
      </c>
      <c r="K2316" s="2" t="n">
        <v>760</v>
      </c>
      <c r="L2316" s="2" t="inlineStr">
        <is>
          <t>Air</t>
        </is>
      </c>
      <c r="M2316" s="2" t="inlineStr">
        <is>
          <t>No Delay</t>
        </is>
      </c>
      <c r="N2316" s="4">
        <f>IF(I2316&lt;=H2316,1,0)</f>
        <v/>
      </c>
      <c r="O2316" s="4">
        <f>IF(J2316&lt;=G2316,1,0)</f>
        <v/>
      </c>
      <c r="P2316" s="4">
        <f>MAX(0,I2316-H2316)</f>
        <v/>
      </c>
      <c r="Q2316" s="4">
        <f>MAX(0,J2316-G2316)</f>
        <v/>
      </c>
      <c r="R2316" s="4">
        <f>IF(AND(N2316=1,O2316=1),"On Track",IF(O2316=0,"Customer Delivery Late","Ship Late"))</f>
        <v/>
      </c>
    </row>
    <row r="2317">
      <c r="A2317" s="2" t="inlineStr">
        <is>
          <t>ORD-02316</t>
        </is>
      </c>
      <c r="B2317" s="2" t="inlineStr">
        <is>
          <t>Customer 29</t>
        </is>
      </c>
      <c r="C2317" s="2" t="inlineStr">
        <is>
          <t>Sensor</t>
        </is>
      </c>
      <c r="D2317" s="2" t="inlineStr">
        <is>
          <t>Plant B</t>
        </is>
      </c>
      <c r="E2317" s="2" t="inlineStr">
        <is>
          <t>Export</t>
        </is>
      </c>
      <c r="F2317" s="12" t="n">
        <v>46040</v>
      </c>
      <c r="G2317" s="12" t="n">
        <v>46057</v>
      </c>
      <c r="H2317" s="12" t="n">
        <v>46054</v>
      </c>
      <c r="I2317" s="12" t="n">
        <v>46054</v>
      </c>
      <c r="J2317" s="12" t="n">
        <v>46056</v>
      </c>
      <c r="K2317" s="2" t="n">
        <v>279</v>
      </c>
      <c r="L2317" s="2" t="inlineStr">
        <is>
          <t>Air</t>
        </is>
      </c>
      <c r="M2317" s="2" t="inlineStr">
        <is>
          <t>No Delay</t>
        </is>
      </c>
      <c r="N2317" s="4">
        <f>IF(I2317&lt;=H2317,1,0)</f>
        <v/>
      </c>
      <c r="O2317" s="4">
        <f>IF(J2317&lt;=G2317,1,0)</f>
        <v/>
      </c>
      <c r="P2317" s="4">
        <f>MAX(0,I2317-H2317)</f>
        <v/>
      </c>
      <c r="Q2317" s="4">
        <f>MAX(0,J2317-G2317)</f>
        <v/>
      </c>
      <c r="R2317" s="4">
        <f>IF(AND(N2317=1,O2317=1),"On Track",IF(O2317=0,"Customer Delivery Late","Ship Late"))</f>
        <v/>
      </c>
    </row>
    <row r="2318">
      <c r="A2318" s="2" t="inlineStr">
        <is>
          <t>ORD-02317</t>
        </is>
      </c>
      <c r="B2318" s="2" t="inlineStr">
        <is>
          <t>Customer 19</t>
        </is>
      </c>
      <c r="C2318" s="2" t="inlineStr">
        <is>
          <t>Switchgear</t>
        </is>
      </c>
      <c r="D2318" s="2" t="inlineStr">
        <is>
          <t>Plant B</t>
        </is>
      </c>
      <c r="E2318" s="2" t="inlineStr">
        <is>
          <t>South</t>
        </is>
      </c>
      <c r="F2318" s="12" t="n">
        <v>46104</v>
      </c>
      <c r="G2318" s="12" t="n">
        <v>46129</v>
      </c>
      <c r="H2318" s="12" t="n">
        <v>46128</v>
      </c>
      <c r="I2318" s="12" t="n">
        <v>46127</v>
      </c>
      <c r="J2318" s="12" t="n">
        <v>46128</v>
      </c>
      <c r="K2318" s="2" t="n">
        <v>359</v>
      </c>
      <c r="L2318" s="2" t="inlineStr">
        <is>
          <t>Road</t>
        </is>
      </c>
      <c r="M2318" s="2" t="inlineStr">
        <is>
          <t>No Delay</t>
        </is>
      </c>
      <c r="N2318" s="4">
        <f>IF(I2318&lt;=H2318,1,0)</f>
        <v/>
      </c>
      <c r="O2318" s="4">
        <f>IF(J2318&lt;=G2318,1,0)</f>
        <v/>
      </c>
      <c r="P2318" s="4">
        <f>MAX(0,I2318-H2318)</f>
        <v/>
      </c>
      <c r="Q2318" s="4">
        <f>MAX(0,J2318-G2318)</f>
        <v/>
      </c>
      <c r="R2318" s="4">
        <f>IF(AND(N2318=1,O2318=1),"On Track",IF(O2318=0,"Customer Delivery Late","Ship Late"))</f>
        <v/>
      </c>
    </row>
    <row r="2319">
      <c r="A2319" s="2" t="inlineStr">
        <is>
          <t>ORD-02318</t>
        </is>
      </c>
      <c r="B2319" s="2" t="inlineStr">
        <is>
          <t>Customer 26</t>
        </is>
      </c>
      <c r="C2319" s="2" t="inlineStr">
        <is>
          <t>PLC</t>
        </is>
      </c>
      <c r="D2319" s="2" t="inlineStr">
        <is>
          <t>Plant A</t>
        </is>
      </c>
      <c r="E2319" s="2" t="inlineStr">
        <is>
          <t>North</t>
        </is>
      </c>
      <c r="F2319" s="12" t="n">
        <v>46081</v>
      </c>
      <c r="G2319" s="12" t="n">
        <v>46098</v>
      </c>
      <c r="H2319" s="12" t="n">
        <v>46097</v>
      </c>
      <c r="I2319" s="12" t="n">
        <v>46096</v>
      </c>
      <c r="J2319" s="12" t="n">
        <v>46098</v>
      </c>
      <c r="K2319" s="2" t="n">
        <v>1183</v>
      </c>
      <c r="L2319" s="2" t="inlineStr">
        <is>
          <t>Air</t>
        </is>
      </c>
      <c r="M2319" s="2" t="inlineStr">
        <is>
          <t>No Delay</t>
        </is>
      </c>
      <c r="N2319" s="4">
        <f>IF(I2319&lt;=H2319,1,0)</f>
        <v/>
      </c>
      <c r="O2319" s="4">
        <f>IF(J2319&lt;=G2319,1,0)</f>
        <v/>
      </c>
      <c r="P2319" s="4">
        <f>MAX(0,I2319-H2319)</f>
        <v/>
      </c>
      <c r="Q2319" s="4">
        <f>MAX(0,J2319-G2319)</f>
        <v/>
      </c>
      <c r="R2319" s="4">
        <f>IF(AND(N2319=1,O2319=1),"On Track",IF(O2319=0,"Customer Delivery Late","Ship Late"))</f>
        <v/>
      </c>
    </row>
    <row r="2320">
      <c r="A2320" s="2" t="inlineStr">
        <is>
          <t>ORD-02319</t>
        </is>
      </c>
      <c r="B2320" s="2" t="inlineStr">
        <is>
          <t>Customer 21</t>
        </is>
      </c>
      <c r="C2320" s="2" t="inlineStr">
        <is>
          <t>Breaker</t>
        </is>
      </c>
      <c r="D2320" s="2" t="inlineStr">
        <is>
          <t>Plant B</t>
        </is>
      </c>
      <c r="E2320" s="2" t="inlineStr">
        <is>
          <t>North</t>
        </is>
      </c>
      <c r="F2320" s="12" t="n">
        <v>46152</v>
      </c>
      <c r="G2320" s="12" t="n">
        <v>46172</v>
      </c>
      <c r="H2320" s="12" t="n">
        <v>46170</v>
      </c>
      <c r="I2320" s="12" t="n">
        <v>46170</v>
      </c>
      <c r="J2320" s="12" t="n">
        <v>46172</v>
      </c>
      <c r="K2320" s="2" t="n">
        <v>190</v>
      </c>
      <c r="L2320" s="2" t="inlineStr">
        <is>
          <t>Air</t>
        </is>
      </c>
      <c r="M2320" s="2" t="inlineStr">
        <is>
          <t>No Delay</t>
        </is>
      </c>
      <c r="N2320" s="4">
        <f>IF(I2320&lt;=H2320,1,0)</f>
        <v/>
      </c>
      <c r="O2320" s="4">
        <f>IF(J2320&lt;=G2320,1,0)</f>
        <v/>
      </c>
      <c r="P2320" s="4">
        <f>MAX(0,I2320-H2320)</f>
        <v/>
      </c>
      <c r="Q2320" s="4">
        <f>MAX(0,J2320-G2320)</f>
        <v/>
      </c>
      <c r="R2320" s="4">
        <f>IF(AND(N2320=1,O2320=1),"On Track",IF(O2320=0,"Customer Delivery Late","Ship Late"))</f>
        <v/>
      </c>
    </row>
    <row r="2321">
      <c r="A2321" s="2" t="inlineStr">
        <is>
          <t>ORD-02320</t>
        </is>
      </c>
      <c r="B2321" s="2" t="inlineStr">
        <is>
          <t>Customer 24</t>
        </is>
      </c>
      <c r="C2321" s="2" t="inlineStr">
        <is>
          <t>Drive</t>
        </is>
      </c>
      <c r="D2321" s="2" t="inlineStr">
        <is>
          <t>Plant C</t>
        </is>
      </c>
      <c r="E2321" s="2" t="inlineStr">
        <is>
          <t>North</t>
        </is>
      </c>
      <c r="F2321" s="12" t="n">
        <v>46108</v>
      </c>
      <c r="G2321" s="12" t="n">
        <v>46127</v>
      </c>
      <c r="H2321" s="12" t="n">
        <v>46122</v>
      </c>
      <c r="I2321" s="12" t="n">
        <v>46120</v>
      </c>
      <c r="J2321" s="12" t="n">
        <v>46125</v>
      </c>
      <c r="K2321" s="2" t="n">
        <v>1281</v>
      </c>
      <c r="L2321" s="2" t="inlineStr">
        <is>
          <t>Sea</t>
        </is>
      </c>
      <c r="M2321" s="2" t="inlineStr">
        <is>
          <t>No Delay</t>
        </is>
      </c>
      <c r="N2321" s="4">
        <f>IF(I2321&lt;=H2321,1,0)</f>
        <v/>
      </c>
      <c r="O2321" s="4">
        <f>IF(J2321&lt;=G2321,1,0)</f>
        <v/>
      </c>
      <c r="P2321" s="4">
        <f>MAX(0,I2321-H2321)</f>
        <v/>
      </c>
      <c r="Q2321" s="4">
        <f>MAX(0,J2321-G2321)</f>
        <v/>
      </c>
      <c r="R2321" s="4">
        <f>IF(AND(N2321=1,O2321=1),"On Track",IF(O2321=0,"Customer Delivery Late","Ship Late"))</f>
        <v/>
      </c>
    </row>
    <row r="2322">
      <c r="A2322" s="2" t="inlineStr">
        <is>
          <t>ORD-02321</t>
        </is>
      </c>
      <c r="B2322" s="2" t="inlineStr">
        <is>
          <t>Customer 28</t>
        </is>
      </c>
      <c r="C2322" s="2" t="inlineStr">
        <is>
          <t>Switchgear</t>
        </is>
      </c>
      <c r="D2322" s="2" t="inlineStr">
        <is>
          <t>Plant C</t>
        </is>
      </c>
      <c r="E2322" s="2" t="inlineStr">
        <is>
          <t>Central</t>
        </is>
      </c>
      <c r="F2322" s="12" t="n">
        <v>46140</v>
      </c>
      <c r="G2322" s="12" t="n">
        <v>46145</v>
      </c>
      <c r="H2322" s="12" t="n">
        <v>46144</v>
      </c>
      <c r="I2322" s="12" t="n">
        <v>46144</v>
      </c>
      <c r="J2322" s="12" t="n">
        <v>46146</v>
      </c>
      <c r="K2322" s="2" t="n">
        <v>66</v>
      </c>
      <c r="L2322" s="2" t="inlineStr">
        <is>
          <t>Sea</t>
        </is>
      </c>
      <c r="M2322" s="2" t="inlineStr">
        <is>
          <t>Capacity Constraint</t>
        </is>
      </c>
      <c r="N2322" s="4">
        <f>IF(I2322&lt;=H2322,1,0)</f>
        <v/>
      </c>
      <c r="O2322" s="4">
        <f>IF(J2322&lt;=G2322,1,0)</f>
        <v/>
      </c>
      <c r="P2322" s="4">
        <f>MAX(0,I2322-H2322)</f>
        <v/>
      </c>
      <c r="Q2322" s="4">
        <f>MAX(0,J2322-G2322)</f>
        <v/>
      </c>
      <c r="R2322" s="4">
        <f>IF(AND(N2322=1,O2322=1),"On Track",IF(O2322=0,"Customer Delivery Late","Ship Late"))</f>
        <v/>
      </c>
    </row>
    <row r="2323">
      <c r="A2323" s="2" t="inlineStr">
        <is>
          <t>ORD-02322</t>
        </is>
      </c>
      <c r="B2323" s="2" t="inlineStr">
        <is>
          <t>Customer 24</t>
        </is>
      </c>
      <c r="C2323" s="2" t="inlineStr">
        <is>
          <t>Drive</t>
        </is>
      </c>
      <c r="D2323" s="2" t="inlineStr">
        <is>
          <t>Plant A</t>
        </is>
      </c>
      <c r="E2323" s="2" t="inlineStr">
        <is>
          <t>Central</t>
        </is>
      </c>
      <c r="F2323" s="12" t="n">
        <v>46056</v>
      </c>
      <c r="G2323" s="12" t="n">
        <v>46072</v>
      </c>
      <c r="H2323" s="12" t="n">
        <v>46071</v>
      </c>
      <c r="I2323" s="12" t="n">
        <v>46069</v>
      </c>
      <c r="J2323" s="12" t="n">
        <v>46071</v>
      </c>
      <c r="K2323" s="2" t="n">
        <v>474</v>
      </c>
      <c r="L2323" s="2" t="inlineStr">
        <is>
          <t>Sea</t>
        </is>
      </c>
      <c r="M2323" s="2" t="inlineStr">
        <is>
          <t>No Delay</t>
        </is>
      </c>
      <c r="N2323" s="4">
        <f>IF(I2323&lt;=H2323,1,0)</f>
        <v/>
      </c>
      <c r="O2323" s="4">
        <f>IF(J2323&lt;=G2323,1,0)</f>
        <v/>
      </c>
      <c r="P2323" s="4">
        <f>MAX(0,I2323-H2323)</f>
        <v/>
      </c>
      <c r="Q2323" s="4">
        <f>MAX(0,J2323-G2323)</f>
        <v/>
      </c>
      <c r="R2323" s="4">
        <f>IF(AND(N2323=1,O2323=1),"On Track",IF(O2323=0,"Customer Delivery Late","Ship Late"))</f>
        <v/>
      </c>
    </row>
    <row r="2324">
      <c r="A2324" s="2" t="inlineStr">
        <is>
          <t>ORD-02323</t>
        </is>
      </c>
      <c r="B2324" s="2" t="inlineStr">
        <is>
          <t>Customer 17</t>
        </is>
      </c>
      <c r="C2324" s="2" t="inlineStr">
        <is>
          <t>Relay</t>
        </is>
      </c>
      <c r="D2324" s="2" t="inlineStr">
        <is>
          <t>Plant C</t>
        </is>
      </c>
      <c r="E2324" s="2" t="inlineStr">
        <is>
          <t>North</t>
        </is>
      </c>
      <c r="F2324" s="12" t="n">
        <v>46061</v>
      </c>
      <c r="G2324" s="12" t="n">
        <v>46084</v>
      </c>
      <c r="H2324" s="12" t="n">
        <v>46080</v>
      </c>
      <c r="I2324" s="12" t="n">
        <v>46079</v>
      </c>
      <c r="J2324" s="12" t="n">
        <v>46083</v>
      </c>
      <c r="K2324" s="2" t="n">
        <v>713</v>
      </c>
      <c r="L2324" s="2" t="inlineStr">
        <is>
          <t>Sea</t>
        </is>
      </c>
      <c r="M2324" s="2" t="inlineStr">
        <is>
          <t>No Delay</t>
        </is>
      </c>
      <c r="N2324" s="4">
        <f>IF(I2324&lt;=H2324,1,0)</f>
        <v/>
      </c>
      <c r="O2324" s="4">
        <f>IF(J2324&lt;=G2324,1,0)</f>
        <v/>
      </c>
      <c r="P2324" s="4">
        <f>MAX(0,I2324-H2324)</f>
        <v/>
      </c>
      <c r="Q2324" s="4">
        <f>MAX(0,J2324-G2324)</f>
        <v/>
      </c>
      <c r="R2324" s="4">
        <f>IF(AND(N2324=1,O2324=1),"On Track",IF(O2324=0,"Customer Delivery Late","Ship Late"))</f>
        <v/>
      </c>
    </row>
    <row r="2325">
      <c r="A2325" s="2" t="inlineStr">
        <is>
          <t>ORD-02324</t>
        </is>
      </c>
      <c r="B2325" s="2" t="inlineStr">
        <is>
          <t>Customer 21</t>
        </is>
      </c>
      <c r="C2325" s="2" t="inlineStr">
        <is>
          <t>Switchgear</t>
        </is>
      </c>
      <c r="D2325" s="2" t="inlineStr">
        <is>
          <t>Plant A</t>
        </is>
      </c>
      <c r="E2325" s="2" t="inlineStr">
        <is>
          <t>South</t>
        </is>
      </c>
      <c r="F2325" s="12" t="n">
        <v>46184</v>
      </c>
      <c r="G2325" s="12" t="n">
        <v>46200</v>
      </c>
      <c r="H2325" s="12" t="n">
        <v>46197</v>
      </c>
      <c r="I2325" s="12" t="n">
        <v>46195</v>
      </c>
      <c r="J2325" s="12" t="n">
        <v>46198</v>
      </c>
      <c r="K2325" s="2" t="n">
        <v>1241</v>
      </c>
      <c r="L2325" s="2" t="inlineStr">
        <is>
          <t>Road</t>
        </is>
      </c>
      <c r="M2325" s="2" t="inlineStr">
        <is>
          <t>No Delay</t>
        </is>
      </c>
      <c r="N2325" s="4">
        <f>IF(I2325&lt;=H2325,1,0)</f>
        <v/>
      </c>
      <c r="O2325" s="4">
        <f>IF(J2325&lt;=G2325,1,0)</f>
        <v/>
      </c>
      <c r="P2325" s="4">
        <f>MAX(0,I2325-H2325)</f>
        <v/>
      </c>
      <c r="Q2325" s="4">
        <f>MAX(0,J2325-G2325)</f>
        <v/>
      </c>
      <c r="R2325" s="4">
        <f>IF(AND(N2325=1,O2325=1),"On Track",IF(O2325=0,"Customer Delivery Late","Ship Late"))</f>
        <v/>
      </c>
    </row>
    <row r="2326">
      <c r="A2326" s="2" t="inlineStr">
        <is>
          <t>ORD-02325</t>
        </is>
      </c>
      <c r="B2326" s="2" t="inlineStr">
        <is>
          <t>Customer 10</t>
        </is>
      </c>
      <c r="C2326" s="2" t="inlineStr">
        <is>
          <t>Relay</t>
        </is>
      </c>
      <c r="D2326" s="2" t="inlineStr">
        <is>
          <t>Plant B</t>
        </is>
      </c>
      <c r="E2326" s="2" t="inlineStr">
        <is>
          <t>Export</t>
        </is>
      </c>
      <c r="F2326" s="12" t="n">
        <v>46027</v>
      </c>
      <c r="G2326" s="12" t="n">
        <v>46046</v>
      </c>
      <c r="H2326" s="12" t="n">
        <v>46043</v>
      </c>
      <c r="I2326" s="12" t="n">
        <v>46042</v>
      </c>
      <c r="J2326" s="12" t="n">
        <v>46044</v>
      </c>
      <c r="K2326" s="2" t="n">
        <v>497</v>
      </c>
      <c r="L2326" s="2" t="inlineStr">
        <is>
          <t>Sea</t>
        </is>
      </c>
      <c r="M2326" s="2" t="inlineStr">
        <is>
          <t>No Delay</t>
        </is>
      </c>
      <c r="N2326" s="4">
        <f>IF(I2326&lt;=H2326,1,0)</f>
        <v/>
      </c>
      <c r="O2326" s="4">
        <f>IF(J2326&lt;=G2326,1,0)</f>
        <v/>
      </c>
      <c r="P2326" s="4">
        <f>MAX(0,I2326-H2326)</f>
        <v/>
      </c>
      <c r="Q2326" s="4">
        <f>MAX(0,J2326-G2326)</f>
        <v/>
      </c>
      <c r="R2326" s="4">
        <f>IF(AND(N2326=1,O2326=1),"On Track",IF(O2326=0,"Customer Delivery Late","Ship Late"))</f>
        <v/>
      </c>
    </row>
    <row r="2327">
      <c r="A2327" s="2" t="inlineStr">
        <is>
          <t>ORD-02326</t>
        </is>
      </c>
      <c r="B2327" s="2" t="inlineStr">
        <is>
          <t>Customer 23</t>
        </is>
      </c>
      <c r="C2327" s="2" t="inlineStr">
        <is>
          <t>Contactor</t>
        </is>
      </c>
      <c r="D2327" s="2" t="inlineStr">
        <is>
          <t>Plant A</t>
        </is>
      </c>
      <c r="E2327" s="2" t="inlineStr">
        <is>
          <t>South</t>
        </is>
      </c>
      <c r="F2327" s="12" t="n">
        <v>46128</v>
      </c>
      <c r="G2327" s="12" t="n">
        <v>46138</v>
      </c>
      <c r="H2327" s="12" t="n">
        <v>46134</v>
      </c>
      <c r="I2327" s="12" t="n">
        <v>46134</v>
      </c>
      <c r="J2327" s="12" t="n">
        <v>46139</v>
      </c>
      <c r="K2327" s="2" t="n">
        <v>1347</v>
      </c>
      <c r="L2327" s="2" t="inlineStr">
        <is>
          <t>Sea</t>
        </is>
      </c>
      <c r="M2327" s="2" t="inlineStr">
        <is>
          <t>Production Delay</t>
        </is>
      </c>
      <c r="N2327" s="4">
        <f>IF(I2327&lt;=H2327,1,0)</f>
        <v/>
      </c>
      <c r="O2327" s="4">
        <f>IF(J2327&lt;=G2327,1,0)</f>
        <v/>
      </c>
      <c r="P2327" s="4">
        <f>MAX(0,I2327-H2327)</f>
        <v/>
      </c>
      <c r="Q2327" s="4">
        <f>MAX(0,J2327-G2327)</f>
        <v/>
      </c>
      <c r="R2327" s="4">
        <f>IF(AND(N2327=1,O2327=1),"On Track",IF(O2327=0,"Customer Delivery Late","Ship Late"))</f>
        <v/>
      </c>
    </row>
    <row r="2328">
      <c r="A2328" s="2" t="inlineStr">
        <is>
          <t>ORD-02327</t>
        </is>
      </c>
      <c r="B2328" s="2" t="inlineStr">
        <is>
          <t>Customer 29</t>
        </is>
      </c>
      <c r="C2328" s="2" t="inlineStr">
        <is>
          <t>Sensor</t>
        </is>
      </c>
      <c r="D2328" s="2" t="inlineStr">
        <is>
          <t>Plant B</t>
        </is>
      </c>
      <c r="E2328" s="2" t="inlineStr">
        <is>
          <t>Central</t>
        </is>
      </c>
      <c r="F2328" s="12" t="n">
        <v>46143</v>
      </c>
      <c r="G2328" s="12" t="n">
        <v>46162</v>
      </c>
      <c r="H2328" s="12" t="n">
        <v>46160</v>
      </c>
      <c r="I2328" s="12" t="n">
        <v>46160</v>
      </c>
      <c r="J2328" s="12" t="n">
        <v>46162</v>
      </c>
      <c r="K2328" s="2" t="n">
        <v>1311</v>
      </c>
      <c r="L2328" s="2" t="inlineStr">
        <is>
          <t>Air</t>
        </is>
      </c>
      <c r="M2328" s="2" t="inlineStr">
        <is>
          <t>No Delay</t>
        </is>
      </c>
      <c r="N2328" s="4">
        <f>IF(I2328&lt;=H2328,1,0)</f>
        <v/>
      </c>
      <c r="O2328" s="4">
        <f>IF(J2328&lt;=G2328,1,0)</f>
        <v/>
      </c>
      <c r="P2328" s="4">
        <f>MAX(0,I2328-H2328)</f>
        <v/>
      </c>
      <c r="Q2328" s="4">
        <f>MAX(0,J2328-G2328)</f>
        <v/>
      </c>
      <c r="R2328" s="4">
        <f>IF(AND(N2328=1,O2328=1),"On Track",IF(O2328=0,"Customer Delivery Late","Ship Late"))</f>
        <v/>
      </c>
    </row>
    <row r="2329">
      <c r="A2329" s="2" t="inlineStr">
        <is>
          <t>ORD-02328</t>
        </is>
      </c>
      <c r="B2329" s="2" t="inlineStr">
        <is>
          <t>Customer 28</t>
        </is>
      </c>
      <c r="C2329" s="2" t="inlineStr">
        <is>
          <t>Power Supply</t>
        </is>
      </c>
      <c r="D2329" s="2" t="inlineStr">
        <is>
          <t>Plant B</t>
        </is>
      </c>
      <c r="E2329" s="2" t="inlineStr">
        <is>
          <t>Export</t>
        </is>
      </c>
      <c r="F2329" s="12" t="n">
        <v>46073</v>
      </c>
      <c r="G2329" s="12" t="n">
        <v>46098</v>
      </c>
      <c r="H2329" s="12" t="n">
        <v>46095</v>
      </c>
      <c r="I2329" s="12" t="n">
        <v>46095</v>
      </c>
      <c r="J2329" s="12" t="n">
        <v>46099</v>
      </c>
      <c r="K2329" s="2" t="n">
        <v>235</v>
      </c>
      <c r="L2329" s="2" t="inlineStr">
        <is>
          <t>Air</t>
        </is>
      </c>
      <c r="M2329" s="2" t="inlineStr">
        <is>
          <t>Capacity Constraint</t>
        </is>
      </c>
      <c r="N2329" s="4">
        <f>IF(I2329&lt;=H2329,1,0)</f>
        <v/>
      </c>
      <c r="O2329" s="4">
        <f>IF(J2329&lt;=G2329,1,0)</f>
        <v/>
      </c>
      <c r="P2329" s="4">
        <f>MAX(0,I2329-H2329)</f>
        <v/>
      </c>
      <c r="Q2329" s="4">
        <f>MAX(0,J2329-G2329)</f>
        <v/>
      </c>
      <c r="R2329" s="4">
        <f>IF(AND(N2329=1,O2329=1),"On Track",IF(O2329=0,"Customer Delivery Late","Ship Late"))</f>
        <v/>
      </c>
    </row>
    <row r="2330">
      <c r="A2330" s="2" t="inlineStr">
        <is>
          <t>ORD-02329</t>
        </is>
      </c>
      <c r="B2330" s="2" t="inlineStr">
        <is>
          <t>Customer 19</t>
        </is>
      </c>
      <c r="C2330" s="2" t="inlineStr">
        <is>
          <t>Breaker</t>
        </is>
      </c>
      <c r="D2330" s="2" t="inlineStr">
        <is>
          <t>Plant A</t>
        </is>
      </c>
      <c r="E2330" s="2" t="inlineStr">
        <is>
          <t>South</t>
        </is>
      </c>
      <c r="F2330" s="12" t="n">
        <v>46126</v>
      </c>
      <c r="G2330" s="12" t="n">
        <v>46140</v>
      </c>
      <c r="H2330" s="12" t="n">
        <v>46138</v>
      </c>
      <c r="I2330" s="12" t="n">
        <v>46138</v>
      </c>
      <c r="J2330" s="12" t="n">
        <v>46140</v>
      </c>
      <c r="K2330" s="2" t="n">
        <v>1103</v>
      </c>
      <c r="L2330" s="2" t="inlineStr">
        <is>
          <t>Sea</t>
        </is>
      </c>
      <c r="M2330" s="2" t="inlineStr">
        <is>
          <t>No Delay</t>
        </is>
      </c>
      <c r="N2330" s="4">
        <f>IF(I2330&lt;=H2330,1,0)</f>
        <v/>
      </c>
      <c r="O2330" s="4">
        <f>IF(J2330&lt;=G2330,1,0)</f>
        <v/>
      </c>
      <c r="P2330" s="4">
        <f>MAX(0,I2330-H2330)</f>
        <v/>
      </c>
      <c r="Q2330" s="4">
        <f>MAX(0,J2330-G2330)</f>
        <v/>
      </c>
      <c r="R2330" s="4">
        <f>IF(AND(N2330=1,O2330=1),"On Track",IF(O2330=0,"Customer Delivery Late","Ship Late"))</f>
        <v/>
      </c>
    </row>
    <row r="2331">
      <c r="A2331" s="2" t="inlineStr">
        <is>
          <t>ORD-02330</t>
        </is>
      </c>
      <c r="B2331" s="2" t="inlineStr">
        <is>
          <t>Customer 24</t>
        </is>
      </c>
      <c r="C2331" s="2" t="inlineStr">
        <is>
          <t>Breaker</t>
        </is>
      </c>
      <c r="D2331" s="2" t="inlineStr">
        <is>
          <t>Plant C</t>
        </is>
      </c>
      <c r="E2331" s="2" t="inlineStr">
        <is>
          <t>South</t>
        </is>
      </c>
      <c r="F2331" s="12" t="n">
        <v>46027</v>
      </c>
      <c r="G2331" s="12" t="n">
        <v>46052</v>
      </c>
      <c r="H2331" s="12" t="n">
        <v>46049</v>
      </c>
      <c r="I2331" s="12" t="n">
        <v>46048</v>
      </c>
      <c r="J2331" s="12" t="n">
        <v>46050</v>
      </c>
      <c r="K2331" s="2" t="n">
        <v>29</v>
      </c>
      <c r="L2331" s="2" t="inlineStr">
        <is>
          <t>Sea</t>
        </is>
      </c>
      <c r="M2331" s="2" t="inlineStr">
        <is>
          <t>No Delay</t>
        </is>
      </c>
      <c r="N2331" s="4">
        <f>IF(I2331&lt;=H2331,1,0)</f>
        <v/>
      </c>
      <c r="O2331" s="4">
        <f>IF(J2331&lt;=G2331,1,0)</f>
        <v/>
      </c>
      <c r="P2331" s="4">
        <f>MAX(0,I2331-H2331)</f>
        <v/>
      </c>
      <c r="Q2331" s="4">
        <f>MAX(0,J2331-G2331)</f>
        <v/>
      </c>
      <c r="R2331" s="4">
        <f>IF(AND(N2331=1,O2331=1),"On Track",IF(O2331=0,"Customer Delivery Late","Ship Late"))</f>
        <v/>
      </c>
    </row>
    <row r="2332">
      <c r="A2332" s="2" t="inlineStr">
        <is>
          <t>ORD-02331</t>
        </is>
      </c>
      <c r="B2332" s="2" t="inlineStr">
        <is>
          <t>Customer 06</t>
        </is>
      </c>
      <c r="C2332" s="2" t="inlineStr">
        <is>
          <t>Power Supply</t>
        </is>
      </c>
      <c r="D2332" s="2" t="inlineStr">
        <is>
          <t>Plant B</t>
        </is>
      </c>
      <c r="E2332" s="2" t="inlineStr">
        <is>
          <t>Central</t>
        </is>
      </c>
      <c r="F2332" s="12" t="n">
        <v>46039</v>
      </c>
      <c r="G2332" s="12" t="n">
        <v>46057</v>
      </c>
      <c r="H2332" s="12" t="n">
        <v>46054</v>
      </c>
      <c r="I2332" s="12" t="n">
        <v>46053</v>
      </c>
      <c r="J2332" s="12" t="n">
        <v>46056</v>
      </c>
      <c r="K2332" s="2" t="n">
        <v>267</v>
      </c>
      <c r="L2332" s="2" t="inlineStr">
        <is>
          <t>Air</t>
        </is>
      </c>
      <c r="M2332" s="2" t="inlineStr">
        <is>
          <t>No Delay</t>
        </is>
      </c>
      <c r="N2332" s="4">
        <f>IF(I2332&lt;=H2332,1,0)</f>
        <v/>
      </c>
      <c r="O2332" s="4">
        <f>IF(J2332&lt;=G2332,1,0)</f>
        <v/>
      </c>
      <c r="P2332" s="4">
        <f>MAX(0,I2332-H2332)</f>
        <v/>
      </c>
      <c r="Q2332" s="4">
        <f>MAX(0,J2332-G2332)</f>
        <v/>
      </c>
      <c r="R2332" s="4">
        <f>IF(AND(N2332=1,O2332=1),"On Track",IF(O2332=0,"Customer Delivery Late","Ship Late"))</f>
        <v/>
      </c>
    </row>
    <row r="2333">
      <c r="A2333" s="2" t="inlineStr">
        <is>
          <t>ORD-02332</t>
        </is>
      </c>
      <c r="B2333" s="2" t="inlineStr">
        <is>
          <t>Customer 20</t>
        </is>
      </c>
      <c r="C2333" s="2" t="inlineStr">
        <is>
          <t>Contactor</t>
        </is>
      </c>
      <c r="D2333" s="2" t="inlineStr">
        <is>
          <t>Plant C</t>
        </is>
      </c>
      <c r="E2333" s="2" t="inlineStr">
        <is>
          <t>South</t>
        </is>
      </c>
      <c r="F2333" s="12" t="n">
        <v>46089</v>
      </c>
      <c r="G2333" s="12" t="n">
        <v>46113</v>
      </c>
      <c r="H2333" s="12" t="n">
        <v>46111</v>
      </c>
      <c r="I2333" s="12" t="n">
        <v>46109</v>
      </c>
      <c r="J2333" s="12" t="n">
        <v>46112</v>
      </c>
      <c r="K2333" s="2" t="n">
        <v>1299</v>
      </c>
      <c r="L2333" s="2" t="inlineStr">
        <is>
          <t>Road</t>
        </is>
      </c>
      <c r="M2333" s="2" t="inlineStr">
        <is>
          <t>No Delay</t>
        </is>
      </c>
      <c r="N2333" s="4">
        <f>IF(I2333&lt;=H2333,1,0)</f>
        <v/>
      </c>
      <c r="O2333" s="4">
        <f>IF(J2333&lt;=G2333,1,0)</f>
        <v/>
      </c>
      <c r="P2333" s="4">
        <f>MAX(0,I2333-H2333)</f>
        <v/>
      </c>
      <c r="Q2333" s="4">
        <f>MAX(0,J2333-G2333)</f>
        <v/>
      </c>
      <c r="R2333" s="4">
        <f>IF(AND(N2333=1,O2333=1),"On Track",IF(O2333=0,"Customer Delivery Late","Ship Late"))</f>
        <v/>
      </c>
    </row>
    <row r="2334">
      <c r="A2334" s="2" t="inlineStr">
        <is>
          <t>ORD-02333</t>
        </is>
      </c>
      <c r="B2334" s="2" t="inlineStr">
        <is>
          <t>Customer 06</t>
        </is>
      </c>
      <c r="C2334" s="2" t="inlineStr">
        <is>
          <t>Power Supply</t>
        </is>
      </c>
      <c r="D2334" s="2" t="inlineStr">
        <is>
          <t>Plant B</t>
        </is>
      </c>
      <c r="E2334" s="2" t="inlineStr">
        <is>
          <t>North</t>
        </is>
      </c>
      <c r="F2334" s="12" t="n">
        <v>46048</v>
      </c>
      <c r="G2334" s="12" t="n">
        <v>46063</v>
      </c>
      <c r="H2334" s="12" t="n">
        <v>46061</v>
      </c>
      <c r="I2334" s="12" t="n">
        <v>46059</v>
      </c>
      <c r="J2334" s="12" t="n">
        <v>46061</v>
      </c>
      <c r="K2334" s="2" t="n">
        <v>539</v>
      </c>
      <c r="L2334" s="2" t="inlineStr">
        <is>
          <t>Air</t>
        </is>
      </c>
      <c r="M2334" s="2" t="inlineStr">
        <is>
          <t>No Delay</t>
        </is>
      </c>
      <c r="N2334" s="4">
        <f>IF(I2334&lt;=H2334,1,0)</f>
        <v/>
      </c>
      <c r="O2334" s="4">
        <f>IF(J2334&lt;=G2334,1,0)</f>
        <v/>
      </c>
      <c r="P2334" s="4">
        <f>MAX(0,I2334-H2334)</f>
        <v/>
      </c>
      <c r="Q2334" s="4">
        <f>MAX(0,J2334-G2334)</f>
        <v/>
      </c>
      <c r="R2334" s="4">
        <f>IF(AND(N2334=1,O2334=1),"On Track",IF(O2334=0,"Customer Delivery Late","Ship Late"))</f>
        <v/>
      </c>
    </row>
    <row r="2335">
      <c r="A2335" s="2" t="inlineStr">
        <is>
          <t>ORD-02334</t>
        </is>
      </c>
      <c r="B2335" s="2" t="inlineStr">
        <is>
          <t>Customer 30</t>
        </is>
      </c>
      <c r="C2335" s="2" t="inlineStr">
        <is>
          <t>PLC</t>
        </is>
      </c>
      <c r="D2335" s="2" t="inlineStr">
        <is>
          <t>Plant A</t>
        </is>
      </c>
      <c r="E2335" s="2" t="inlineStr">
        <is>
          <t>South</t>
        </is>
      </c>
      <c r="F2335" s="12" t="n">
        <v>46107</v>
      </c>
      <c r="G2335" s="12" t="n">
        <v>46125</v>
      </c>
      <c r="H2335" s="12" t="n">
        <v>46120</v>
      </c>
      <c r="I2335" s="12" t="n">
        <v>46121</v>
      </c>
      <c r="J2335" s="12" t="n">
        <v>46125</v>
      </c>
      <c r="K2335" s="2" t="n">
        <v>1260</v>
      </c>
      <c r="L2335" s="2" t="inlineStr">
        <is>
          <t>Sea</t>
        </is>
      </c>
      <c r="M2335" s="2" t="inlineStr">
        <is>
          <t>Production Delay</t>
        </is>
      </c>
      <c r="N2335" s="4">
        <f>IF(I2335&lt;=H2335,1,0)</f>
        <v/>
      </c>
      <c r="O2335" s="4">
        <f>IF(J2335&lt;=G2335,1,0)</f>
        <v/>
      </c>
      <c r="P2335" s="4">
        <f>MAX(0,I2335-H2335)</f>
        <v/>
      </c>
      <c r="Q2335" s="4">
        <f>MAX(0,J2335-G2335)</f>
        <v/>
      </c>
      <c r="R2335" s="4">
        <f>IF(AND(N2335=1,O2335=1),"On Track",IF(O2335=0,"Customer Delivery Late","Ship Late"))</f>
        <v/>
      </c>
    </row>
    <row r="2336">
      <c r="A2336" s="2" t="inlineStr">
        <is>
          <t>ORD-02335</t>
        </is>
      </c>
      <c r="B2336" s="2" t="inlineStr">
        <is>
          <t>Customer 22</t>
        </is>
      </c>
      <c r="C2336" s="2" t="inlineStr">
        <is>
          <t>Power Supply</t>
        </is>
      </c>
      <c r="D2336" s="2" t="inlineStr">
        <is>
          <t>Plant C</t>
        </is>
      </c>
      <c r="E2336" s="2" t="inlineStr">
        <is>
          <t>Export</t>
        </is>
      </c>
      <c r="F2336" s="12" t="n">
        <v>46092</v>
      </c>
      <c r="G2336" s="12" t="n">
        <v>46111</v>
      </c>
      <c r="H2336" s="12" t="n">
        <v>46108</v>
      </c>
      <c r="I2336" s="12" t="n">
        <v>46108</v>
      </c>
      <c r="J2336" s="12" t="n">
        <v>46111</v>
      </c>
      <c r="K2336" s="2" t="n">
        <v>986</v>
      </c>
      <c r="L2336" s="2" t="inlineStr">
        <is>
          <t>Road</t>
        </is>
      </c>
      <c r="M2336" s="2" t="inlineStr">
        <is>
          <t>No Delay</t>
        </is>
      </c>
      <c r="N2336" s="4">
        <f>IF(I2336&lt;=H2336,1,0)</f>
        <v/>
      </c>
      <c r="O2336" s="4">
        <f>IF(J2336&lt;=G2336,1,0)</f>
        <v/>
      </c>
      <c r="P2336" s="4">
        <f>MAX(0,I2336-H2336)</f>
        <v/>
      </c>
      <c r="Q2336" s="4">
        <f>MAX(0,J2336-G2336)</f>
        <v/>
      </c>
      <c r="R2336" s="4">
        <f>IF(AND(N2336=1,O2336=1),"On Track",IF(O2336=0,"Customer Delivery Late","Ship Late"))</f>
        <v/>
      </c>
    </row>
    <row r="2337">
      <c r="A2337" s="2" t="inlineStr">
        <is>
          <t>ORD-02336</t>
        </is>
      </c>
      <c r="B2337" s="2" t="inlineStr">
        <is>
          <t>Customer 06</t>
        </is>
      </c>
      <c r="C2337" s="2" t="inlineStr">
        <is>
          <t>Sensor</t>
        </is>
      </c>
      <c r="D2337" s="2" t="inlineStr">
        <is>
          <t>Plant B</t>
        </is>
      </c>
      <c r="E2337" s="2" t="inlineStr">
        <is>
          <t>Central</t>
        </is>
      </c>
      <c r="F2337" s="12" t="n">
        <v>46113</v>
      </c>
      <c r="G2337" s="12" t="n">
        <v>46125</v>
      </c>
      <c r="H2337" s="12" t="n">
        <v>46120</v>
      </c>
      <c r="I2337" s="12" t="n">
        <v>46118</v>
      </c>
      <c r="J2337" s="12" t="n">
        <v>46123</v>
      </c>
      <c r="K2337" s="2" t="n">
        <v>834</v>
      </c>
      <c r="L2337" s="2" t="inlineStr">
        <is>
          <t>Air</t>
        </is>
      </c>
      <c r="M2337" s="2" t="inlineStr">
        <is>
          <t>No Delay</t>
        </is>
      </c>
      <c r="N2337" s="4">
        <f>IF(I2337&lt;=H2337,1,0)</f>
        <v/>
      </c>
      <c r="O2337" s="4">
        <f>IF(J2337&lt;=G2337,1,0)</f>
        <v/>
      </c>
      <c r="P2337" s="4">
        <f>MAX(0,I2337-H2337)</f>
        <v/>
      </c>
      <c r="Q2337" s="4">
        <f>MAX(0,J2337-G2337)</f>
        <v/>
      </c>
      <c r="R2337" s="4">
        <f>IF(AND(N2337=1,O2337=1),"On Track",IF(O2337=0,"Customer Delivery Late","Ship Late"))</f>
        <v/>
      </c>
    </row>
    <row r="2338">
      <c r="A2338" s="2" t="inlineStr">
        <is>
          <t>ORD-02337</t>
        </is>
      </c>
      <c r="B2338" s="2" t="inlineStr">
        <is>
          <t>Customer 02</t>
        </is>
      </c>
      <c r="C2338" s="2" t="inlineStr">
        <is>
          <t>Power Supply</t>
        </is>
      </c>
      <c r="D2338" s="2" t="inlineStr">
        <is>
          <t>Plant B</t>
        </is>
      </c>
      <c r="E2338" s="2" t="inlineStr">
        <is>
          <t>Export</t>
        </is>
      </c>
      <c r="F2338" s="12" t="n">
        <v>46025</v>
      </c>
      <c r="G2338" s="12" t="n">
        <v>46031</v>
      </c>
      <c r="H2338" s="12" t="n">
        <v>46029</v>
      </c>
      <c r="I2338" s="12" t="n">
        <v>46029</v>
      </c>
      <c r="J2338" s="12" t="n">
        <v>46032</v>
      </c>
      <c r="K2338" s="2" t="n">
        <v>842</v>
      </c>
      <c r="L2338" s="2" t="inlineStr">
        <is>
          <t>Road</t>
        </is>
      </c>
      <c r="M2338" s="2" t="inlineStr">
        <is>
          <t>Customer Change</t>
        </is>
      </c>
      <c r="N2338" s="4">
        <f>IF(I2338&lt;=H2338,1,0)</f>
        <v/>
      </c>
      <c r="O2338" s="4">
        <f>IF(J2338&lt;=G2338,1,0)</f>
        <v/>
      </c>
      <c r="P2338" s="4">
        <f>MAX(0,I2338-H2338)</f>
        <v/>
      </c>
      <c r="Q2338" s="4">
        <f>MAX(0,J2338-G2338)</f>
        <v/>
      </c>
      <c r="R2338" s="4">
        <f>IF(AND(N2338=1,O2338=1),"On Track",IF(O2338=0,"Customer Delivery Late","Ship Late"))</f>
        <v/>
      </c>
    </row>
    <row r="2339">
      <c r="A2339" s="2" t="inlineStr">
        <is>
          <t>ORD-02338</t>
        </is>
      </c>
      <c r="B2339" s="2" t="inlineStr">
        <is>
          <t>Customer 23</t>
        </is>
      </c>
      <c r="C2339" s="2" t="inlineStr">
        <is>
          <t>Drive</t>
        </is>
      </c>
      <c r="D2339" s="2" t="inlineStr">
        <is>
          <t>Plant B</t>
        </is>
      </c>
      <c r="E2339" s="2" t="inlineStr">
        <is>
          <t>South</t>
        </is>
      </c>
      <c r="F2339" s="12" t="n">
        <v>46188</v>
      </c>
      <c r="G2339" s="12" t="n">
        <v>46202</v>
      </c>
      <c r="H2339" s="12" t="n">
        <v>46199</v>
      </c>
      <c r="I2339" s="12" t="n">
        <v>46199</v>
      </c>
      <c r="J2339" s="12" t="n">
        <v>46202</v>
      </c>
      <c r="K2339" s="2" t="n">
        <v>1358</v>
      </c>
      <c r="L2339" s="2" t="inlineStr">
        <is>
          <t>Road</t>
        </is>
      </c>
      <c r="M2339" s="2" t="inlineStr">
        <is>
          <t>No Delay</t>
        </is>
      </c>
      <c r="N2339" s="4">
        <f>IF(I2339&lt;=H2339,1,0)</f>
        <v/>
      </c>
      <c r="O2339" s="4">
        <f>IF(J2339&lt;=G2339,1,0)</f>
        <v/>
      </c>
      <c r="P2339" s="4">
        <f>MAX(0,I2339-H2339)</f>
        <v/>
      </c>
      <c r="Q2339" s="4">
        <f>MAX(0,J2339-G2339)</f>
        <v/>
      </c>
      <c r="R2339" s="4">
        <f>IF(AND(N2339=1,O2339=1),"On Track",IF(O2339=0,"Customer Delivery Late","Ship Late"))</f>
        <v/>
      </c>
    </row>
    <row r="2340">
      <c r="A2340" s="2" t="inlineStr">
        <is>
          <t>ORD-02339</t>
        </is>
      </c>
      <c r="B2340" s="2" t="inlineStr">
        <is>
          <t>Customer 24</t>
        </is>
      </c>
      <c r="C2340" s="2" t="inlineStr">
        <is>
          <t>Breaker</t>
        </is>
      </c>
      <c r="D2340" s="2" t="inlineStr">
        <is>
          <t>Plant C</t>
        </is>
      </c>
      <c r="E2340" s="2" t="inlineStr">
        <is>
          <t>Export</t>
        </is>
      </c>
      <c r="F2340" s="12" t="n">
        <v>46095</v>
      </c>
      <c r="G2340" s="12" t="n">
        <v>46105</v>
      </c>
      <c r="H2340" s="12" t="n">
        <v>46103</v>
      </c>
      <c r="I2340" s="12" t="n">
        <v>46103</v>
      </c>
      <c r="J2340" s="12" t="n">
        <v>46106</v>
      </c>
      <c r="K2340" s="2" t="n">
        <v>917</v>
      </c>
      <c r="L2340" s="2" t="inlineStr">
        <is>
          <t>Air</t>
        </is>
      </c>
      <c r="M2340" s="2" t="inlineStr">
        <is>
          <t>Customer Change</t>
        </is>
      </c>
      <c r="N2340" s="4">
        <f>IF(I2340&lt;=H2340,1,0)</f>
        <v/>
      </c>
      <c r="O2340" s="4">
        <f>IF(J2340&lt;=G2340,1,0)</f>
        <v/>
      </c>
      <c r="P2340" s="4">
        <f>MAX(0,I2340-H2340)</f>
        <v/>
      </c>
      <c r="Q2340" s="4">
        <f>MAX(0,J2340-G2340)</f>
        <v/>
      </c>
      <c r="R2340" s="4">
        <f>IF(AND(N2340=1,O2340=1),"On Track",IF(O2340=0,"Customer Delivery Late","Ship Late"))</f>
        <v/>
      </c>
    </row>
    <row r="2341">
      <c r="A2341" s="2" t="inlineStr">
        <is>
          <t>ORD-02340</t>
        </is>
      </c>
      <c r="B2341" s="2" t="inlineStr">
        <is>
          <t>Customer 01</t>
        </is>
      </c>
      <c r="C2341" s="2" t="inlineStr">
        <is>
          <t>Sensor</t>
        </is>
      </c>
      <c r="D2341" s="2" t="inlineStr">
        <is>
          <t>Plant B</t>
        </is>
      </c>
      <c r="E2341" s="2" t="inlineStr">
        <is>
          <t>Central</t>
        </is>
      </c>
      <c r="F2341" s="12" t="n">
        <v>46091</v>
      </c>
      <c r="G2341" s="12" t="n">
        <v>46114</v>
      </c>
      <c r="H2341" s="12" t="n">
        <v>46112</v>
      </c>
      <c r="I2341" s="12" t="n">
        <v>46111</v>
      </c>
      <c r="J2341" s="12" t="n">
        <v>46114</v>
      </c>
      <c r="K2341" s="2" t="n">
        <v>1385</v>
      </c>
      <c r="L2341" s="2" t="inlineStr">
        <is>
          <t>Sea</t>
        </is>
      </c>
      <c r="M2341" s="2" t="inlineStr">
        <is>
          <t>No Delay</t>
        </is>
      </c>
      <c r="N2341" s="4">
        <f>IF(I2341&lt;=H2341,1,0)</f>
        <v/>
      </c>
      <c r="O2341" s="4">
        <f>IF(J2341&lt;=G2341,1,0)</f>
        <v/>
      </c>
      <c r="P2341" s="4">
        <f>MAX(0,I2341-H2341)</f>
        <v/>
      </c>
      <c r="Q2341" s="4">
        <f>MAX(0,J2341-G2341)</f>
        <v/>
      </c>
      <c r="R2341" s="4">
        <f>IF(AND(N2341=1,O2341=1),"On Track",IF(O2341=0,"Customer Delivery Late","Ship Late"))</f>
        <v/>
      </c>
    </row>
    <row r="2342">
      <c r="A2342" s="2" t="inlineStr">
        <is>
          <t>ORD-02341</t>
        </is>
      </c>
      <c r="B2342" s="2" t="inlineStr">
        <is>
          <t>Customer 08</t>
        </is>
      </c>
      <c r="C2342" s="2" t="inlineStr">
        <is>
          <t>Contactor</t>
        </is>
      </c>
      <c r="D2342" s="2" t="inlineStr">
        <is>
          <t>Plant A</t>
        </is>
      </c>
      <c r="E2342" s="2" t="inlineStr">
        <is>
          <t>Central</t>
        </is>
      </c>
      <c r="F2342" s="12" t="n">
        <v>46069</v>
      </c>
      <c r="G2342" s="12" t="n">
        <v>46085</v>
      </c>
      <c r="H2342" s="12" t="n">
        <v>46083</v>
      </c>
      <c r="I2342" s="12" t="n">
        <v>46083</v>
      </c>
      <c r="J2342" s="12" t="n">
        <v>46085</v>
      </c>
      <c r="K2342" s="2" t="n">
        <v>50</v>
      </c>
      <c r="L2342" s="2" t="inlineStr">
        <is>
          <t>Air</t>
        </is>
      </c>
      <c r="M2342" s="2" t="inlineStr">
        <is>
          <t>No Delay</t>
        </is>
      </c>
      <c r="N2342" s="4">
        <f>IF(I2342&lt;=H2342,1,0)</f>
        <v/>
      </c>
      <c r="O2342" s="4">
        <f>IF(J2342&lt;=G2342,1,0)</f>
        <v/>
      </c>
      <c r="P2342" s="4">
        <f>MAX(0,I2342-H2342)</f>
        <v/>
      </c>
      <c r="Q2342" s="4">
        <f>MAX(0,J2342-G2342)</f>
        <v/>
      </c>
      <c r="R2342" s="4">
        <f>IF(AND(N2342=1,O2342=1),"On Track",IF(O2342=0,"Customer Delivery Late","Ship Late"))</f>
        <v/>
      </c>
    </row>
    <row r="2343">
      <c r="A2343" s="2" t="inlineStr">
        <is>
          <t>ORD-02342</t>
        </is>
      </c>
      <c r="B2343" s="2" t="inlineStr">
        <is>
          <t>Customer 08</t>
        </is>
      </c>
      <c r="C2343" s="2" t="inlineStr">
        <is>
          <t>Power Supply</t>
        </is>
      </c>
      <c r="D2343" s="2" t="inlineStr">
        <is>
          <t>Plant B</t>
        </is>
      </c>
      <c r="E2343" s="2" t="inlineStr">
        <is>
          <t>North</t>
        </is>
      </c>
      <c r="F2343" s="12" t="n">
        <v>46082</v>
      </c>
      <c r="G2343" s="12" t="n">
        <v>46095</v>
      </c>
      <c r="H2343" s="12" t="n">
        <v>46092</v>
      </c>
      <c r="I2343" s="12" t="n">
        <v>46092</v>
      </c>
      <c r="J2343" s="12" t="n">
        <v>46094</v>
      </c>
      <c r="K2343" s="2" t="n">
        <v>376</v>
      </c>
      <c r="L2343" s="2" t="inlineStr">
        <is>
          <t>Road</t>
        </is>
      </c>
      <c r="M2343" s="2" t="inlineStr">
        <is>
          <t>No Delay</t>
        </is>
      </c>
      <c r="N2343" s="4">
        <f>IF(I2343&lt;=H2343,1,0)</f>
        <v/>
      </c>
      <c r="O2343" s="4">
        <f>IF(J2343&lt;=G2343,1,0)</f>
        <v/>
      </c>
      <c r="P2343" s="4">
        <f>MAX(0,I2343-H2343)</f>
        <v/>
      </c>
      <c r="Q2343" s="4">
        <f>MAX(0,J2343-G2343)</f>
        <v/>
      </c>
      <c r="R2343" s="4">
        <f>IF(AND(N2343=1,O2343=1),"On Track",IF(O2343=0,"Customer Delivery Late","Ship Late"))</f>
        <v/>
      </c>
    </row>
    <row r="2344">
      <c r="A2344" s="2" t="inlineStr">
        <is>
          <t>ORD-02343</t>
        </is>
      </c>
      <c r="B2344" s="2" t="inlineStr">
        <is>
          <t>Customer 15</t>
        </is>
      </c>
      <c r="C2344" s="2" t="inlineStr">
        <is>
          <t>Relay</t>
        </is>
      </c>
      <c r="D2344" s="2" t="inlineStr">
        <is>
          <t>Plant A</t>
        </is>
      </c>
      <c r="E2344" s="2" t="inlineStr">
        <is>
          <t>Central</t>
        </is>
      </c>
      <c r="F2344" s="12" t="n">
        <v>46098</v>
      </c>
      <c r="G2344" s="12" t="n">
        <v>46118</v>
      </c>
      <c r="H2344" s="12" t="n">
        <v>46115</v>
      </c>
      <c r="I2344" s="12" t="n">
        <v>46115</v>
      </c>
      <c r="J2344" s="12" t="n">
        <v>46118</v>
      </c>
      <c r="K2344" s="2" t="n">
        <v>481</v>
      </c>
      <c r="L2344" s="2" t="inlineStr">
        <is>
          <t>Air</t>
        </is>
      </c>
      <c r="M2344" s="2" t="inlineStr">
        <is>
          <t>No Delay</t>
        </is>
      </c>
      <c r="N2344" s="4">
        <f>IF(I2344&lt;=H2344,1,0)</f>
        <v/>
      </c>
      <c r="O2344" s="4">
        <f>IF(J2344&lt;=G2344,1,0)</f>
        <v/>
      </c>
      <c r="P2344" s="4">
        <f>MAX(0,I2344-H2344)</f>
        <v/>
      </c>
      <c r="Q2344" s="4">
        <f>MAX(0,J2344-G2344)</f>
        <v/>
      </c>
      <c r="R2344" s="4">
        <f>IF(AND(N2344=1,O2344=1),"On Track",IF(O2344=0,"Customer Delivery Late","Ship Late"))</f>
        <v/>
      </c>
    </row>
    <row r="2345">
      <c r="A2345" s="2" t="inlineStr">
        <is>
          <t>ORD-02344</t>
        </is>
      </c>
      <c r="B2345" s="2" t="inlineStr">
        <is>
          <t>Customer 27</t>
        </is>
      </c>
      <c r="C2345" s="2" t="inlineStr">
        <is>
          <t>Breaker</t>
        </is>
      </c>
      <c r="D2345" s="2" t="inlineStr">
        <is>
          <t>Plant B</t>
        </is>
      </c>
      <c r="E2345" s="2" t="inlineStr">
        <is>
          <t>North</t>
        </is>
      </c>
      <c r="F2345" s="12" t="n">
        <v>46034</v>
      </c>
      <c r="G2345" s="12" t="n">
        <v>46049</v>
      </c>
      <c r="H2345" s="12" t="n">
        <v>46048</v>
      </c>
      <c r="I2345" s="12" t="n">
        <v>46046</v>
      </c>
      <c r="J2345" s="12" t="n">
        <v>46047</v>
      </c>
      <c r="K2345" s="2" t="n">
        <v>758</v>
      </c>
      <c r="L2345" s="2" t="inlineStr">
        <is>
          <t>Air</t>
        </is>
      </c>
      <c r="M2345" s="2" t="inlineStr">
        <is>
          <t>No Delay</t>
        </is>
      </c>
      <c r="N2345" s="4">
        <f>IF(I2345&lt;=H2345,1,0)</f>
        <v/>
      </c>
      <c r="O2345" s="4">
        <f>IF(J2345&lt;=G2345,1,0)</f>
        <v/>
      </c>
      <c r="P2345" s="4">
        <f>MAX(0,I2345-H2345)</f>
        <v/>
      </c>
      <c r="Q2345" s="4">
        <f>MAX(0,J2345-G2345)</f>
        <v/>
      </c>
      <c r="R2345" s="4">
        <f>IF(AND(N2345=1,O2345=1),"On Track",IF(O2345=0,"Customer Delivery Late","Ship Late"))</f>
        <v/>
      </c>
    </row>
    <row r="2346">
      <c r="A2346" s="2" t="inlineStr">
        <is>
          <t>ORD-02345</t>
        </is>
      </c>
      <c r="B2346" s="2" t="inlineStr">
        <is>
          <t>Customer 05</t>
        </is>
      </c>
      <c r="C2346" s="2" t="inlineStr">
        <is>
          <t>Sensor</t>
        </is>
      </c>
      <c r="D2346" s="2" t="inlineStr">
        <is>
          <t>Plant B</t>
        </is>
      </c>
      <c r="E2346" s="2" t="inlineStr">
        <is>
          <t>Export</t>
        </is>
      </c>
      <c r="F2346" s="12" t="n">
        <v>46106</v>
      </c>
      <c r="G2346" s="12" t="n">
        <v>46128</v>
      </c>
      <c r="H2346" s="12" t="n">
        <v>46124</v>
      </c>
      <c r="I2346" s="12" t="n">
        <v>46124</v>
      </c>
      <c r="J2346" s="12" t="n">
        <v>46127</v>
      </c>
      <c r="K2346" s="2" t="n">
        <v>635</v>
      </c>
      <c r="L2346" s="2" t="inlineStr">
        <is>
          <t>Road</t>
        </is>
      </c>
      <c r="M2346" s="2" t="inlineStr">
        <is>
          <t>No Delay</t>
        </is>
      </c>
      <c r="N2346" s="4">
        <f>IF(I2346&lt;=H2346,1,0)</f>
        <v/>
      </c>
      <c r="O2346" s="4">
        <f>IF(J2346&lt;=G2346,1,0)</f>
        <v/>
      </c>
      <c r="P2346" s="4">
        <f>MAX(0,I2346-H2346)</f>
        <v/>
      </c>
      <c r="Q2346" s="4">
        <f>MAX(0,J2346-G2346)</f>
        <v/>
      </c>
      <c r="R2346" s="4">
        <f>IF(AND(N2346=1,O2346=1),"On Track",IF(O2346=0,"Customer Delivery Late","Ship Late"))</f>
        <v/>
      </c>
    </row>
    <row r="2347">
      <c r="A2347" s="2" t="inlineStr">
        <is>
          <t>ORD-02346</t>
        </is>
      </c>
      <c r="B2347" s="2" t="inlineStr">
        <is>
          <t>Customer 17</t>
        </is>
      </c>
      <c r="C2347" s="2" t="inlineStr">
        <is>
          <t>Breaker</t>
        </is>
      </c>
      <c r="D2347" s="2" t="inlineStr">
        <is>
          <t>Plant B</t>
        </is>
      </c>
      <c r="E2347" s="2" t="inlineStr">
        <is>
          <t>North</t>
        </is>
      </c>
      <c r="F2347" s="12" t="n">
        <v>46043</v>
      </c>
      <c r="G2347" s="12" t="n">
        <v>46066</v>
      </c>
      <c r="H2347" s="12" t="n">
        <v>46061</v>
      </c>
      <c r="I2347" s="12" t="n">
        <v>46060</v>
      </c>
      <c r="J2347" s="12" t="n">
        <v>46065</v>
      </c>
      <c r="K2347" s="2" t="n">
        <v>1210</v>
      </c>
      <c r="L2347" s="2" t="inlineStr">
        <is>
          <t>Road</t>
        </is>
      </c>
      <c r="M2347" s="2" t="inlineStr">
        <is>
          <t>No Delay</t>
        </is>
      </c>
      <c r="N2347" s="4">
        <f>IF(I2347&lt;=H2347,1,0)</f>
        <v/>
      </c>
      <c r="O2347" s="4">
        <f>IF(J2347&lt;=G2347,1,0)</f>
        <v/>
      </c>
      <c r="P2347" s="4">
        <f>MAX(0,I2347-H2347)</f>
        <v/>
      </c>
      <c r="Q2347" s="4">
        <f>MAX(0,J2347-G2347)</f>
        <v/>
      </c>
      <c r="R2347" s="4">
        <f>IF(AND(N2347=1,O2347=1),"On Track",IF(O2347=0,"Customer Delivery Late","Ship Late"))</f>
        <v/>
      </c>
    </row>
    <row r="2348">
      <c r="A2348" s="2" t="inlineStr">
        <is>
          <t>ORD-02347</t>
        </is>
      </c>
      <c r="B2348" s="2" t="inlineStr">
        <is>
          <t>Customer 09</t>
        </is>
      </c>
      <c r="C2348" s="2" t="inlineStr">
        <is>
          <t>Contactor</t>
        </is>
      </c>
      <c r="D2348" s="2" t="inlineStr">
        <is>
          <t>Plant C</t>
        </is>
      </c>
      <c r="E2348" s="2" t="inlineStr">
        <is>
          <t>Export</t>
        </is>
      </c>
      <c r="F2348" s="12" t="n">
        <v>46086</v>
      </c>
      <c r="G2348" s="12" t="n">
        <v>46102</v>
      </c>
      <c r="H2348" s="12" t="n">
        <v>46101</v>
      </c>
      <c r="I2348" s="12" t="n">
        <v>46101</v>
      </c>
      <c r="J2348" s="12" t="n">
        <v>46102</v>
      </c>
      <c r="K2348" s="2" t="n">
        <v>235</v>
      </c>
      <c r="L2348" s="2" t="inlineStr">
        <is>
          <t>Air</t>
        </is>
      </c>
      <c r="M2348" s="2" t="inlineStr">
        <is>
          <t>No Delay</t>
        </is>
      </c>
      <c r="N2348" s="4">
        <f>IF(I2348&lt;=H2348,1,0)</f>
        <v/>
      </c>
      <c r="O2348" s="4">
        <f>IF(J2348&lt;=G2348,1,0)</f>
        <v/>
      </c>
      <c r="P2348" s="4">
        <f>MAX(0,I2348-H2348)</f>
        <v/>
      </c>
      <c r="Q2348" s="4">
        <f>MAX(0,J2348-G2348)</f>
        <v/>
      </c>
      <c r="R2348" s="4">
        <f>IF(AND(N2348=1,O2348=1),"On Track",IF(O2348=0,"Customer Delivery Late","Ship Late"))</f>
        <v/>
      </c>
    </row>
    <row r="2349">
      <c r="A2349" s="2" t="inlineStr">
        <is>
          <t>ORD-02348</t>
        </is>
      </c>
      <c r="B2349" s="2" t="inlineStr">
        <is>
          <t>Customer 06</t>
        </is>
      </c>
      <c r="C2349" s="2" t="inlineStr">
        <is>
          <t>Relay</t>
        </is>
      </c>
      <c r="D2349" s="2" t="inlineStr">
        <is>
          <t>Plant B</t>
        </is>
      </c>
      <c r="E2349" s="2" t="inlineStr">
        <is>
          <t>Export</t>
        </is>
      </c>
      <c r="F2349" s="12" t="n">
        <v>46200</v>
      </c>
      <c r="G2349" s="12" t="n">
        <v>46220</v>
      </c>
      <c r="H2349" s="12" t="n">
        <v>46217</v>
      </c>
      <c r="I2349" s="12" t="n">
        <v>46215</v>
      </c>
      <c r="J2349" s="12" t="n">
        <v>46218</v>
      </c>
      <c r="K2349" s="2" t="n">
        <v>513</v>
      </c>
      <c r="L2349" s="2" t="inlineStr">
        <is>
          <t>Road</t>
        </is>
      </c>
      <c r="M2349" s="2" t="inlineStr">
        <is>
          <t>No Delay</t>
        </is>
      </c>
      <c r="N2349" s="4">
        <f>IF(I2349&lt;=H2349,1,0)</f>
        <v/>
      </c>
      <c r="O2349" s="4">
        <f>IF(J2349&lt;=G2349,1,0)</f>
        <v/>
      </c>
      <c r="P2349" s="4">
        <f>MAX(0,I2349-H2349)</f>
        <v/>
      </c>
      <c r="Q2349" s="4">
        <f>MAX(0,J2349-G2349)</f>
        <v/>
      </c>
      <c r="R2349" s="4">
        <f>IF(AND(N2349=1,O2349=1),"On Track",IF(O2349=0,"Customer Delivery Late","Ship Late"))</f>
        <v/>
      </c>
    </row>
    <row r="2350">
      <c r="A2350" s="2" t="inlineStr">
        <is>
          <t>ORD-02349</t>
        </is>
      </c>
      <c r="B2350" s="2" t="inlineStr">
        <is>
          <t>Customer 05</t>
        </is>
      </c>
      <c r="C2350" s="2" t="inlineStr">
        <is>
          <t>Breaker</t>
        </is>
      </c>
      <c r="D2350" s="2" t="inlineStr">
        <is>
          <t>Plant A</t>
        </is>
      </c>
      <c r="E2350" s="2" t="inlineStr">
        <is>
          <t>Export</t>
        </is>
      </c>
      <c r="F2350" s="12" t="n">
        <v>46133</v>
      </c>
      <c r="G2350" s="12" t="n">
        <v>46141</v>
      </c>
      <c r="H2350" s="12" t="n">
        <v>46137</v>
      </c>
      <c r="I2350" s="12" t="n">
        <v>46135</v>
      </c>
      <c r="J2350" s="12" t="n">
        <v>46139</v>
      </c>
      <c r="K2350" s="2" t="n">
        <v>902</v>
      </c>
      <c r="L2350" s="2" t="inlineStr">
        <is>
          <t>Road</t>
        </is>
      </c>
      <c r="M2350" s="2" t="inlineStr">
        <is>
          <t>No Delay</t>
        </is>
      </c>
      <c r="N2350" s="4">
        <f>IF(I2350&lt;=H2350,1,0)</f>
        <v/>
      </c>
      <c r="O2350" s="4">
        <f>IF(J2350&lt;=G2350,1,0)</f>
        <v/>
      </c>
      <c r="P2350" s="4">
        <f>MAX(0,I2350-H2350)</f>
        <v/>
      </c>
      <c r="Q2350" s="4">
        <f>MAX(0,J2350-G2350)</f>
        <v/>
      </c>
      <c r="R2350" s="4">
        <f>IF(AND(N2350=1,O2350=1),"On Track",IF(O2350=0,"Customer Delivery Late","Ship Late"))</f>
        <v/>
      </c>
    </row>
    <row r="2351">
      <c r="A2351" s="2" t="inlineStr">
        <is>
          <t>ORD-02350</t>
        </is>
      </c>
      <c r="B2351" s="2" t="inlineStr">
        <is>
          <t>Customer 22</t>
        </is>
      </c>
      <c r="C2351" s="2" t="inlineStr">
        <is>
          <t>Power Supply</t>
        </is>
      </c>
      <c r="D2351" s="2" t="inlineStr">
        <is>
          <t>Plant C</t>
        </is>
      </c>
      <c r="E2351" s="2" t="inlineStr">
        <is>
          <t>Export</t>
        </is>
      </c>
      <c r="F2351" s="12" t="n">
        <v>46103</v>
      </c>
      <c r="G2351" s="12" t="n">
        <v>46109</v>
      </c>
      <c r="H2351" s="12" t="n">
        <v>46106</v>
      </c>
      <c r="I2351" s="12" t="n">
        <v>46105</v>
      </c>
      <c r="J2351" s="12" t="n">
        <v>46109</v>
      </c>
      <c r="K2351" s="2" t="n">
        <v>953</v>
      </c>
      <c r="L2351" s="2" t="inlineStr">
        <is>
          <t>Road</t>
        </is>
      </c>
      <c r="M2351" s="2" t="inlineStr">
        <is>
          <t>No Delay</t>
        </is>
      </c>
      <c r="N2351" s="4">
        <f>IF(I2351&lt;=H2351,1,0)</f>
        <v/>
      </c>
      <c r="O2351" s="4">
        <f>IF(J2351&lt;=G2351,1,0)</f>
        <v/>
      </c>
      <c r="P2351" s="4">
        <f>MAX(0,I2351-H2351)</f>
        <v/>
      </c>
      <c r="Q2351" s="4">
        <f>MAX(0,J2351-G2351)</f>
        <v/>
      </c>
      <c r="R2351" s="4">
        <f>IF(AND(N2351=1,O2351=1),"On Track",IF(O2351=0,"Customer Delivery Late","Ship Late"))</f>
        <v/>
      </c>
    </row>
    <row r="2352">
      <c r="A2352" s="2" t="inlineStr">
        <is>
          <t>ORD-02351</t>
        </is>
      </c>
      <c r="B2352" s="2" t="inlineStr">
        <is>
          <t>Customer 25</t>
        </is>
      </c>
      <c r="C2352" s="2" t="inlineStr">
        <is>
          <t>Breaker</t>
        </is>
      </c>
      <c r="D2352" s="2" t="inlineStr">
        <is>
          <t>Plant A</t>
        </is>
      </c>
      <c r="E2352" s="2" t="inlineStr">
        <is>
          <t>North</t>
        </is>
      </c>
      <c r="F2352" s="12" t="n">
        <v>46101</v>
      </c>
      <c r="G2352" s="12" t="n">
        <v>46112</v>
      </c>
      <c r="H2352" s="12" t="n">
        <v>46110</v>
      </c>
      <c r="I2352" s="12" t="n">
        <v>46109</v>
      </c>
      <c r="J2352" s="12" t="n">
        <v>46112</v>
      </c>
      <c r="K2352" s="2" t="n">
        <v>171</v>
      </c>
      <c r="L2352" s="2" t="inlineStr">
        <is>
          <t>Air</t>
        </is>
      </c>
      <c r="M2352" s="2" t="inlineStr">
        <is>
          <t>No Delay</t>
        </is>
      </c>
      <c r="N2352" s="4">
        <f>IF(I2352&lt;=H2352,1,0)</f>
        <v/>
      </c>
      <c r="O2352" s="4">
        <f>IF(J2352&lt;=G2352,1,0)</f>
        <v/>
      </c>
      <c r="P2352" s="4">
        <f>MAX(0,I2352-H2352)</f>
        <v/>
      </c>
      <c r="Q2352" s="4">
        <f>MAX(0,J2352-G2352)</f>
        <v/>
      </c>
      <c r="R2352" s="4">
        <f>IF(AND(N2352=1,O2352=1),"On Track",IF(O2352=0,"Customer Delivery Late","Ship Late"))</f>
        <v/>
      </c>
    </row>
    <row r="2353">
      <c r="A2353" s="2" t="inlineStr">
        <is>
          <t>ORD-02352</t>
        </is>
      </c>
      <c r="B2353" s="2" t="inlineStr">
        <is>
          <t>Customer 17</t>
        </is>
      </c>
      <c r="C2353" s="2" t="inlineStr">
        <is>
          <t>Contactor</t>
        </is>
      </c>
      <c r="D2353" s="2" t="inlineStr">
        <is>
          <t>Plant C</t>
        </is>
      </c>
      <c r="E2353" s="2" t="inlineStr">
        <is>
          <t>Central</t>
        </is>
      </c>
      <c r="F2353" s="12" t="n">
        <v>46129</v>
      </c>
      <c r="G2353" s="12" t="n">
        <v>46137</v>
      </c>
      <c r="H2353" s="12" t="n">
        <v>46136</v>
      </c>
      <c r="I2353" s="12" t="n">
        <v>46136</v>
      </c>
      <c r="J2353" s="12" t="n">
        <v>46137</v>
      </c>
      <c r="K2353" s="2" t="n">
        <v>88</v>
      </c>
      <c r="L2353" s="2" t="inlineStr">
        <is>
          <t>Air</t>
        </is>
      </c>
      <c r="M2353" s="2" t="inlineStr">
        <is>
          <t>No Delay</t>
        </is>
      </c>
      <c r="N2353" s="4">
        <f>IF(I2353&lt;=H2353,1,0)</f>
        <v/>
      </c>
      <c r="O2353" s="4">
        <f>IF(J2353&lt;=G2353,1,0)</f>
        <v/>
      </c>
      <c r="P2353" s="4">
        <f>MAX(0,I2353-H2353)</f>
        <v/>
      </c>
      <c r="Q2353" s="4">
        <f>MAX(0,J2353-G2353)</f>
        <v/>
      </c>
      <c r="R2353" s="4">
        <f>IF(AND(N2353=1,O2353=1),"On Track",IF(O2353=0,"Customer Delivery Late","Ship Late"))</f>
        <v/>
      </c>
    </row>
    <row r="2354">
      <c r="A2354" s="2" t="inlineStr">
        <is>
          <t>ORD-02353</t>
        </is>
      </c>
      <c r="B2354" s="2" t="inlineStr">
        <is>
          <t>Customer 16</t>
        </is>
      </c>
      <c r="C2354" s="2" t="inlineStr">
        <is>
          <t>Drive</t>
        </is>
      </c>
      <c r="D2354" s="2" t="inlineStr">
        <is>
          <t>Plant A</t>
        </is>
      </c>
      <c r="E2354" s="2" t="inlineStr">
        <is>
          <t>South</t>
        </is>
      </c>
      <c r="F2354" s="12" t="n">
        <v>46123</v>
      </c>
      <c r="G2354" s="12" t="n">
        <v>46131</v>
      </c>
      <c r="H2354" s="12" t="n">
        <v>46127</v>
      </c>
      <c r="I2354" s="12" t="n">
        <v>46127</v>
      </c>
      <c r="J2354" s="12" t="n">
        <v>46131</v>
      </c>
      <c r="K2354" s="2" t="n">
        <v>871</v>
      </c>
      <c r="L2354" s="2" t="inlineStr">
        <is>
          <t>Sea</t>
        </is>
      </c>
      <c r="M2354" s="2" t="inlineStr">
        <is>
          <t>No Delay</t>
        </is>
      </c>
      <c r="N2354" s="4">
        <f>IF(I2354&lt;=H2354,1,0)</f>
        <v/>
      </c>
      <c r="O2354" s="4">
        <f>IF(J2354&lt;=G2354,1,0)</f>
        <v/>
      </c>
      <c r="P2354" s="4">
        <f>MAX(0,I2354-H2354)</f>
        <v/>
      </c>
      <c r="Q2354" s="4">
        <f>MAX(0,J2354-G2354)</f>
        <v/>
      </c>
      <c r="R2354" s="4">
        <f>IF(AND(N2354=1,O2354=1),"On Track",IF(O2354=0,"Customer Delivery Late","Ship Late"))</f>
        <v/>
      </c>
    </row>
    <row r="2355">
      <c r="A2355" s="2" t="inlineStr">
        <is>
          <t>ORD-02354</t>
        </is>
      </c>
      <c r="B2355" s="2" t="inlineStr">
        <is>
          <t>Customer 18</t>
        </is>
      </c>
      <c r="C2355" s="2" t="inlineStr">
        <is>
          <t>Relay</t>
        </is>
      </c>
      <c r="D2355" s="2" t="inlineStr">
        <is>
          <t>Plant B</t>
        </is>
      </c>
      <c r="E2355" s="2" t="inlineStr">
        <is>
          <t>Export</t>
        </is>
      </c>
      <c r="F2355" s="12" t="n">
        <v>46034</v>
      </c>
      <c r="G2355" s="12" t="n">
        <v>46050</v>
      </c>
      <c r="H2355" s="12" t="n">
        <v>46049</v>
      </c>
      <c r="I2355" s="12" t="n">
        <v>46048</v>
      </c>
      <c r="J2355" s="12" t="n">
        <v>46049</v>
      </c>
      <c r="K2355" s="2" t="n">
        <v>370</v>
      </c>
      <c r="L2355" s="2" t="inlineStr">
        <is>
          <t>Sea</t>
        </is>
      </c>
      <c r="M2355" s="2" t="inlineStr">
        <is>
          <t>No Delay</t>
        </is>
      </c>
      <c r="N2355" s="4">
        <f>IF(I2355&lt;=H2355,1,0)</f>
        <v/>
      </c>
      <c r="O2355" s="4">
        <f>IF(J2355&lt;=G2355,1,0)</f>
        <v/>
      </c>
      <c r="P2355" s="4">
        <f>MAX(0,I2355-H2355)</f>
        <v/>
      </c>
      <c r="Q2355" s="4">
        <f>MAX(0,J2355-G2355)</f>
        <v/>
      </c>
      <c r="R2355" s="4">
        <f>IF(AND(N2355=1,O2355=1),"On Track",IF(O2355=0,"Customer Delivery Late","Ship Late"))</f>
        <v/>
      </c>
    </row>
    <row r="2356">
      <c r="A2356" s="2" t="inlineStr">
        <is>
          <t>ORD-02355</t>
        </is>
      </c>
      <c r="B2356" s="2" t="inlineStr">
        <is>
          <t>Customer 24</t>
        </is>
      </c>
      <c r="C2356" s="2" t="inlineStr">
        <is>
          <t>Contactor</t>
        </is>
      </c>
      <c r="D2356" s="2" t="inlineStr">
        <is>
          <t>Plant C</t>
        </is>
      </c>
      <c r="E2356" s="2" t="inlineStr">
        <is>
          <t>South</t>
        </is>
      </c>
      <c r="F2356" s="12" t="n">
        <v>46031</v>
      </c>
      <c r="G2356" s="12" t="n">
        <v>46036</v>
      </c>
      <c r="H2356" s="12" t="n">
        <v>46032</v>
      </c>
      <c r="I2356" s="12" t="n">
        <v>46032</v>
      </c>
      <c r="J2356" s="12" t="n">
        <v>46036</v>
      </c>
      <c r="K2356" s="2" t="n">
        <v>926</v>
      </c>
      <c r="L2356" s="2" t="inlineStr">
        <is>
          <t>Road</t>
        </is>
      </c>
      <c r="M2356" s="2" t="inlineStr">
        <is>
          <t>No Delay</t>
        </is>
      </c>
      <c r="N2356" s="4">
        <f>IF(I2356&lt;=H2356,1,0)</f>
        <v/>
      </c>
      <c r="O2356" s="4">
        <f>IF(J2356&lt;=G2356,1,0)</f>
        <v/>
      </c>
      <c r="P2356" s="4">
        <f>MAX(0,I2356-H2356)</f>
        <v/>
      </c>
      <c r="Q2356" s="4">
        <f>MAX(0,J2356-G2356)</f>
        <v/>
      </c>
      <c r="R2356" s="4">
        <f>IF(AND(N2356=1,O2356=1),"On Track",IF(O2356=0,"Customer Delivery Late","Ship Late"))</f>
        <v/>
      </c>
    </row>
    <row r="2357">
      <c r="A2357" s="2" t="inlineStr">
        <is>
          <t>ORD-02356</t>
        </is>
      </c>
      <c r="B2357" s="2" t="inlineStr">
        <is>
          <t>Customer 08</t>
        </is>
      </c>
      <c r="C2357" s="2" t="inlineStr">
        <is>
          <t>Breaker</t>
        </is>
      </c>
      <c r="D2357" s="2" t="inlineStr">
        <is>
          <t>Plant C</t>
        </is>
      </c>
      <c r="E2357" s="2" t="inlineStr">
        <is>
          <t>Central</t>
        </is>
      </c>
      <c r="F2357" s="12" t="n">
        <v>46184</v>
      </c>
      <c r="G2357" s="12" t="n">
        <v>46195</v>
      </c>
      <c r="H2357" s="12" t="n">
        <v>46191</v>
      </c>
      <c r="I2357" s="12" t="n">
        <v>46190</v>
      </c>
      <c r="J2357" s="12" t="n">
        <v>46193</v>
      </c>
      <c r="K2357" s="2" t="n">
        <v>111</v>
      </c>
      <c r="L2357" s="2" t="inlineStr">
        <is>
          <t>Air</t>
        </is>
      </c>
      <c r="M2357" s="2" t="inlineStr">
        <is>
          <t>No Delay</t>
        </is>
      </c>
      <c r="N2357" s="4">
        <f>IF(I2357&lt;=H2357,1,0)</f>
        <v/>
      </c>
      <c r="O2357" s="4">
        <f>IF(J2357&lt;=G2357,1,0)</f>
        <v/>
      </c>
      <c r="P2357" s="4">
        <f>MAX(0,I2357-H2357)</f>
        <v/>
      </c>
      <c r="Q2357" s="4">
        <f>MAX(0,J2357-G2357)</f>
        <v/>
      </c>
      <c r="R2357" s="4">
        <f>IF(AND(N2357=1,O2357=1),"On Track",IF(O2357=0,"Customer Delivery Late","Ship Late"))</f>
        <v/>
      </c>
    </row>
    <row r="2358">
      <c r="A2358" s="2" t="inlineStr">
        <is>
          <t>ORD-02357</t>
        </is>
      </c>
      <c r="B2358" s="2" t="inlineStr">
        <is>
          <t>Customer 12</t>
        </is>
      </c>
      <c r="C2358" s="2" t="inlineStr">
        <is>
          <t>Sensor</t>
        </is>
      </c>
      <c r="D2358" s="2" t="inlineStr">
        <is>
          <t>Plant C</t>
        </is>
      </c>
      <c r="E2358" s="2" t="inlineStr">
        <is>
          <t>Central</t>
        </is>
      </c>
      <c r="F2358" s="12" t="n">
        <v>46177</v>
      </c>
      <c r="G2358" s="12" t="n">
        <v>46196</v>
      </c>
      <c r="H2358" s="12" t="n">
        <v>46191</v>
      </c>
      <c r="I2358" s="12" t="n">
        <v>46191</v>
      </c>
      <c r="J2358" s="12" t="n">
        <v>46195</v>
      </c>
      <c r="K2358" s="2" t="n">
        <v>853</v>
      </c>
      <c r="L2358" s="2" t="inlineStr">
        <is>
          <t>Air</t>
        </is>
      </c>
      <c r="M2358" s="2" t="inlineStr">
        <is>
          <t>No Delay</t>
        </is>
      </c>
      <c r="N2358" s="4">
        <f>IF(I2358&lt;=H2358,1,0)</f>
        <v/>
      </c>
      <c r="O2358" s="4">
        <f>IF(J2358&lt;=G2358,1,0)</f>
        <v/>
      </c>
      <c r="P2358" s="4">
        <f>MAX(0,I2358-H2358)</f>
        <v/>
      </c>
      <c r="Q2358" s="4">
        <f>MAX(0,J2358-G2358)</f>
        <v/>
      </c>
      <c r="R2358" s="4">
        <f>IF(AND(N2358=1,O2358=1),"On Track",IF(O2358=0,"Customer Delivery Late","Ship Late"))</f>
        <v/>
      </c>
    </row>
    <row r="2359">
      <c r="A2359" s="2" t="inlineStr">
        <is>
          <t>ORD-02358</t>
        </is>
      </c>
      <c r="B2359" s="2" t="inlineStr">
        <is>
          <t>Customer 17</t>
        </is>
      </c>
      <c r="C2359" s="2" t="inlineStr">
        <is>
          <t>Power Supply</t>
        </is>
      </c>
      <c r="D2359" s="2" t="inlineStr">
        <is>
          <t>Plant B</t>
        </is>
      </c>
      <c r="E2359" s="2" t="inlineStr">
        <is>
          <t>South</t>
        </is>
      </c>
      <c r="F2359" s="12" t="n">
        <v>46043</v>
      </c>
      <c r="G2359" s="12" t="n">
        <v>46056</v>
      </c>
      <c r="H2359" s="12" t="n">
        <v>46052</v>
      </c>
      <c r="I2359" s="12" t="n">
        <v>46052</v>
      </c>
      <c r="J2359" s="12" t="n">
        <v>46056</v>
      </c>
      <c r="K2359" s="2" t="n">
        <v>150</v>
      </c>
      <c r="L2359" s="2" t="inlineStr">
        <is>
          <t>Sea</t>
        </is>
      </c>
      <c r="M2359" s="2" t="inlineStr">
        <is>
          <t>No Delay</t>
        </is>
      </c>
      <c r="N2359" s="4">
        <f>IF(I2359&lt;=H2359,1,0)</f>
        <v/>
      </c>
      <c r="O2359" s="4">
        <f>IF(J2359&lt;=G2359,1,0)</f>
        <v/>
      </c>
      <c r="P2359" s="4">
        <f>MAX(0,I2359-H2359)</f>
        <v/>
      </c>
      <c r="Q2359" s="4">
        <f>MAX(0,J2359-G2359)</f>
        <v/>
      </c>
      <c r="R2359" s="4">
        <f>IF(AND(N2359=1,O2359=1),"On Track",IF(O2359=0,"Customer Delivery Late","Ship Late"))</f>
        <v/>
      </c>
    </row>
    <row r="2360">
      <c r="A2360" s="2" t="inlineStr">
        <is>
          <t>ORD-02359</t>
        </is>
      </c>
      <c r="B2360" s="2" t="inlineStr">
        <is>
          <t>Customer 22</t>
        </is>
      </c>
      <c r="C2360" s="2" t="inlineStr">
        <is>
          <t>Drive</t>
        </is>
      </c>
      <c r="D2360" s="2" t="inlineStr">
        <is>
          <t>Plant B</t>
        </is>
      </c>
      <c r="E2360" s="2" t="inlineStr">
        <is>
          <t>Central</t>
        </is>
      </c>
      <c r="F2360" s="12" t="n">
        <v>46109</v>
      </c>
      <c r="G2360" s="12" t="n">
        <v>46129</v>
      </c>
      <c r="H2360" s="12" t="n">
        <v>46128</v>
      </c>
      <c r="I2360" s="12" t="n">
        <v>46127</v>
      </c>
      <c r="J2360" s="12" t="n">
        <v>46128</v>
      </c>
      <c r="K2360" s="2" t="n">
        <v>631</v>
      </c>
      <c r="L2360" s="2" t="inlineStr">
        <is>
          <t>Road</t>
        </is>
      </c>
      <c r="M2360" s="2" t="inlineStr">
        <is>
          <t>No Delay</t>
        </is>
      </c>
      <c r="N2360" s="4">
        <f>IF(I2360&lt;=H2360,1,0)</f>
        <v/>
      </c>
      <c r="O2360" s="4">
        <f>IF(J2360&lt;=G2360,1,0)</f>
        <v/>
      </c>
      <c r="P2360" s="4">
        <f>MAX(0,I2360-H2360)</f>
        <v/>
      </c>
      <c r="Q2360" s="4">
        <f>MAX(0,J2360-G2360)</f>
        <v/>
      </c>
      <c r="R2360" s="4">
        <f>IF(AND(N2360=1,O2360=1),"On Track",IF(O2360=0,"Customer Delivery Late","Ship Late"))</f>
        <v/>
      </c>
    </row>
    <row r="2361">
      <c r="A2361" s="2" t="inlineStr">
        <is>
          <t>ORD-02360</t>
        </is>
      </c>
      <c r="B2361" s="2" t="inlineStr">
        <is>
          <t>Customer 05</t>
        </is>
      </c>
      <c r="C2361" s="2" t="inlineStr">
        <is>
          <t>Breaker</t>
        </is>
      </c>
      <c r="D2361" s="2" t="inlineStr">
        <is>
          <t>Plant C</t>
        </is>
      </c>
      <c r="E2361" s="2" t="inlineStr">
        <is>
          <t>North</t>
        </is>
      </c>
      <c r="F2361" s="12" t="n">
        <v>46045</v>
      </c>
      <c r="G2361" s="12" t="n">
        <v>46066</v>
      </c>
      <c r="H2361" s="12" t="n">
        <v>46065</v>
      </c>
      <c r="I2361" s="12" t="n">
        <v>46065</v>
      </c>
      <c r="J2361" s="12" t="n">
        <v>46066</v>
      </c>
      <c r="K2361" s="2" t="n">
        <v>285</v>
      </c>
      <c r="L2361" s="2" t="inlineStr">
        <is>
          <t>Air</t>
        </is>
      </c>
      <c r="M2361" s="2" t="inlineStr">
        <is>
          <t>No Delay</t>
        </is>
      </c>
      <c r="N2361" s="4">
        <f>IF(I2361&lt;=H2361,1,0)</f>
        <v/>
      </c>
      <c r="O2361" s="4">
        <f>IF(J2361&lt;=G2361,1,0)</f>
        <v/>
      </c>
      <c r="P2361" s="4">
        <f>MAX(0,I2361-H2361)</f>
        <v/>
      </c>
      <c r="Q2361" s="4">
        <f>MAX(0,J2361-G2361)</f>
        <v/>
      </c>
      <c r="R2361" s="4">
        <f>IF(AND(N2361=1,O2361=1),"On Track",IF(O2361=0,"Customer Delivery Late","Ship Late"))</f>
        <v/>
      </c>
    </row>
    <row r="2362">
      <c r="A2362" s="2" t="inlineStr">
        <is>
          <t>ORD-02361</t>
        </is>
      </c>
      <c r="B2362" s="2" t="inlineStr">
        <is>
          <t>Customer 16</t>
        </is>
      </c>
      <c r="C2362" s="2" t="inlineStr">
        <is>
          <t>PLC</t>
        </is>
      </c>
      <c r="D2362" s="2" t="inlineStr">
        <is>
          <t>Plant A</t>
        </is>
      </c>
      <c r="E2362" s="2" t="inlineStr">
        <is>
          <t>Central</t>
        </is>
      </c>
      <c r="F2362" s="12" t="n">
        <v>46158</v>
      </c>
      <c r="G2362" s="12" t="n">
        <v>46174</v>
      </c>
      <c r="H2362" s="12" t="n">
        <v>46170</v>
      </c>
      <c r="I2362" s="12" t="n">
        <v>46168</v>
      </c>
      <c r="J2362" s="12" t="n">
        <v>46172</v>
      </c>
      <c r="K2362" s="2" t="n">
        <v>213</v>
      </c>
      <c r="L2362" s="2" t="inlineStr">
        <is>
          <t>Air</t>
        </is>
      </c>
      <c r="M2362" s="2" t="inlineStr">
        <is>
          <t>No Delay</t>
        </is>
      </c>
      <c r="N2362" s="4">
        <f>IF(I2362&lt;=H2362,1,0)</f>
        <v/>
      </c>
      <c r="O2362" s="4">
        <f>IF(J2362&lt;=G2362,1,0)</f>
        <v/>
      </c>
      <c r="P2362" s="4">
        <f>MAX(0,I2362-H2362)</f>
        <v/>
      </c>
      <c r="Q2362" s="4">
        <f>MAX(0,J2362-G2362)</f>
        <v/>
      </c>
      <c r="R2362" s="4">
        <f>IF(AND(N2362=1,O2362=1),"On Track",IF(O2362=0,"Customer Delivery Late","Ship Late"))</f>
        <v/>
      </c>
    </row>
    <row r="2363">
      <c r="A2363" s="2" t="inlineStr">
        <is>
          <t>ORD-02362</t>
        </is>
      </c>
      <c r="B2363" s="2" t="inlineStr">
        <is>
          <t>Customer 18</t>
        </is>
      </c>
      <c r="C2363" s="2" t="inlineStr">
        <is>
          <t>Switchgear</t>
        </is>
      </c>
      <c r="D2363" s="2" t="inlineStr">
        <is>
          <t>Plant C</t>
        </is>
      </c>
      <c r="E2363" s="2" t="inlineStr">
        <is>
          <t>Central</t>
        </is>
      </c>
      <c r="F2363" s="12" t="n">
        <v>46149</v>
      </c>
      <c r="G2363" s="12" t="n">
        <v>46171</v>
      </c>
      <c r="H2363" s="12" t="n">
        <v>46167</v>
      </c>
      <c r="I2363" s="12" t="n">
        <v>46165</v>
      </c>
      <c r="J2363" s="12" t="n">
        <v>46168</v>
      </c>
      <c r="K2363" s="2" t="n">
        <v>35</v>
      </c>
      <c r="L2363" s="2" t="inlineStr">
        <is>
          <t>Road</t>
        </is>
      </c>
      <c r="M2363" s="2" t="inlineStr">
        <is>
          <t>No Delay</t>
        </is>
      </c>
      <c r="N2363" s="4">
        <f>IF(I2363&lt;=H2363,1,0)</f>
        <v/>
      </c>
      <c r="O2363" s="4">
        <f>IF(J2363&lt;=G2363,1,0)</f>
        <v/>
      </c>
      <c r="P2363" s="4">
        <f>MAX(0,I2363-H2363)</f>
        <v/>
      </c>
      <c r="Q2363" s="4">
        <f>MAX(0,J2363-G2363)</f>
        <v/>
      </c>
      <c r="R2363" s="4">
        <f>IF(AND(N2363=1,O2363=1),"On Track",IF(O2363=0,"Customer Delivery Late","Ship Late"))</f>
        <v/>
      </c>
    </row>
    <row r="2364">
      <c r="A2364" s="2" t="inlineStr">
        <is>
          <t>ORD-02363</t>
        </is>
      </c>
      <c r="B2364" s="2" t="inlineStr">
        <is>
          <t>Customer 22</t>
        </is>
      </c>
      <c r="C2364" s="2" t="inlineStr">
        <is>
          <t>Breaker</t>
        </is>
      </c>
      <c r="D2364" s="2" t="inlineStr">
        <is>
          <t>Plant B</t>
        </is>
      </c>
      <c r="E2364" s="2" t="inlineStr">
        <is>
          <t>South</t>
        </is>
      </c>
      <c r="F2364" s="12" t="n">
        <v>46059</v>
      </c>
      <c r="G2364" s="12" t="n">
        <v>46072</v>
      </c>
      <c r="H2364" s="12" t="n">
        <v>46071</v>
      </c>
      <c r="I2364" s="12" t="n">
        <v>46070</v>
      </c>
      <c r="J2364" s="12" t="n">
        <v>46071</v>
      </c>
      <c r="K2364" s="2" t="n">
        <v>1218</v>
      </c>
      <c r="L2364" s="2" t="inlineStr">
        <is>
          <t>Road</t>
        </is>
      </c>
      <c r="M2364" s="2" t="inlineStr">
        <is>
          <t>No Delay</t>
        </is>
      </c>
      <c r="N2364" s="4">
        <f>IF(I2364&lt;=H2364,1,0)</f>
        <v/>
      </c>
      <c r="O2364" s="4">
        <f>IF(J2364&lt;=G2364,1,0)</f>
        <v/>
      </c>
      <c r="P2364" s="4">
        <f>MAX(0,I2364-H2364)</f>
        <v/>
      </c>
      <c r="Q2364" s="4">
        <f>MAX(0,J2364-G2364)</f>
        <v/>
      </c>
      <c r="R2364" s="4">
        <f>IF(AND(N2364=1,O2364=1),"On Track",IF(O2364=0,"Customer Delivery Late","Ship Late"))</f>
        <v/>
      </c>
    </row>
    <row r="2365">
      <c r="A2365" s="2" t="inlineStr">
        <is>
          <t>ORD-02364</t>
        </is>
      </c>
      <c r="B2365" s="2" t="inlineStr">
        <is>
          <t>Customer 21</t>
        </is>
      </c>
      <c r="C2365" s="2" t="inlineStr">
        <is>
          <t>Switchgear</t>
        </is>
      </c>
      <c r="D2365" s="2" t="inlineStr">
        <is>
          <t>Plant A</t>
        </is>
      </c>
      <c r="E2365" s="2" t="inlineStr">
        <is>
          <t>Export</t>
        </is>
      </c>
      <c r="F2365" s="12" t="n">
        <v>46152</v>
      </c>
      <c r="G2365" s="12" t="n">
        <v>46158</v>
      </c>
      <c r="H2365" s="12" t="n">
        <v>46153</v>
      </c>
      <c r="I2365" s="12" t="n">
        <v>46153</v>
      </c>
      <c r="J2365" s="12" t="n">
        <v>46159</v>
      </c>
      <c r="K2365" s="2" t="n">
        <v>286</v>
      </c>
      <c r="L2365" s="2" t="inlineStr">
        <is>
          <t>Air</t>
        </is>
      </c>
      <c r="M2365" s="2" t="inlineStr">
        <is>
          <t>Documentation Issue</t>
        </is>
      </c>
      <c r="N2365" s="4">
        <f>IF(I2365&lt;=H2365,1,0)</f>
        <v/>
      </c>
      <c r="O2365" s="4">
        <f>IF(J2365&lt;=G2365,1,0)</f>
        <v/>
      </c>
      <c r="P2365" s="4">
        <f>MAX(0,I2365-H2365)</f>
        <v/>
      </c>
      <c r="Q2365" s="4">
        <f>MAX(0,J2365-G2365)</f>
        <v/>
      </c>
      <c r="R2365" s="4">
        <f>IF(AND(N2365=1,O2365=1),"On Track",IF(O2365=0,"Customer Delivery Late","Ship Late"))</f>
        <v/>
      </c>
    </row>
    <row r="2366">
      <c r="A2366" s="2" t="inlineStr">
        <is>
          <t>ORD-02365</t>
        </is>
      </c>
      <c r="B2366" s="2" t="inlineStr">
        <is>
          <t>Customer 25</t>
        </is>
      </c>
      <c r="C2366" s="2" t="inlineStr">
        <is>
          <t>Breaker</t>
        </is>
      </c>
      <c r="D2366" s="2" t="inlineStr">
        <is>
          <t>Plant A</t>
        </is>
      </c>
      <c r="E2366" s="2" t="inlineStr">
        <is>
          <t>North</t>
        </is>
      </c>
      <c r="F2366" s="12" t="n">
        <v>46119</v>
      </c>
      <c r="G2366" s="12" t="n">
        <v>46127</v>
      </c>
      <c r="H2366" s="12" t="n">
        <v>46123</v>
      </c>
      <c r="I2366" s="12" t="n">
        <v>46121</v>
      </c>
      <c r="J2366" s="12" t="n">
        <v>46125</v>
      </c>
      <c r="K2366" s="2" t="n">
        <v>1198</v>
      </c>
      <c r="L2366" s="2" t="inlineStr">
        <is>
          <t>Road</t>
        </is>
      </c>
      <c r="M2366" s="2" t="inlineStr">
        <is>
          <t>No Delay</t>
        </is>
      </c>
      <c r="N2366" s="4">
        <f>IF(I2366&lt;=H2366,1,0)</f>
        <v/>
      </c>
      <c r="O2366" s="4">
        <f>IF(J2366&lt;=G2366,1,0)</f>
        <v/>
      </c>
      <c r="P2366" s="4">
        <f>MAX(0,I2366-H2366)</f>
        <v/>
      </c>
      <c r="Q2366" s="4">
        <f>MAX(0,J2366-G2366)</f>
        <v/>
      </c>
      <c r="R2366" s="4">
        <f>IF(AND(N2366=1,O2366=1),"On Track",IF(O2366=0,"Customer Delivery Late","Ship Late"))</f>
        <v/>
      </c>
    </row>
    <row r="2367">
      <c r="A2367" s="2" t="inlineStr">
        <is>
          <t>ORD-02366</t>
        </is>
      </c>
      <c r="B2367" s="2" t="inlineStr">
        <is>
          <t>Customer 23</t>
        </is>
      </c>
      <c r="C2367" s="2" t="inlineStr">
        <is>
          <t>Sensor</t>
        </is>
      </c>
      <c r="D2367" s="2" t="inlineStr">
        <is>
          <t>Plant A</t>
        </is>
      </c>
      <c r="E2367" s="2" t="inlineStr">
        <is>
          <t>Export</t>
        </is>
      </c>
      <c r="F2367" s="12" t="n">
        <v>46097</v>
      </c>
      <c r="G2367" s="12" t="n">
        <v>46109</v>
      </c>
      <c r="H2367" s="12" t="n">
        <v>46106</v>
      </c>
      <c r="I2367" s="12" t="n">
        <v>46105</v>
      </c>
      <c r="J2367" s="12" t="n">
        <v>46107</v>
      </c>
      <c r="K2367" s="2" t="n">
        <v>1173</v>
      </c>
      <c r="L2367" s="2" t="inlineStr">
        <is>
          <t>Sea</t>
        </is>
      </c>
      <c r="M2367" s="2" t="inlineStr">
        <is>
          <t>No Delay</t>
        </is>
      </c>
      <c r="N2367" s="4">
        <f>IF(I2367&lt;=H2367,1,0)</f>
        <v/>
      </c>
      <c r="O2367" s="4">
        <f>IF(J2367&lt;=G2367,1,0)</f>
        <v/>
      </c>
      <c r="P2367" s="4">
        <f>MAX(0,I2367-H2367)</f>
        <v/>
      </c>
      <c r="Q2367" s="4">
        <f>MAX(0,J2367-G2367)</f>
        <v/>
      </c>
      <c r="R2367" s="4">
        <f>IF(AND(N2367=1,O2367=1),"On Track",IF(O2367=0,"Customer Delivery Late","Ship Late"))</f>
        <v/>
      </c>
    </row>
    <row r="2368">
      <c r="A2368" s="2" t="inlineStr">
        <is>
          <t>ORD-02367</t>
        </is>
      </c>
      <c r="B2368" s="2" t="inlineStr">
        <is>
          <t>Customer 23</t>
        </is>
      </c>
      <c r="C2368" s="2" t="inlineStr">
        <is>
          <t>PLC</t>
        </is>
      </c>
      <c r="D2368" s="2" t="inlineStr">
        <is>
          <t>Plant B</t>
        </is>
      </c>
      <c r="E2368" s="2" t="inlineStr">
        <is>
          <t>North</t>
        </is>
      </c>
      <c r="F2368" s="12" t="n">
        <v>46187</v>
      </c>
      <c r="G2368" s="12" t="n">
        <v>46205</v>
      </c>
      <c r="H2368" s="12" t="n">
        <v>46202</v>
      </c>
      <c r="I2368" s="12" t="n">
        <v>46209</v>
      </c>
      <c r="J2368" s="12" t="n">
        <v>46212</v>
      </c>
      <c r="K2368" s="2" t="n">
        <v>1078</v>
      </c>
      <c r="L2368" s="2" t="inlineStr">
        <is>
          <t>Sea</t>
        </is>
      </c>
      <c r="M2368" s="2" t="inlineStr">
        <is>
          <t>Documentation Issue</t>
        </is>
      </c>
      <c r="N2368" s="4">
        <f>IF(I2368&lt;=H2368,1,0)</f>
        <v/>
      </c>
      <c r="O2368" s="4">
        <f>IF(J2368&lt;=G2368,1,0)</f>
        <v/>
      </c>
      <c r="P2368" s="4">
        <f>MAX(0,I2368-H2368)</f>
        <v/>
      </c>
      <c r="Q2368" s="4">
        <f>MAX(0,J2368-G2368)</f>
        <v/>
      </c>
      <c r="R2368" s="4">
        <f>IF(AND(N2368=1,O2368=1),"On Track",IF(O2368=0,"Customer Delivery Late","Ship Late"))</f>
        <v/>
      </c>
    </row>
    <row r="2369">
      <c r="A2369" s="2" t="inlineStr">
        <is>
          <t>ORD-02368</t>
        </is>
      </c>
      <c r="B2369" s="2" t="inlineStr">
        <is>
          <t>Customer 06</t>
        </is>
      </c>
      <c r="C2369" s="2" t="inlineStr">
        <is>
          <t>Relay</t>
        </is>
      </c>
      <c r="D2369" s="2" t="inlineStr">
        <is>
          <t>Plant A</t>
        </is>
      </c>
      <c r="E2369" s="2" t="inlineStr">
        <is>
          <t>North</t>
        </is>
      </c>
      <c r="F2369" s="12" t="n">
        <v>46119</v>
      </c>
      <c r="G2369" s="12" t="n">
        <v>46129</v>
      </c>
      <c r="H2369" s="12" t="n">
        <v>46127</v>
      </c>
      <c r="I2369" s="12" t="n">
        <v>46126</v>
      </c>
      <c r="J2369" s="12" t="n">
        <v>46128</v>
      </c>
      <c r="K2369" s="2" t="n">
        <v>275</v>
      </c>
      <c r="L2369" s="2" t="inlineStr">
        <is>
          <t>Road</t>
        </is>
      </c>
      <c r="M2369" s="2" t="inlineStr">
        <is>
          <t>No Delay</t>
        </is>
      </c>
      <c r="N2369" s="4">
        <f>IF(I2369&lt;=H2369,1,0)</f>
        <v/>
      </c>
      <c r="O2369" s="4">
        <f>IF(J2369&lt;=G2369,1,0)</f>
        <v/>
      </c>
      <c r="P2369" s="4">
        <f>MAX(0,I2369-H2369)</f>
        <v/>
      </c>
      <c r="Q2369" s="4">
        <f>MAX(0,J2369-G2369)</f>
        <v/>
      </c>
      <c r="R2369" s="4">
        <f>IF(AND(N2369=1,O2369=1),"On Track",IF(O2369=0,"Customer Delivery Late","Ship Late"))</f>
        <v/>
      </c>
    </row>
    <row r="2370">
      <c r="A2370" s="2" t="inlineStr">
        <is>
          <t>ORD-02369</t>
        </is>
      </c>
      <c r="B2370" s="2" t="inlineStr">
        <is>
          <t>Customer 03</t>
        </is>
      </c>
      <c r="C2370" s="2" t="inlineStr">
        <is>
          <t>Drive</t>
        </is>
      </c>
      <c r="D2370" s="2" t="inlineStr">
        <is>
          <t>Plant C</t>
        </is>
      </c>
      <c r="E2370" s="2" t="inlineStr">
        <is>
          <t>North</t>
        </is>
      </c>
      <c r="F2370" s="12" t="n">
        <v>46096</v>
      </c>
      <c r="G2370" s="12" t="n">
        <v>46102</v>
      </c>
      <c r="H2370" s="12" t="n">
        <v>46099</v>
      </c>
      <c r="I2370" s="12" t="n">
        <v>46098</v>
      </c>
      <c r="J2370" s="12" t="n">
        <v>46100</v>
      </c>
      <c r="K2370" s="2" t="n">
        <v>547</v>
      </c>
      <c r="L2370" s="2" t="inlineStr">
        <is>
          <t>Road</t>
        </is>
      </c>
      <c r="M2370" s="2" t="inlineStr">
        <is>
          <t>No Delay</t>
        </is>
      </c>
      <c r="N2370" s="4">
        <f>IF(I2370&lt;=H2370,1,0)</f>
        <v/>
      </c>
      <c r="O2370" s="4">
        <f>IF(J2370&lt;=G2370,1,0)</f>
        <v/>
      </c>
      <c r="P2370" s="4">
        <f>MAX(0,I2370-H2370)</f>
        <v/>
      </c>
      <c r="Q2370" s="4">
        <f>MAX(0,J2370-G2370)</f>
        <v/>
      </c>
      <c r="R2370" s="4">
        <f>IF(AND(N2370=1,O2370=1),"On Track",IF(O2370=0,"Customer Delivery Late","Ship Late"))</f>
        <v/>
      </c>
    </row>
    <row r="2371">
      <c r="A2371" s="2" t="inlineStr">
        <is>
          <t>ORD-02370</t>
        </is>
      </c>
      <c r="B2371" s="2" t="inlineStr">
        <is>
          <t>Customer 13</t>
        </is>
      </c>
      <c r="C2371" s="2" t="inlineStr">
        <is>
          <t>Power Supply</t>
        </is>
      </c>
      <c r="D2371" s="2" t="inlineStr">
        <is>
          <t>Plant A</t>
        </is>
      </c>
      <c r="E2371" s="2" t="inlineStr">
        <is>
          <t>North</t>
        </is>
      </c>
      <c r="F2371" s="12" t="n">
        <v>46155</v>
      </c>
      <c r="G2371" s="12" t="n">
        <v>46180</v>
      </c>
      <c r="H2371" s="12" t="n">
        <v>46178</v>
      </c>
      <c r="I2371" s="12" t="n">
        <v>46178</v>
      </c>
      <c r="J2371" s="12" t="n">
        <v>46180</v>
      </c>
      <c r="K2371" s="2" t="n">
        <v>378</v>
      </c>
      <c r="L2371" s="2" t="inlineStr">
        <is>
          <t>Road</t>
        </is>
      </c>
      <c r="M2371" s="2" t="inlineStr">
        <is>
          <t>No Delay</t>
        </is>
      </c>
      <c r="N2371" s="4">
        <f>IF(I2371&lt;=H2371,1,0)</f>
        <v/>
      </c>
      <c r="O2371" s="4">
        <f>IF(J2371&lt;=G2371,1,0)</f>
        <v/>
      </c>
      <c r="P2371" s="4">
        <f>MAX(0,I2371-H2371)</f>
        <v/>
      </c>
      <c r="Q2371" s="4">
        <f>MAX(0,J2371-G2371)</f>
        <v/>
      </c>
      <c r="R2371" s="4">
        <f>IF(AND(N2371=1,O2371=1),"On Track",IF(O2371=0,"Customer Delivery Late","Ship Late"))</f>
        <v/>
      </c>
    </row>
    <row r="2372">
      <c r="A2372" s="2" t="inlineStr">
        <is>
          <t>ORD-02371</t>
        </is>
      </c>
      <c r="B2372" s="2" t="inlineStr">
        <is>
          <t>Customer 02</t>
        </is>
      </c>
      <c r="C2372" s="2" t="inlineStr">
        <is>
          <t>Power Supply</t>
        </is>
      </c>
      <c r="D2372" s="2" t="inlineStr">
        <is>
          <t>Plant A</t>
        </is>
      </c>
      <c r="E2372" s="2" t="inlineStr">
        <is>
          <t>Export</t>
        </is>
      </c>
      <c r="F2372" s="12" t="n">
        <v>46171</v>
      </c>
      <c r="G2372" s="12" t="n">
        <v>46180</v>
      </c>
      <c r="H2372" s="12" t="n">
        <v>46176</v>
      </c>
      <c r="I2372" s="12" t="n">
        <v>46175</v>
      </c>
      <c r="J2372" s="12" t="n">
        <v>46179</v>
      </c>
      <c r="K2372" s="2" t="n">
        <v>179</v>
      </c>
      <c r="L2372" s="2" t="inlineStr">
        <is>
          <t>Air</t>
        </is>
      </c>
      <c r="M2372" s="2" t="inlineStr">
        <is>
          <t>No Delay</t>
        </is>
      </c>
      <c r="N2372" s="4">
        <f>IF(I2372&lt;=H2372,1,0)</f>
        <v/>
      </c>
      <c r="O2372" s="4">
        <f>IF(J2372&lt;=G2372,1,0)</f>
        <v/>
      </c>
      <c r="P2372" s="4">
        <f>MAX(0,I2372-H2372)</f>
        <v/>
      </c>
      <c r="Q2372" s="4">
        <f>MAX(0,J2372-G2372)</f>
        <v/>
      </c>
      <c r="R2372" s="4">
        <f>IF(AND(N2372=1,O2372=1),"On Track",IF(O2372=0,"Customer Delivery Late","Ship Late"))</f>
        <v/>
      </c>
    </row>
    <row r="2373">
      <c r="A2373" s="2" t="inlineStr">
        <is>
          <t>ORD-02372</t>
        </is>
      </c>
      <c r="B2373" s="2" t="inlineStr">
        <is>
          <t>Customer 01</t>
        </is>
      </c>
      <c r="C2373" s="2" t="inlineStr">
        <is>
          <t>Relay</t>
        </is>
      </c>
      <c r="D2373" s="2" t="inlineStr">
        <is>
          <t>Plant A</t>
        </is>
      </c>
      <c r="E2373" s="2" t="inlineStr">
        <is>
          <t>South</t>
        </is>
      </c>
      <c r="F2373" s="12" t="n">
        <v>46058</v>
      </c>
      <c r="G2373" s="12" t="n">
        <v>46078</v>
      </c>
      <c r="H2373" s="12" t="n">
        <v>46074</v>
      </c>
      <c r="I2373" s="12" t="n">
        <v>46074</v>
      </c>
      <c r="J2373" s="12" t="n">
        <v>46078</v>
      </c>
      <c r="K2373" s="2" t="n">
        <v>1431</v>
      </c>
      <c r="L2373" s="2" t="inlineStr">
        <is>
          <t>Sea</t>
        </is>
      </c>
      <c r="M2373" s="2" t="inlineStr">
        <is>
          <t>No Delay</t>
        </is>
      </c>
      <c r="N2373" s="4">
        <f>IF(I2373&lt;=H2373,1,0)</f>
        <v/>
      </c>
      <c r="O2373" s="4">
        <f>IF(J2373&lt;=G2373,1,0)</f>
        <v/>
      </c>
      <c r="P2373" s="4">
        <f>MAX(0,I2373-H2373)</f>
        <v/>
      </c>
      <c r="Q2373" s="4">
        <f>MAX(0,J2373-G2373)</f>
        <v/>
      </c>
      <c r="R2373" s="4">
        <f>IF(AND(N2373=1,O2373=1),"On Track",IF(O2373=0,"Customer Delivery Late","Ship Late"))</f>
        <v/>
      </c>
    </row>
    <row r="2374">
      <c r="A2374" s="2" t="inlineStr">
        <is>
          <t>ORD-02373</t>
        </is>
      </c>
      <c r="B2374" s="2" t="inlineStr">
        <is>
          <t>Customer 15</t>
        </is>
      </c>
      <c r="C2374" s="2" t="inlineStr">
        <is>
          <t>PLC</t>
        </is>
      </c>
      <c r="D2374" s="2" t="inlineStr">
        <is>
          <t>Plant B</t>
        </is>
      </c>
      <c r="E2374" s="2" t="inlineStr">
        <is>
          <t>North</t>
        </is>
      </c>
      <c r="F2374" s="12" t="n">
        <v>46061</v>
      </c>
      <c r="G2374" s="12" t="n">
        <v>46074</v>
      </c>
      <c r="H2374" s="12" t="n">
        <v>46069</v>
      </c>
      <c r="I2374" s="12" t="n">
        <v>46068</v>
      </c>
      <c r="J2374" s="12" t="n">
        <v>46072</v>
      </c>
      <c r="K2374" s="2" t="n">
        <v>624</v>
      </c>
      <c r="L2374" s="2" t="inlineStr">
        <is>
          <t>Air</t>
        </is>
      </c>
      <c r="M2374" s="2" t="inlineStr">
        <is>
          <t>No Delay</t>
        </is>
      </c>
      <c r="N2374" s="4">
        <f>IF(I2374&lt;=H2374,1,0)</f>
        <v/>
      </c>
      <c r="O2374" s="4">
        <f>IF(J2374&lt;=G2374,1,0)</f>
        <v/>
      </c>
      <c r="P2374" s="4">
        <f>MAX(0,I2374-H2374)</f>
        <v/>
      </c>
      <c r="Q2374" s="4">
        <f>MAX(0,J2374-G2374)</f>
        <v/>
      </c>
      <c r="R2374" s="4">
        <f>IF(AND(N2374=1,O2374=1),"On Track",IF(O2374=0,"Customer Delivery Late","Ship Late"))</f>
        <v/>
      </c>
    </row>
    <row r="2375">
      <c r="A2375" s="2" t="inlineStr">
        <is>
          <t>ORD-02374</t>
        </is>
      </c>
      <c r="B2375" s="2" t="inlineStr">
        <is>
          <t>Customer 13</t>
        </is>
      </c>
      <c r="C2375" s="2" t="inlineStr">
        <is>
          <t>Contactor</t>
        </is>
      </c>
      <c r="D2375" s="2" t="inlineStr">
        <is>
          <t>Plant B</t>
        </is>
      </c>
      <c r="E2375" s="2" t="inlineStr">
        <is>
          <t>North</t>
        </is>
      </c>
      <c r="F2375" s="12" t="n">
        <v>46033</v>
      </c>
      <c r="G2375" s="12" t="n">
        <v>46045</v>
      </c>
      <c r="H2375" s="12" t="n">
        <v>46044</v>
      </c>
      <c r="I2375" s="12" t="n">
        <v>46042</v>
      </c>
      <c r="J2375" s="12" t="n">
        <v>46043</v>
      </c>
      <c r="K2375" s="2" t="n">
        <v>1247</v>
      </c>
      <c r="L2375" s="2" t="inlineStr">
        <is>
          <t>Road</t>
        </is>
      </c>
      <c r="M2375" s="2" t="inlineStr">
        <is>
          <t>No Delay</t>
        </is>
      </c>
      <c r="N2375" s="4">
        <f>IF(I2375&lt;=H2375,1,0)</f>
        <v/>
      </c>
      <c r="O2375" s="4">
        <f>IF(J2375&lt;=G2375,1,0)</f>
        <v/>
      </c>
      <c r="P2375" s="4">
        <f>MAX(0,I2375-H2375)</f>
        <v/>
      </c>
      <c r="Q2375" s="4">
        <f>MAX(0,J2375-G2375)</f>
        <v/>
      </c>
      <c r="R2375" s="4">
        <f>IF(AND(N2375=1,O2375=1),"On Track",IF(O2375=0,"Customer Delivery Late","Ship Late"))</f>
        <v/>
      </c>
    </row>
    <row r="2376">
      <c r="A2376" s="2" t="inlineStr">
        <is>
          <t>ORD-02375</t>
        </is>
      </c>
      <c r="B2376" s="2" t="inlineStr">
        <is>
          <t>Customer 26</t>
        </is>
      </c>
      <c r="C2376" s="2" t="inlineStr">
        <is>
          <t>Contactor</t>
        </is>
      </c>
      <c r="D2376" s="2" t="inlineStr">
        <is>
          <t>Plant C</t>
        </is>
      </c>
      <c r="E2376" s="2" t="inlineStr">
        <is>
          <t>North</t>
        </is>
      </c>
      <c r="F2376" s="12" t="n">
        <v>46194</v>
      </c>
      <c r="G2376" s="12" t="n">
        <v>46217</v>
      </c>
      <c r="H2376" s="12" t="n">
        <v>46213</v>
      </c>
      <c r="I2376" s="12" t="n">
        <v>46211</v>
      </c>
      <c r="J2376" s="12" t="n">
        <v>46215</v>
      </c>
      <c r="K2376" s="2" t="n">
        <v>218</v>
      </c>
      <c r="L2376" s="2" t="inlineStr">
        <is>
          <t>Sea</t>
        </is>
      </c>
      <c r="M2376" s="2" t="inlineStr">
        <is>
          <t>No Delay</t>
        </is>
      </c>
      <c r="N2376" s="4">
        <f>IF(I2376&lt;=H2376,1,0)</f>
        <v/>
      </c>
      <c r="O2376" s="4">
        <f>IF(J2376&lt;=G2376,1,0)</f>
        <v/>
      </c>
      <c r="P2376" s="4">
        <f>MAX(0,I2376-H2376)</f>
        <v/>
      </c>
      <c r="Q2376" s="4">
        <f>MAX(0,J2376-G2376)</f>
        <v/>
      </c>
      <c r="R2376" s="4">
        <f>IF(AND(N2376=1,O2376=1),"On Track",IF(O2376=0,"Customer Delivery Late","Ship Late"))</f>
        <v/>
      </c>
    </row>
    <row r="2377">
      <c r="A2377" s="2" t="inlineStr">
        <is>
          <t>ORD-02376</t>
        </is>
      </c>
      <c r="B2377" s="2" t="inlineStr">
        <is>
          <t>Customer 14</t>
        </is>
      </c>
      <c r="C2377" s="2" t="inlineStr">
        <is>
          <t>PLC</t>
        </is>
      </c>
      <c r="D2377" s="2" t="inlineStr">
        <is>
          <t>Plant B</t>
        </is>
      </c>
      <c r="E2377" s="2" t="inlineStr">
        <is>
          <t>North</t>
        </is>
      </c>
      <c r="F2377" s="12" t="n">
        <v>46180</v>
      </c>
      <c r="G2377" s="12" t="n">
        <v>46189</v>
      </c>
      <c r="H2377" s="12" t="n">
        <v>46186</v>
      </c>
      <c r="I2377" s="12" t="n">
        <v>46185</v>
      </c>
      <c r="J2377" s="12" t="n">
        <v>46188</v>
      </c>
      <c r="K2377" s="2" t="n">
        <v>102</v>
      </c>
      <c r="L2377" s="2" t="inlineStr">
        <is>
          <t>Road</t>
        </is>
      </c>
      <c r="M2377" s="2" t="inlineStr">
        <is>
          <t>No Delay</t>
        </is>
      </c>
      <c r="N2377" s="4">
        <f>IF(I2377&lt;=H2377,1,0)</f>
        <v/>
      </c>
      <c r="O2377" s="4">
        <f>IF(J2377&lt;=G2377,1,0)</f>
        <v/>
      </c>
      <c r="P2377" s="4">
        <f>MAX(0,I2377-H2377)</f>
        <v/>
      </c>
      <c r="Q2377" s="4">
        <f>MAX(0,J2377-G2377)</f>
        <v/>
      </c>
      <c r="R2377" s="4">
        <f>IF(AND(N2377=1,O2377=1),"On Track",IF(O2377=0,"Customer Delivery Late","Ship Late"))</f>
        <v/>
      </c>
    </row>
    <row r="2378">
      <c r="A2378" s="2" t="inlineStr">
        <is>
          <t>ORD-02377</t>
        </is>
      </c>
      <c r="B2378" s="2" t="inlineStr">
        <is>
          <t>Customer 28</t>
        </is>
      </c>
      <c r="C2378" s="2" t="inlineStr">
        <is>
          <t>Contactor</t>
        </is>
      </c>
      <c r="D2378" s="2" t="inlineStr">
        <is>
          <t>Plant B</t>
        </is>
      </c>
      <c r="E2378" s="2" t="inlineStr">
        <is>
          <t>North</t>
        </is>
      </c>
      <c r="F2378" s="12" t="n">
        <v>46090</v>
      </c>
      <c r="G2378" s="12" t="n">
        <v>46097</v>
      </c>
      <c r="H2378" s="12" t="n">
        <v>46094</v>
      </c>
      <c r="I2378" s="12" t="n">
        <v>46092</v>
      </c>
      <c r="J2378" s="12" t="n">
        <v>46094</v>
      </c>
      <c r="K2378" s="2" t="n">
        <v>710</v>
      </c>
      <c r="L2378" s="2" t="inlineStr">
        <is>
          <t>Road</t>
        </is>
      </c>
      <c r="M2378" s="2" t="inlineStr">
        <is>
          <t>No Delay</t>
        </is>
      </c>
      <c r="N2378" s="4">
        <f>IF(I2378&lt;=H2378,1,0)</f>
        <v/>
      </c>
      <c r="O2378" s="4">
        <f>IF(J2378&lt;=G2378,1,0)</f>
        <v/>
      </c>
      <c r="P2378" s="4">
        <f>MAX(0,I2378-H2378)</f>
        <v/>
      </c>
      <c r="Q2378" s="4">
        <f>MAX(0,J2378-G2378)</f>
        <v/>
      </c>
      <c r="R2378" s="4">
        <f>IF(AND(N2378=1,O2378=1),"On Track",IF(O2378=0,"Customer Delivery Late","Ship Late"))</f>
        <v/>
      </c>
    </row>
    <row r="2379">
      <c r="A2379" s="2" t="inlineStr">
        <is>
          <t>ORD-02378</t>
        </is>
      </c>
      <c r="B2379" s="2" t="inlineStr">
        <is>
          <t>Customer 10</t>
        </is>
      </c>
      <c r="C2379" s="2" t="inlineStr">
        <is>
          <t>Sensor</t>
        </is>
      </c>
      <c r="D2379" s="2" t="inlineStr">
        <is>
          <t>Plant B</t>
        </is>
      </c>
      <c r="E2379" s="2" t="inlineStr">
        <is>
          <t>North</t>
        </is>
      </c>
      <c r="F2379" s="12" t="n">
        <v>46201</v>
      </c>
      <c r="G2379" s="12" t="n">
        <v>46213</v>
      </c>
      <c r="H2379" s="12" t="n">
        <v>46211</v>
      </c>
      <c r="I2379" s="12" t="n">
        <v>46209</v>
      </c>
      <c r="J2379" s="12" t="n">
        <v>46212</v>
      </c>
      <c r="K2379" s="2" t="n">
        <v>1038</v>
      </c>
      <c r="L2379" s="2" t="inlineStr">
        <is>
          <t>Air</t>
        </is>
      </c>
      <c r="M2379" s="2" t="inlineStr">
        <is>
          <t>No Delay</t>
        </is>
      </c>
      <c r="N2379" s="4">
        <f>IF(I2379&lt;=H2379,1,0)</f>
        <v/>
      </c>
      <c r="O2379" s="4">
        <f>IF(J2379&lt;=G2379,1,0)</f>
        <v/>
      </c>
      <c r="P2379" s="4">
        <f>MAX(0,I2379-H2379)</f>
        <v/>
      </c>
      <c r="Q2379" s="4">
        <f>MAX(0,J2379-G2379)</f>
        <v/>
      </c>
      <c r="R2379" s="4">
        <f>IF(AND(N2379=1,O2379=1),"On Track",IF(O2379=0,"Customer Delivery Late","Ship Late"))</f>
        <v/>
      </c>
    </row>
    <row r="2380">
      <c r="A2380" s="2" t="inlineStr">
        <is>
          <t>ORD-02379</t>
        </is>
      </c>
      <c r="B2380" s="2" t="inlineStr">
        <is>
          <t>Customer 22</t>
        </is>
      </c>
      <c r="C2380" s="2" t="inlineStr">
        <is>
          <t>Switchgear</t>
        </is>
      </c>
      <c r="D2380" s="2" t="inlineStr">
        <is>
          <t>Plant C</t>
        </is>
      </c>
      <c r="E2380" s="2" t="inlineStr">
        <is>
          <t>Central</t>
        </is>
      </c>
      <c r="F2380" s="12" t="n">
        <v>46129</v>
      </c>
      <c r="G2380" s="12" t="n">
        <v>46134</v>
      </c>
      <c r="H2380" s="12" t="n">
        <v>46129</v>
      </c>
      <c r="I2380" s="12" t="n">
        <v>46127</v>
      </c>
      <c r="J2380" s="12" t="n">
        <v>46132</v>
      </c>
      <c r="K2380" s="2" t="n">
        <v>151</v>
      </c>
      <c r="L2380" s="2" t="inlineStr">
        <is>
          <t>Road</t>
        </is>
      </c>
      <c r="M2380" s="2" t="inlineStr">
        <is>
          <t>No Delay</t>
        </is>
      </c>
      <c r="N2380" s="4">
        <f>IF(I2380&lt;=H2380,1,0)</f>
        <v/>
      </c>
      <c r="O2380" s="4">
        <f>IF(J2380&lt;=G2380,1,0)</f>
        <v/>
      </c>
      <c r="P2380" s="4">
        <f>MAX(0,I2380-H2380)</f>
        <v/>
      </c>
      <c r="Q2380" s="4">
        <f>MAX(0,J2380-G2380)</f>
        <v/>
      </c>
      <c r="R2380" s="4">
        <f>IF(AND(N2380=1,O2380=1),"On Track",IF(O2380=0,"Customer Delivery Late","Ship Late"))</f>
        <v/>
      </c>
    </row>
    <row r="2381">
      <c r="A2381" s="2" t="inlineStr">
        <is>
          <t>ORD-02380</t>
        </is>
      </c>
      <c r="B2381" s="2" t="inlineStr">
        <is>
          <t>Customer 05</t>
        </is>
      </c>
      <c r="C2381" s="2" t="inlineStr">
        <is>
          <t>Relay</t>
        </is>
      </c>
      <c r="D2381" s="2" t="inlineStr">
        <is>
          <t>Plant B</t>
        </is>
      </c>
      <c r="E2381" s="2" t="inlineStr">
        <is>
          <t>South</t>
        </is>
      </c>
      <c r="F2381" s="12" t="n">
        <v>46073</v>
      </c>
      <c r="G2381" s="12" t="n">
        <v>46081</v>
      </c>
      <c r="H2381" s="12" t="n">
        <v>46078</v>
      </c>
      <c r="I2381" s="12" t="n">
        <v>46077</v>
      </c>
      <c r="J2381" s="12" t="n">
        <v>46080</v>
      </c>
      <c r="K2381" s="2" t="n">
        <v>1364</v>
      </c>
      <c r="L2381" s="2" t="inlineStr">
        <is>
          <t>Air</t>
        </is>
      </c>
      <c r="M2381" s="2" t="inlineStr">
        <is>
          <t>No Delay</t>
        </is>
      </c>
      <c r="N2381" s="4">
        <f>IF(I2381&lt;=H2381,1,0)</f>
        <v/>
      </c>
      <c r="O2381" s="4">
        <f>IF(J2381&lt;=G2381,1,0)</f>
        <v/>
      </c>
      <c r="P2381" s="4">
        <f>MAX(0,I2381-H2381)</f>
        <v/>
      </c>
      <c r="Q2381" s="4">
        <f>MAX(0,J2381-G2381)</f>
        <v/>
      </c>
      <c r="R2381" s="4">
        <f>IF(AND(N2381=1,O2381=1),"On Track",IF(O2381=0,"Customer Delivery Late","Ship Late"))</f>
        <v/>
      </c>
    </row>
    <row r="2382">
      <c r="A2382" s="2" t="inlineStr">
        <is>
          <t>ORD-02381</t>
        </is>
      </c>
      <c r="B2382" s="2" t="inlineStr">
        <is>
          <t>Customer 30</t>
        </is>
      </c>
      <c r="C2382" s="2" t="inlineStr">
        <is>
          <t>Switchgear</t>
        </is>
      </c>
      <c r="D2382" s="2" t="inlineStr">
        <is>
          <t>Plant B</t>
        </is>
      </c>
      <c r="E2382" s="2" t="inlineStr">
        <is>
          <t>South</t>
        </is>
      </c>
      <c r="F2382" s="12" t="n">
        <v>46176</v>
      </c>
      <c r="G2382" s="12" t="n">
        <v>46189</v>
      </c>
      <c r="H2382" s="12" t="n">
        <v>46188</v>
      </c>
      <c r="I2382" s="12" t="n">
        <v>46187</v>
      </c>
      <c r="J2382" s="12" t="n">
        <v>46188</v>
      </c>
      <c r="K2382" s="2" t="n">
        <v>1276</v>
      </c>
      <c r="L2382" s="2" t="inlineStr">
        <is>
          <t>Sea</t>
        </is>
      </c>
      <c r="M2382" s="2" t="inlineStr">
        <is>
          <t>No Delay</t>
        </is>
      </c>
      <c r="N2382" s="4">
        <f>IF(I2382&lt;=H2382,1,0)</f>
        <v/>
      </c>
      <c r="O2382" s="4">
        <f>IF(J2382&lt;=G2382,1,0)</f>
        <v/>
      </c>
      <c r="P2382" s="4">
        <f>MAX(0,I2382-H2382)</f>
        <v/>
      </c>
      <c r="Q2382" s="4">
        <f>MAX(0,J2382-G2382)</f>
        <v/>
      </c>
      <c r="R2382" s="4">
        <f>IF(AND(N2382=1,O2382=1),"On Track",IF(O2382=0,"Customer Delivery Late","Ship Late"))</f>
        <v/>
      </c>
    </row>
    <row r="2383">
      <c r="A2383" s="2" t="inlineStr">
        <is>
          <t>ORD-02382</t>
        </is>
      </c>
      <c r="B2383" s="2" t="inlineStr">
        <is>
          <t>Customer 23</t>
        </is>
      </c>
      <c r="C2383" s="2" t="inlineStr">
        <is>
          <t>PLC</t>
        </is>
      </c>
      <c r="D2383" s="2" t="inlineStr">
        <is>
          <t>Plant B</t>
        </is>
      </c>
      <c r="E2383" s="2" t="inlineStr">
        <is>
          <t>South</t>
        </is>
      </c>
      <c r="F2383" s="12" t="n">
        <v>46171</v>
      </c>
      <c r="G2383" s="12" t="n">
        <v>46195</v>
      </c>
      <c r="H2383" s="12" t="n">
        <v>46190</v>
      </c>
      <c r="I2383" s="12" t="n">
        <v>46190</v>
      </c>
      <c r="J2383" s="12" t="n">
        <v>46195</v>
      </c>
      <c r="K2383" s="2" t="n">
        <v>192</v>
      </c>
      <c r="L2383" s="2" t="inlineStr">
        <is>
          <t>Road</t>
        </is>
      </c>
      <c r="M2383" s="2" t="inlineStr">
        <is>
          <t>No Delay</t>
        </is>
      </c>
      <c r="N2383" s="4">
        <f>IF(I2383&lt;=H2383,1,0)</f>
        <v/>
      </c>
      <c r="O2383" s="4">
        <f>IF(J2383&lt;=G2383,1,0)</f>
        <v/>
      </c>
      <c r="P2383" s="4">
        <f>MAX(0,I2383-H2383)</f>
        <v/>
      </c>
      <c r="Q2383" s="4">
        <f>MAX(0,J2383-G2383)</f>
        <v/>
      </c>
      <c r="R2383" s="4">
        <f>IF(AND(N2383=1,O2383=1),"On Track",IF(O2383=0,"Customer Delivery Late","Ship Late"))</f>
        <v/>
      </c>
    </row>
    <row r="2384">
      <c r="A2384" s="2" t="inlineStr">
        <is>
          <t>ORD-02383</t>
        </is>
      </c>
      <c r="B2384" s="2" t="inlineStr">
        <is>
          <t>Customer 25</t>
        </is>
      </c>
      <c r="C2384" s="2" t="inlineStr">
        <is>
          <t>Switchgear</t>
        </is>
      </c>
      <c r="D2384" s="2" t="inlineStr">
        <is>
          <t>Plant B</t>
        </is>
      </c>
      <c r="E2384" s="2" t="inlineStr">
        <is>
          <t>Central</t>
        </is>
      </c>
      <c r="F2384" s="12" t="n">
        <v>46184</v>
      </c>
      <c r="G2384" s="12" t="n">
        <v>46201</v>
      </c>
      <c r="H2384" s="12" t="n">
        <v>46198</v>
      </c>
      <c r="I2384" s="12" t="n">
        <v>46197</v>
      </c>
      <c r="J2384" s="12" t="n">
        <v>46200</v>
      </c>
      <c r="K2384" s="2" t="n">
        <v>143</v>
      </c>
      <c r="L2384" s="2" t="inlineStr">
        <is>
          <t>Sea</t>
        </is>
      </c>
      <c r="M2384" s="2" t="inlineStr">
        <is>
          <t>No Delay</t>
        </is>
      </c>
      <c r="N2384" s="4">
        <f>IF(I2384&lt;=H2384,1,0)</f>
        <v/>
      </c>
      <c r="O2384" s="4">
        <f>IF(J2384&lt;=G2384,1,0)</f>
        <v/>
      </c>
      <c r="P2384" s="4">
        <f>MAX(0,I2384-H2384)</f>
        <v/>
      </c>
      <c r="Q2384" s="4">
        <f>MAX(0,J2384-G2384)</f>
        <v/>
      </c>
      <c r="R2384" s="4">
        <f>IF(AND(N2384=1,O2384=1),"On Track",IF(O2384=0,"Customer Delivery Late","Ship Late"))</f>
        <v/>
      </c>
    </row>
    <row r="2385">
      <c r="A2385" s="2" t="inlineStr">
        <is>
          <t>ORD-02384</t>
        </is>
      </c>
      <c r="B2385" s="2" t="inlineStr">
        <is>
          <t>Customer 02</t>
        </is>
      </c>
      <c r="C2385" s="2" t="inlineStr">
        <is>
          <t>Contactor</t>
        </is>
      </c>
      <c r="D2385" s="2" t="inlineStr">
        <is>
          <t>Plant A</t>
        </is>
      </c>
      <c r="E2385" s="2" t="inlineStr">
        <is>
          <t>Export</t>
        </is>
      </c>
      <c r="F2385" s="12" t="n">
        <v>46188</v>
      </c>
      <c r="G2385" s="12" t="n">
        <v>46210</v>
      </c>
      <c r="H2385" s="12" t="n">
        <v>46209</v>
      </c>
      <c r="I2385" s="12" t="n">
        <v>46208</v>
      </c>
      <c r="J2385" s="12" t="n">
        <v>46209</v>
      </c>
      <c r="K2385" s="2" t="n">
        <v>1328</v>
      </c>
      <c r="L2385" s="2" t="inlineStr">
        <is>
          <t>Air</t>
        </is>
      </c>
      <c r="M2385" s="2" t="inlineStr">
        <is>
          <t>No Delay</t>
        </is>
      </c>
      <c r="N2385" s="4">
        <f>IF(I2385&lt;=H2385,1,0)</f>
        <v/>
      </c>
      <c r="O2385" s="4">
        <f>IF(J2385&lt;=G2385,1,0)</f>
        <v/>
      </c>
      <c r="P2385" s="4">
        <f>MAX(0,I2385-H2385)</f>
        <v/>
      </c>
      <c r="Q2385" s="4">
        <f>MAX(0,J2385-G2385)</f>
        <v/>
      </c>
      <c r="R2385" s="4">
        <f>IF(AND(N2385=1,O2385=1),"On Track",IF(O2385=0,"Customer Delivery Late","Ship Late"))</f>
        <v/>
      </c>
    </row>
    <row r="2386">
      <c r="A2386" s="2" t="inlineStr">
        <is>
          <t>ORD-02385</t>
        </is>
      </c>
      <c r="B2386" s="2" t="inlineStr">
        <is>
          <t>Customer 10</t>
        </is>
      </c>
      <c r="C2386" s="2" t="inlineStr">
        <is>
          <t>Breaker</t>
        </is>
      </c>
      <c r="D2386" s="2" t="inlineStr">
        <is>
          <t>Plant A</t>
        </is>
      </c>
      <c r="E2386" s="2" t="inlineStr">
        <is>
          <t>South</t>
        </is>
      </c>
      <c r="F2386" s="12" t="n">
        <v>46098</v>
      </c>
      <c r="G2386" s="12" t="n">
        <v>46116</v>
      </c>
      <c r="H2386" s="12" t="n">
        <v>46115</v>
      </c>
      <c r="I2386" s="12" t="n">
        <v>46113</v>
      </c>
      <c r="J2386" s="12" t="n">
        <v>46114</v>
      </c>
      <c r="K2386" s="2" t="n">
        <v>912</v>
      </c>
      <c r="L2386" s="2" t="inlineStr">
        <is>
          <t>Air</t>
        </is>
      </c>
      <c r="M2386" s="2" t="inlineStr">
        <is>
          <t>No Delay</t>
        </is>
      </c>
      <c r="N2386" s="4">
        <f>IF(I2386&lt;=H2386,1,0)</f>
        <v/>
      </c>
      <c r="O2386" s="4">
        <f>IF(J2386&lt;=G2386,1,0)</f>
        <v/>
      </c>
      <c r="P2386" s="4">
        <f>MAX(0,I2386-H2386)</f>
        <v/>
      </c>
      <c r="Q2386" s="4">
        <f>MAX(0,J2386-G2386)</f>
        <v/>
      </c>
      <c r="R2386" s="4">
        <f>IF(AND(N2386=1,O2386=1),"On Track",IF(O2386=0,"Customer Delivery Late","Ship Late"))</f>
        <v/>
      </c>
    </row>
    <row r="2387">
      <c r="A2387" s="2" t="inlineStr">
        <is>
          <t>ORD-02386</t>
        </is>
      </c>
      <c r="B2387" s="2" t="inlineStr">
        <is>
          <t>Customer 09</t>
        </is>
      </c>
      <c r="C2387" s="2" t="inlineStr">
        <is>
          <t>Sensor</t>
        </is>
      </c>
      <c r="D2387" s="2" t="inlineStr">
        <is>
          <t>Plant C</t>
        </is>
      </c>
      <c r="E2387" s="2" t="inlineStr">
        <is>
          <t>North</t>
        </is>
      </c>
      <c r="F2387" s="12" t="n">
        <v>46156</v>
      </c>
      <c r="G2387" s="12" t="n">
        <v>46173</v>
      </c>
      <c r="H2387" s="12" t="n">
        <v>46169</v>
      </c>
      <c r="I2387" s="12" t="n">
        <v>46169</v>
      </c>
      <c r="J2387" s="12" t="n">
        <v>46174</v>
      </c>
      <c r="K2387" s="2" t="n">
        <v>967</v>
      </c>
      <c r="L2387" s="2" t="inlineStr">
        <is>
          <t>Road</t>
        </is>
      </c>
      <c r="M2387" s="2" t="inlineStr">
        <is>
          <t>Capacity Constraint</t>
        </is>
      </c>
      <c r="N2387" s="4">
        <f>IF(I2387&lt;=H2387,1,0)</f>
        <v/>
      </c>
      <c r="O2387" s="4">
        <f>IF(J2387&lt;=G2387,1,0)</f>
        <v/>
      </c>
      <c r="P2387" s="4">
        <f>MAX(0,I2387-H2387)</f>
        <v/>
      </c>
      <c r="Q2387" s="4">
        <f>MAX(0,J2387-G2387)</f>
        <v/>
      </c>
      <c r="R2387" s="4">
        <f>IF(AND(N2387=1,O2387=1),"On Track",IF(O2387=0,"Customer Delivery Late","Ship Late"))</f>
        <v/>
      </c>
    </row>
    <row r="2388">
      <c r="A2388" s="2" t="inlineStr">
        <is>
          <t>ORD-02387</t>
        </is>
      </c>
      <c r="B2388" s="2" t="inlineStr">
        <is>
          <t>Customer 01</t>
        </is>
      </c>
      <c r="C2388" s="2" t="inlineStr">
        <is>
          <t>Contactor</t>
        </is>
      </c>
      <c r="D2388" s="2" t="inlineStr">
        <is>
          <t>Plant B</t>
        </is>
      </c>
      <c r="E2388" s="2" t="inlineStr">
        <is>
          <t>Export</t>
        </is>
      </c>
      <c r="F2388" s="12" t="n">
        <v>46189</v>
      </c>
      <c r="G2388" s="12" t="n">
        <v>46201</v>
      </c>
      <c r="H2388" s="12" t="n">
        <v>46197</v>
      </c>
      <c r="I2388" s="12" t="n">
        <v>46195</v>
      </c>
      <c r="J2388" s="12" t="n">
        <v>46199</v>
      </c>
      <c r="K2388" s="2" t="n">
        <v>464</v>
      </c>
      <c r="L2388" s="2" t="inlineStr">
        <is>
          <t>Sea</t>
        </is>
      </c>
      <c r="M2388" s="2" t="inlineStr">
        <is>
          <t>No Delay</t>
        </is>
      </c>
      <c r="N2388" s="4">
        <f>IF(I2388&lt;=H2388,1,0)</f>
        <v/>
      </c>
      <c r="O2388" s="4">
        <f>IF(J2388&lt;=G2388,1,0)</f>
        <v/>
      </c>
      <c r="P2388" s="4">
        <f>MAX(0,I2388-H2388)</f>
        <v/>
      </c>
      <c r="Q2388" s="4">
        <f>MAX(0,J2388-G2388)</f>
        <v/>
      </c>
      <c r="R2388" s="4">
        <f>IF(AND(N2388=1,O2388=1),"On Track",IF(O2388=0,"Customer Delivery Late","Ship Late"))</f>
        <v/>
      </c>
    </row>
    <row r="2389">
      <c r="A2389" s="2" t="inlineStr">
        <is>
          <t>ORD-02388</t>
        </is>
      </c>
      <c r="B2389" s="2" t="inlineStr">
        <is>
          <t>Customer 30</t>
        </is>
      </c>
      <c r="C2389" s="2" t="inlineStr">
        <is>
          <t>Breaker</t>
        </is>
      </c>
      <c r="D2389" s="2" t="inlineStr">
        <is>
          <t>Plant B</t>
        </is>
      </c>
      <c r="E2389" s="2" t="inlineStr">
        <is>
          <t>North</t>
        </is>
      </c>
      <c r="F2389" s="12" t="n">
        <v>46146</v>
      </c>
      <c r="G2389" s="12" t="n">
        <v>46161</v>
      </c>
      <c r="H2389" s="12" t="n">
        <v>46156</v>
      </c>
      <c r="I2389" s="12" t="n">
        <v>46156</v>
      </c>
      <c r="J2389" s="12" t="n">
        <v>46161</v>
      </c>
      <c r="K2389" s="2" t="n">
        <v>236</v>
      </c>
      <c r="L2389" s="2" t="inlineStr">
        <is>
          <t>Road</t>
        </is>
      </c>
      <c r="M2389" s="2" t="inlineStr">
        <is>
          <t>No Delay</t>
        </is>
      </c>
      <c r="N2389" s="4">
        <f>IF(I2389&lt;=H2389,1,0)</f>
        <v/>
      </c>
      <c r="O2389" s="4">
        <f>IF(J2389&lt;=G2389,1,0)</f>
        <v/>
      </c>
      <c r="P2389" s="4">
        <f>MAX(0,I2389-H2389)</f>
        <v/>
      </c>
      <c r="Q2389" s="4">
        <f>MAX(0,J2389-G2389)</f>
        <v/>
      </c>
      <c r="R2389" s="4">
        <f>IF(AND(N2389=1,O2389=1),"On Track",IF(O2389=0,"Customer Delivery Late","Ship Late"))</f>
        <v/>
      </c>
    </row>
    <row r="2390">
      <c r="A2390" s="2" t="inlineStr">
        <is>
          <t>ORD-02389</t>
        </is>
      </c>
      <c r="B2390" s="2" t="inlineStr">
        <is>
          <t>Customer 01</t>
        </is>
      </c>
      <c r="C2390" s="2" t="inlineStr">
        <is>
          <t>Relay</t>
        </is>
      </c>
      <c r="D2390" s="2" t="inlineStr">
        <is>
          <t>Plant A</t>
        </is>
      </c>
      <c r="E2390" s="2" t="inlineStr">
        <is>
          <t>South</t>
        </is>
      </c>
      <c r="F2390" s="12" t="n">
        <v>46136</v>
      </c>
      <c r="G2390" s="12" t="n">
        <v>46144</v>
      </c>
      <c r="H2390" s="12" t="n">
        <v>46139</v>
      </c>
      <c r="I2390" s="12" t="n">
        <v>46138</v>
      </c>
      <c r="J2390" s="12" t="n">
        <v>46142</v>
      </c>
      <c r="K2390" s="2" t="n">
        <v>596</v>
      </c>
      <c r="L2390" s="2" t="inlineStr">
        <is>
          <t>Air</t>
        </is>
      </c>
      <c r="M2390" s="2" t="inlineStr">
        <is>
          <t>No Delay</t>
        </is>
      </c>
      <c r="N2390" s="4">
        <f>IF(I2390&lt;=H2390,1,0)</f>
        <v/>
      </c>
      <c r="O2390" s="4">
        <f>IF(J2390&lt;=G2390,1,0)</f>
        <v/>
      </c>
      <c r="P2390" s="4">
        <f>MAX(0,I2390-H2390)</f>
        <v/>
      </c>
      <c r="Q2390" s="4">
        <f>MAX(0,J2390-G2390)</f>
        <v/>
      </c>
      <c r="R2390" s="4">
        <f>IF(AND(N2390=1,O2390=1),"On Track",IF(O2390=0,"Customer Delivery Late","Ship Late"))</f>
        <v/>
      </c>
    </row>
    <row r="2391">
      <c r="A2391" s="2" t="inlineStr">
        <is>
          <t>ORD-02390</t>
        </is>
      </c>
      <c r="B2391" s="2" t="inlineStr">
        <is>
          <t>Customer 08</t>
        </is>
      </c>
      <c r="C2391" s="2" t="inlineStr">
        <is>
          <t>Sensor</t>
        </is>
      </c>
      <c r="D2391" s="2" t="inlineStr">
        <is>
          <t>Plant C</t>
        </is>
      </c>
      <c r="E2391" s="2" t="inlineStr">
        <is>
          <t>Export</t>
        </is>
      </c>
      <c r="F2391" s="12" t="n">
        <v>46045</v>
      </c>
      <c r="G2391" s="12" t="n">
        <v>46061</v>
      </c>
      <c r="H2391" s="12" t="n">
        <v>46058</v>
      </c>
      <c r="I2391" s="12" t="n">
        <v>46057</v>
      </c>
      <c r="J2391" s="12" t="n">
        <v>46060</v>
      </c>
      <c r="K2391" s="2" t="n">
        <v>1446</v>
      </c>
      <c r="L2391" s="2" t="inlineStr">
        <is>
          <t>Air</t>
        </is>
      </c>
      <c r="M2391" s="2" t="inlineStr">
        <is>
          <t>No Delay</t>
        </is>
      </c>
      <c r="N2391" s="4">
        <f>IF(I2391&lt;=H2391,1,0)</f>
        <v/>
      </c>
      <c r="O2391" s="4">
        <f>IF(J2391&lt;=G2391,1,0)</f>
        <v/>
      </c>
      <c r="P2391" s="4">
        <f>MAX(0,I2391-H2391)</f>
        <v/>
      </c>
      <c r="Q2391" s="4">
        <f>MAX(0,J2391-G2391)</f>
        <v/>
      </c>
      <c r="R2391" s="4">
        <f>IF(AND(N2391=1,O2391=1),"On Track",IF(O2391=0,"Customer Delivery Late","Ship Late"))</f>
        <v/>
      </c>
    </row>
    <row r="2392">
      <c r="A2392" s="2" t="inlineStr">
        <is>
          <t>ORD-02391</t>
        </is>
      </c>
      <c r="B2392" s="2" t="inlineStr">
        <is>
          <t>Customer 24</t>
        </is>
      </c>
      <c r="C2392" s="2" t="inlineStr">
        <is>
          <t>PLC</t>
        </is>
      </c>
      <c r="D2392" s="2" t="inlineStr">
        <is>
          <t>Plant B</t>
        </is>
      </c>
      <c r="E2392" s="2" t="inlineStr">
        <is>
          <t>Central</t>
        </is>
      </c>
      <c r="F2392" s="12" t="n">
        <v>46118</v>
      </c>
      <c r="G2392" s="12" t="n">
        <v>46128</v>
      </c>
      <c r="H2392" s="12" t="n">
        <v>46126</v>
      </c>
      <c r="I2392" s="12" t="n">
        <v>46124</v>
      </c>
      <c r="J2392" s="12" t="n">
        <v>46125</v>
      </c>
      <c r="K2392" s="2" t="n">
        <v>12</v>
      </c>
      <c r="L2392" s="2" t="inlineStr">
        <is>
          <t>Road</t>
        </is>
      </c>
      <c r="M2392" s="2" t="inlineStr">
        <is>
          <t>No Delay</t>
        </is>
      </c>
      <c r="N2392" s="4">
        <f>IF(I2392&lt;=H2392,1,0)</f>
        <v/>
      </c>
      <c r="O2392" s="4">
        <f>IF(J2392&lt;=G2392,1,0)</f>
        <v/>
      </c>
      <c r="P2392" s="4">
        <f>MAX(0,I2392-H2392)</f>
        <v/>
      </c>
      <c r="Q2392" s="4">
        <f>MAX(0,J2392-G2392)</f>
        <v/>
      </c>
      <c r="R2392" s="4">
        <f>IF(AND(N2392=1,O2392=1),"On Track",IF(O2392=0,"Customer Delivery Late","Ship Late"))</f>
        <v/>
      </c>
    </row>
    <row r="2393">
      <c r="A2393" s="2" t="inlineStr">
        <is>
          <t>ORD-02392</t>
        </is>
      </c>
      <c r="B2393" s="2" t="inlineStr">
        <is>
          <t>Customer 13</t>
        </is>
      </c>
      <c r="C2393" s="2" t="inlineStr">
        <is>
          <t>Contactor</t>
        </is>
      </c>
      <c r="D2393" s="2" t="inlineStr">
        <is>
          <t>Plant C</t>
        </is>
      </c>
      <c r="E2393" s="2" t="inlineStr">
        <is>
          <t>Export</t>
        </is>
      </c>
      <c r="F2393" s="12" t="n">
        <v>46102</v>
      </c>
      <c r="G2393" s="12" t="n">
        <v>46126</v>
      </c>
      <c r="H2393" s="12" t="n">
        <v>46121</v>
      </c>
      <c r="I2393" s="12" t="n">
        <v>46120</v>
      </c>
      <c r="J2393" s="12" t="n">
        <v>46125</v>
      </c>
      <c r="K2393" s="2" t="n">
        <v>1336</v>
      </c>
      <c r="L2393" s="2" t="inlineStr">
        <is>
          <t>Air</t>
        </is>
      </c>
      <c r="M2393" s="2" t="inlineStr">
        <is>
          <t>No Delay</t>
        </is>
      </c>
      <c r="N2393" s="4">
        <f>IF(I2393&lt;=H2393,1,0)</f>
        <v/>
      </c>
      <c r="O2393" s="4">
        <f>IF(J2393&lt;=G2393,1,0)</f>
        <v/>
      </c>
      <c r="P2393" s="4">
        <f>MAX(0,I2393-H2393)</f>
        <v/>
      </c>
      <c r="Q2393" s="4">
        <f>MAX(0,J2393-G2393)</f>
        <v/>
      </c>
      <c r="R2393" s="4">
        <f>IF(AND(N2393=1,O2393=1),"On Track",IF(O2393=0,"Customer Delivery Late","Ship Late"))</f>
        <v/>
      </c>
    </row>
    <row r="2394">
      <c r="A2394" s="2" t="inlineStr">
        <is>
          <t>ORD-02393</t>
        </is>
      </c>
      <c r="B2394" s="2" t="inlineStr">
        <is>
          <t>Customer 05</t>
        </is>
      </c>
      <c r="C2394" s="2" t="inlineStr">
        <is>
          <t>Sensor</t>
        </is>
      </c>
      <c r="D2394" s="2" t="inlineStr">
        <is>
          <t>Plant C</t>
        </is>
      </c>
      <c r="E2394" s="2" t="inlineStr">
        <is>
          <t>Export</t>
        </is>
      </c>
      <c r="F2394" s="12" t="n">
        <v>46083</v>
      </c>
      <c r="G2394" s="12" t="n">
        <v>46091</v>
      </c>
      <c r="H2394" s="12" t="n">
        <v>46087</v>
      </c>
      <c r="I2394" s="12" t="n">
        <v>46087</v>
      </c>
      <c r="J2394" s="12" t="n">
        <v>46091</v>
      </c>
      <c r="K2394" s="2" t="n">
        <v>1479</v>
      </c>
      <c r="L2394" s="2" t="inlineStr">
        <is>
          <t>Sea</t>
        </is>
      </c>
      <c r="M2394" s="2" t="inlineStr">
        <is>
          <t>No Delay</t>
        </is>
      </c>
      <c r="N2394" s="4">
        <f>IF(I2394&lt;=H2394,1,0)</f>
        <v/>
      </c>
      <c r="O2394" s="4">
        <f>IF(J2394&lt;=G2394,1,0)</f>
        <v/>
      </c>
      <c r="P2394" s="4">
        <f>MAX(0,I2394-H2394)</f>
        <v/>
      </c>
      <c r="Q2394" s="4">
        <f>MAX(0,J2394-G2394)</f>
        <v/>
      </c>
      <c r="R2394" s="4">
        <f>IF(AND(N2394=1,O2394=1),"On Track",IF(O2394=0,"Customer Delivery Late","Ship Late"))</f>
        <v/>
      </c>
    </row>
    <row r="2395">
      <c r="A2395" s="2" t="inlineStr">
        <is>
          <t>ORD-02394</t>
        </is>
      </c>
      <c r="B2395" s="2" t="inlineStr">
        <is>
          <t>Customer 08</t>
        </is>
      </c>
      <c r="C2395" s="2" t="inlineStr">
        <is>
          <t>Relay</t>
        </is>
      </c>
      <c r="D2395" s="2" t="inlineStr">
        <is>
          <t>Plant B</t>
        </is>
      </c>
      <c r="E2395" s="2" t="inlineStr">
        <is>
          <t>Export</t>
        </is>
      </c>
      <c r="F2395" s="12" t="n">
        <v>46061</v>
      </c>
      <c r="G2395" s="12" t="n">
        <v>46072</v>
      </c>
      <c r="H2395" s="12" t="n">
        <v>46067</v>
      </c>
      <c r="I2395" s="12" t="n">
        <v>46067</v>
      </c>
      <c r="J2395" s="12" t="n">
        <v>46072</v>
      </c>
      <c r="K2395" s="2" t="n">
        <v>1143</v>
      </c>
      <c r="L2395" s="2" t="inlineStr">
        <is>
          <t>Air</t>
        </is>
      </c>
      <c r="M2395" s="2" t="inlineStr">
        <is>
          <t>No Delay</t>
        </is>
      </c>
      <c r="N2395" s="4">
        <f>IF(I2395&lt;=H2395,1,0)</f>
        <v/>
      </c>
      <c r="O2395" s="4">
        <f>IF(J2395&lt;=G2395,1,0)</f>
        <v/>
      </c>
      <c r="P2395" s="4">
        <f>MAX(0,I2395-H2395)</f>
        <v/>
      </c>
      <c r="Q2395" s="4">
        <f>MAX(0,J2395-G2395)</f>
        <v/>
      </c>
      <c r="R2395" s="4">
        <f>IF(AND(N2395=1,O2395=1),"On Track",IF(O2395=0,"Customer Delivery Late","Ship Late"))</f>
        <v/>
      </c>
    </row>
    <row r="2396">
      <c r="A2396" s="2" t="inlineStr">
        <is>
          <t>ORD-02395</t>
        </is>
      </c>
      <c r="B2396" s="2" t="inlineStr">
        <is>
          <t>Customer 04</t>
        </is>
      </c>
      <c r="C2396" s="2" t="inlineStr">
        <is>
          <t>Switchgear</t>
        </is>
      </c>
      <c r="D2396" s="2" t="inlineStr">
        <is>
          <t>Plant C</t>
        </is>
      </c>
      <c r="E2396" s="2" t="inlineStr">
        <is>
          <t>Export</t>
        </is>
      </c>
      <c r="F2396" s="12" t="n">
        <v>46192</v>
      </c>
      <c r="G2396" s="12" t="n">
        <v>46199</v>
      </c>
      <c r="H2396" s="12" t="n">
        <v>46196</v>
      </c>
      <c r="I2396" s="12" t="n">
        <v>46194</v>
      </c>
      <c r="J2396" s="12" t="n">
        <v>46198</v>
      </c>
      <c r="K2396" s="2" t="n">
        <v>911</v>
      </c>
      <c r="L2396" s="2" t="inlineStr">
        <is>
          <t>Road</t>
        </is>
      </c>
      <c r="M2396" s="2" t="inlineStr">
        <is>
          <t>No Delay</t>
        </is>
      </c>
      <c r="N2396" s="4">
        <f>IF(I2396&lt;=H2396,1,0)</f>
        <v/>
      </c>
      <c r="O2396" s="4">
        <f>IF(J2396&lt;=G2396,1,0)</f>
        <v/>
      </c>
      <c r="P2396" s="4">
        <f>MAX(0,I2396-H2396)</f>
        <v/>
      </c>
      <c r="Q2396" s="4">
        <f>MAX(0,J2396-G2396)</f>
        <v/>
      </c>
      <c r="R2396" s="4">
        <f>IF(AND(N2396=1,O2396=1),"On Track",IF(O2396=0,"Customer Delivery Late","Ship Late"))</f>
        <v/>
      </c>
    </row>
    <row r="2397">
      <c r="A2397" s="2" t="inlineStr">
        <is>
          <t>ORD-02396</t>
        </is>
      </c>
      <c r="B2397" s="2" t="inlineStr">
        <is>
          <t>Customer 27</t>
        </is>
      </c>
      <c r="C2397" s="2" t="inlineStr">
        <is>
          <t>Drive</t>
        </is>
      </c>
      <c r="D2397" s="2" t="inlineStr">
        <is>
          <t>Plant B</t>
        </is>
      </c>
      <c r="E2397" s="2" t="inlineStr">
        <is>
          <t>Central</t>
        </is>
      </c>
      <c r="F2397" s="12" t="n">
        <v>46133</v>
      </c>
      <c r="G2397" s="12" t="n">
        <v>46138</v>
      </c>
      <c r="H2397" s="12" t="n">
        <v>46135</v>
      </c>
      <c r="I2397" s="12" t="n">
        <v>46135</v>
      </c>
      <c r="J2397" s="12" t="n">
        <v>46138</v>
      </c>
      <c r="K2397" s="2" t="n">
        <v>252</v>
      </c>
      <c r="L2397" s="2" t="inlineStr">
        <is>
          <t>Sea</t>
        </is>
      </c>
      <c r="M2397" s="2" t="inlineStr">
        <is>
          <t>No Delay</t>
        </is>
      </c>
      <c r="N2397" s="4">
        <f>IF(I2397&lt;=H2397,1,0)</f>
        <v/>
      </c>
      <c r="O2397" s="4">
        <f>IF(J2397&lt;=G2397,1,0)</f>
        <v/>
      </c>
      <c r="P2397" s="4">
        <f>MAX(0,I2397-H2397)</f>
        <v/>
      </c>
      <c r="Q2397" s="4">
        <f>MAX(0,J2397-G2397)</f>
        <v/>
      </c>
      <c r="R2397" s="4">
        <f>IF(AND(N2397=1,O2397=1),"On Track",IF(O2397=0,"Customer Delivery Late","Ship Late"))</f>
        <v/>
      </c>
    </row>
    <row r="2398">
      <c r="A2398" s="2" t="inlineStr">
        <is>
          <t>ORD-02397</t>
        </is>
      </c>
      <c r="B2398" s="2" t="inlineStr">
        <is>
          <t>Customer 13</t>
        </is>
      </c>
      <c r="C2398" s="2" t="inlineStr">
        <is>
          <t>Sensor</t>
        </is>
      </c>
      <c r="D2398" s="2" t="inlineStr">
        <is>
          <t>Plant B</t>
        </is>
      </c>
      <c r="E2398" s="2" t="inlineStr">
        <is>
          <t>Central</t>
        </is>
      </c>
      <c r="F2398" s="12" t="n">
        <v>46054</v>
      </c>
      <c r="G2398" s="12" t="n">
        <v>46071</v>
      </c>
      <c r="H2398" s="12" t="n">
        <v>46069</v>
      </c>
      <c r="I2398" s="12" t="n">
        <v>46068</v>
      </c>
      <c r="J2398" s="12" t="n">
        <v>46070</v>
      </c>
      <c r="K2398" s="2" t="n">
        <v>1223</v>
      </c>
      <c r="L2398" s="2" t="inlineStr">
        <is>
          <t>Sea</t>
        </is>
      </c>
      <c r="M2398" s="2" t="inlineStr">
        <is>
          <t>No Delay</t>
        </is>
      </c>
      <c r="N2398" s="4">
        <f>IF(I2398&lt;=H2398,1,0)</f>
        <v/>
      </c>
      <c r="O2398" s="4">
        <f>IF(J2398&lt;=G2398,1,0)</f>
        <v/>
      </c>
      <c r="P2398" s="4">
        <f>MAX(0,I2398-H2398)</f>
        <v/>
      </c>
      <c r="Q2398" s="4">
        <f>MAX(0,J2398-G2398)</f>
        <v/>
      </c>
      <c r="R2398" s="4">
        <f>IF(AND(N2398=1,O2398=1),"On Track",IF(O2398=0,"Customer Delivery Late","Ship Late"))</f>
        <v/>
      </c>
    </row>
    <row r="2399">
      <c r="A2399" s="2" t="inlineStr">
        <is>
          <t>ORD-02398</t>
        </is>
      </c>
      <c r="B2399" s="2" t="inlineStr">
        <is>
          <t>Customer 28</t>
        </is>
      </c>
      <c r="C2399" s="2" t="inlineStr">
        <is>
          <t>PLC</t>
        </is>
      </c>
      <c r="D2399" s="2" t="inlineStr">
        <is>
          <t>Plant C</t>
        </is>
      </c>
      <c r="E2399" s="2" t="inlineStr">
        <is>
          <t>Central</t>
        </is>
      </c>
      <c r="F2399" s="12" t="n">
        <v>46200</v>
      </c>
      <c r="G2399" s="12" t="n">
        <v>46224</v>
      </c>
      <c r="H2399" s="12" t="n">
        <v>46220</v>
      </c>
      <c r="I2399" s="12" t="n">
        <v>46219</v>
      </c>
      <c r="J2399" s="12" t="n">
        <v>46223</v>
      </c>
      <c r="K2399" s="2" t="n">
        <v>523</v>
      </c>
      <c r="L2399" s="2" t="inlineStr">
        <is>
          <t>Sea</t>
        </is>
      </c>
      <c r="M2399" s="2" t="inlineStr">
        <is>
          <t>No Delay</t>
        </is>
      </c>
      <c r="N2399" s="4">
        <f>IF(I2399&lt;=H2399,1,0)</f>
        <v/>
      </c>
      <c r="O2399" s="4">
        <f>IF(J2399&lt;=G2399,1,0)</f>
        <v/>
      </c>
      <c r="P2399" s="4">
        <f>MAX(0,I2399-H2399)</f>
        <v/>
      </c>
      <c r="Q2399" s="4">
        <f>MAX(0,J2399-G2399)</f>
        <v/>
      </c>
      <c r="R2399" s="4">
        <f>IF(AND(N2399=1,O2399=1),"On Track",IF(O2399=0,"Customer Delivery Late","Ship Late"))</f>
        <v/>
      </c>
    </row>
    <row r="2400">
      <c r="A2400" s="2" t="inlineStr">
        <is>
          <t>ORD-02399</t>
        </is>
      </c>
      <c r="B2400" s="2" t="inlineStr">
        <is>
          <t>Customer 12</t>
        </is>
      </c>
      <c r="C2400" s="2" t="inlineStr">
        <is>
          <t>Drive</t>
        </is>
      </c>
      <c r="D2400" s="2" t="inlineStr">
        <is>
          <t>Plant A</t>
        </is>
      </c>
      <c r="E2400" s="2" t="inlineStr">
        <is>
          <t>North</t>
        </is>
      </c>
      <c r="F2400" s="12" t="n">
        <v>46056</v>
      </c>
      <c r="G2400" s="12" t="n">
        <v>46076</v>
      </c>
      <c r="H2400" s="12" t="n">
        <v>46075</v>
      </c>
      <c r="I2400" s="12" t="n">
        <v>46074</v>
      </c>
      <c r="J2400" s="12" t="n">
        <v>46076</v>
      </c>
      <c r="K2400" s="2" t="n">
        <v>684</v>
      </c>
      <c r="L2400" s="2" t="inlineStr">
        <is>
          <t>Road</t>
        </is>
      </c>
      <c r="M2400" s="2" t="inlineStr">
        <is>
          <t>No Delay</t>
        </is>
      </c>
      <c r="N2400" s="4">
        <f>IF(I2400&lt;=H2400,1,0)</f>
        <v/>
      </c>
      <c r="O2400" s="4">
        <f>IF(J2400&lt;=G2400,1,0)</f>
        <v/>
      </c>
      <c r="P2400" s="4">
        <f>MAX(0,I2400-H2400)</f>
        <v/>
      </c>
      <c r="Q2400" s="4">
        <f>MAX(0,J2400-G2400)</f>
        <v/>
      </c>
      <c r="R2400" s="4">
        <f>IF(AND(N2400=1,O2400=1),"On Track",IF(O2400=0,"Customer Delivery Late","Ship Late"))</f>
        <v/>
      </c>
    </row>
    <row r="2401">
      <c r="A2401" s="2" t="inlineStr">
        <is>
          <t>ORD-02400</t>
        </is>
      </c>
      <c r="B2401" s="2" t="inlineStr">
        <is>
          <t>Customer 22</t>
        </is>
      </c>
      <c r="C2401" s="2" t="inlineStr">
        <is>
          <t>Breaker</t>
        </is>
      </c>
      <c r="D2401" s="2" t="inlineStr">
        <is>
          <t>Plant A</t>
        </is>
      </c>
      <c r="E2401" s="2" t="inlineStr">
        <is>
          <t>South</t>
        </is>
      </c>
      <c r="F2401" s="12" t="n">
        <v>46182</v>
      </c>
      <c r="G2401" s="12" t="n">
        <v>46192</v>
      </c>
      <c r="H2401" s="12" t="n">
        <v>46188</v>
      </c>
      <c r="I2401" s="12" t="n">
        <v>46189</v>
      </c>
      <c r="J2401" s="12" t="n">
        <v>46192</v>
      </c>
      <c r="K2401" s="2" t="n">
        <v>878</v>
      </c>
      <c r="L2401" s="2" t="inlineStr">
        <is>
          <t>Road</t>
        </is>
      </c>
      <c r="M2401" s="2" t="inlineStr">
        <is>
          <t>Material Shortage</t>
        </is>
      </c>
      <c r="N2401" s="4">
        <f>IF(I2401&lt;=H2401,1,0)</f>
        <v/>
      </c>
      <c r="O2401" s="4">
        <f>IF(J2401&lt;=G2401,1,0)</f>
        <v/>
      </c>
      <c r="P2401" s="4">
        <f>MAX(0,I2401-H2401)</f>
        <v/>
      </c>
      <c r="Q2401" s="4">
        <f>MAX(0,J2401-G2401)</f>
        <v/>
      </c>
      <c r="R2401" s="4">
        <f>IF(AND(N2401=1,O2401=1),"On Track",IF(O2401=0,"Customer Delivery Late","Ship Late"))</f>
        <v/>
      </c>
    </row>
    <row r="2402">
      <c r="A2402" s="2" t="inlineStr">
        <is>
          <t>ORD-02401</t>
        </is>
      </c>
      <c r="B2402" s="2" t="inlineStr">
        <is>
          <t>Customer 24</t>
        </is>
      </c>
      <c r="C2402" s="2" t="inlineStr">
        <is>
          <t>Contactor</t>
        </is>
      </c>
      <c r="D2402" s="2" t="inlineStr">
        <is>
          <t>Plant A</t>
        </is>
      </c>
      <c r="E2402" s="2" t="inlineStr">
        <is>
          <t>North</t>
        </is>
      </c>
      <c r="F2402" s="12" t="n">
        <v>46129</v>
      </c>
      <c r="G2402" s="12" t="n">
        <v>46136</v>
      </c>
      <c r="H2402" s="12" t="n">
        <v>46131</v>
      </c>
      <c r="I2402" s="12" t="n">
        <v>46131</v>
      </c>
      <c r="J2402" s="12" t="n">
        <v>46136</v>
      </c>
      <c r="K2402" s="2" t="n">
        <v>483</v>
      </c>
      <c r="L2402" s="2" t="inlineStr">
        <is>
          <t>Road</t>
        </is>
      </c>
      <c r="M2402" s="2" t="inlineStr">
        <is>
          <t>No Delay</t>
        </is>
      </c>
      <c r="N2402" s="4">
        <f>IF(I2402&lt;=H2402,1,0)</f>
        <v/>
      </c>
      <c r="O2402" s="4">
        <f>IF(J2402&lt;=G2402,1,0)</f>
        <v/>
      </c>
      <c r="P2402" s="4">
        <f>MAX(0,I2402-H2402)</f>
        <v/>
      </c>
      <c r="Q2402" s="4">
        <f>MAX(0,J2402-G2402)</f>
        <v/>
      </c>
      <c r="R2402" s="4">
        <f>IF(AND(N2402=1,O2402=1),"On Track",IF(O2402=0,"Customer Delivery Late","Ship Late"))</f>
        <v/>
      </c>
    </row>
    <row r="2403">
      <c r="A2403" s="2" t="inlineStr">
        <is>
          <t>ORD-02402</t>
        </is>
      </c>
      <c r="B2403" s="2" t="inlineStr">
        <is>
          <t>Customer 20</t>
        </is>
      </c>
      <c r="C2403" s="2" t="inlineStr">
        <is>
          <t>Breaker</t>
        </is>
      </c>
      <c r="D2403" s="2" t="inlineStr">
        <is>
          <t>Plant C</t>
        </is>
      </c>
      <c r="E2403" s="2" t="inlineStr">
        <is>
          <t>Export</t>
        </is>
      </c>
      <c r="F2403" s="12" t="n">
        <v>46035</v>
      </c>
      <c r="G2403" s="12" t="n">
        <v>46057</v>
      </c>
      <c r="H2403" s="12" t="n">
        <v>46052</v>
      </c>
      <c r="I2403" s="12" t="n">
        <v>46050</v>
      </c>
      <c r="J2403" s="12" t="n">
        <v>46055</v>
      </c>
      <c r="K2403" s="2" t="n">
        <v>989</v>
      </c>
      <c r="L2403" s="2" t="inlineStr">
        <is>
          <t>Road</t>
        </is>
      </c>
      <c r="M2403" s="2" t="inlineStr">
        <is>
          <t>No Delay</t>
        </is>
      </c>
      <c r="N2403" s="4">
        <f>IF(I2403&lt;=H2403,1,0)</f>
        <v/>
      </c>
      <c r="O2403" s="4">
        <f>IF(J2403&lt;=G2403,1,0)</f>
        <v/>
      </c>
      <c r="P2403" s="4">
        <f>MAX(0,I2403-H2403)</f>
        <v/>
      </c>
      <c r="Q2403" s="4">
        <f>MAX(0,J2403-G2403)</f>
        <v/>
      </c>
      <c r="R2403" s="4">
        <f>IF(AND(N2403=1,O2403=1),"On Track",IF(O2403=0,"Customer Delivery Late","Ship Late"))</f>
        <v/>
      </c>
    </row>
    <row r="2404">
      <c r="A2404" s="2" t="inlineStr">
        <is>
          <t>ORD-02403</t>
        </is>
      </c>
      <c r="B2404" s="2" t="inlineStr">
        <is>
          <t>Customer 29</t>
        </is>
      </c>
      <c r="C2404" s="2" t="inlineStr">
        <is>
          <t>Switchgear</t>
        </is>
      </c>
      <c r="D2404" s="2" t="inlineStr">
        <is>
          <t>Plant C</t>
        </is>
      </c>
      <c r="E2404" s="2" t="inlineStr">
        <is>
          <t>Central</t>
        </is>
      </c>
      <c r="F2404" s="12" t="n">
        <v>46073</v>
      </c>
      <c r="G2404" s="12" t="n">
        <v>46084</v>
      </c>
      <c r="H2404" s="12" t="n">
        <v>46083</v>
      </c>
      <c r="I2404" s="12" t="n">
        <v>46083</v>
      </c>
      <c r="J2404" s="12" t="n">
        <v>46085</v>
      </c>
      <c r="K2404" s="2" t="n">
        <v>1296</v>
      </c>
      <c r="L2404" s="2" t="inlineStr">
        <is>
          <t>Air</t>
        </is>
      </c>
      <c r="M2404" s="2" t="inlineStr">
        <is>
          <t>Customer Change</t>
        </is>
      </c>
      <c r="N2404" s="4">
        <f>IF(I2404&lt;=H2404,1,0)</f>
        <v/>
      </c>
      <c r="O2404" s="4">
        <f>IF(J2404&lt;=G2404,1,0)</f>
        <v/>
      </c>
      <c r="P2404" s="4">
        <f>MAX(0,I2404-H2404)</f>
        <v/>
      </c>
      <c r="Q2404" s="4">
        <f>MAX(0,J2404-G2404)</f>
        <v/>
      </c>
      <c r="R2404" s="4">
        <f>IF(AND(N2404=1,O2404=1),"On Track",IF(O2404=0,"Customer Delivery Late","Ship Late"))</f>
        <v/>
      </c>
    </row>
    <row r="2405">
      <c r="A2405" s="2" t="inlineStr">
        <is>
          <t>ORD-02404</t>
        </is>
      </c>
      <c r="B2405" s="2" t="inlineStr">
        <is>
          <t>Customer 17</t>
        </is>
      </c>
      <c r="C2405" s="2" t="inlineStr">
        <is>
          <t>Relay</t>
        </is>
      </c>
      <c r="D2405" s="2" t="inlineStr">
        <is>
          <t>Plant A</t>
        </is>
      </c>
      <c r="E2405" s="2" t="inlineStr">
        <is>
          <t>North</t>
        </is>
      </c>
      <c r="F2405" s="12" t="n">
        <v>46115</v>
      </c>
      <c r="G2405" s="12" t="n">
        <v>46130</v>
      </c>
      <c r="H2405" s="12" t="n">
        <v>46126</v>
      </c>
      <c r="I2405" s="12" t="n">
        <v>46124</v>
      </c>
      <c r="J2405" s="12" t="n">
        <v>46127</v>
      </c>
      <c r="K2405" s="2" t="n">
        <v>851</v>
      </c>
      <c r="L2405" s="2" t="inlineStr">
        <is>
          <t>Road</t>
        </is>
      </c>
      <c r="M2405" s="2" t="inlineStr">
        <is>
          <t>No Delay</t>
        </is>
      </c>
      <c r="N2405" s="4">
        <f>IF(I2405&lt;=H2405,1,0)</f>
        <v/>
      </c>
      <c r="O2405" s="4">
        <f>IF(J2405&lt;=G2405,1,0)</f>
        <v/>
      </c>
      <c r="P2405" s="4">
        <f>MAX(0,I2405-H2405)</f>
        <v/>
      </c>
      <c r="Q2405" s="4">
        <f>MAX(0,J2405-G2405)</f>
        <v/>
      </c>
      <c r="R2405" s="4">
        <f>IF(AND(N2405=1,O2405=1),"On Track",IF(O2405=0,"Customer Delivery Late","Ship Late"))</f>
        <v/>
      </c>
    </row>
    <row r="2406">
      <c r="A2406" s="2" t="inlineStr">
        <is>
          <t>ORD-02405</t>
        </is>
      </c>
      <c r="B2406" s="2" t="inlineStr">
        <is>
          <t>Customer 21</t>
        </is>
      </c>
      <c r="C2406" s="2" t="inlineStr">
        <is>
          <t>PLC</t>
        </is>
      </c>
      <c r="D2406" s="2" t="inlineStr">
        <is>
          <t>Plant A</t>
        </is>
      </c>
      <c r="E2406" s="2" t="inlineStr">
        <is>
          <t>Central</t>
        </is>
      </c>
      <c r="F2406" s="12" t="n">
        <v>46043</v>
      </c>
      <c r="G2406" s="12" t="n">
        <v>46064</v>
      </c>
      <c r="H2406" s="12" t="n">
        <v>46060</v>
      </c>
      <c r="I2406" s="12" t="n">
        <v>46058</v>
      </c>
      <c r="J2406" s="12" t="n">
        <v>46062</v>
      </c>
      <c r="K2406" s="2" t="n">
        <v>398</v>
      </c>
      <c r="L2406" s="2" t="inlineStr">
        <is>
          <t>Air</t>
        </is>
      </c>
      <c r="M2406" s="2" t="inlineStr">
        <is>
          <t>No Delay</t>
        </is>
      </c>
      <c r="N2406" s="4">
        <f>IF(I2406&lt;=H2406,1,0)</f>
        <v/>
      </c>
      <c r="O2406" s="4">
        <f>IF(J2406&lt;=G2406,1,0)</f>
        <v/>
      </c>
      <c r="P2406" s="4">
        <f>MAX(0,I2406-H2406)</f>
        <v/>
      </c>
      <c r="Q2406" s="4">
        <f>MAX(0,J2406-G2406)</f>
        <v/>
      </c>
      <c r="R2406" s="4">
        <f>IF(AND(N2406=1,O2406=1),"On Track",IF(O2406=0,"Customer Delivery Late","Ship Late"))</f>
        <v/>
      </c>
    </row>
    <row r="2407">
      <c r="A2407" s="2" t="inlineStr">
        <is>
          <t>ORD-02406</t>
        </is>
      </c>
      <c r="B2407" s="2" t="inlineStr">
        <is>
          <t>Customer 20</t>
        </is>
      </c>
      <c r="C2407" s="2" t="inlineStr">
        <is>
          <t>Contactor</t>
        </is>
      </c>
      <c r="D2407" s="2" t="inlineStr">
        <is>
          <t>Plant B</t>
        </is>
      </c>
      <c r="E2407" s="2" t="inlineStr">
        <is>
          <t>Export</t>
        </is>
      </c>
      <c r="F2407" s="12" t="n">
        <v>46090</v>
      </c>
      <c r="G2407" s="12" t="n">
        <v>46098</v>
      </c>
      <c r="H2407" s="12" t="n">
        <v>46094</v>
      </c>
      <c r="I2407" s="12" t="n">
        <v>46093</v>
      </c>
      <c r="J2407" s="12" t="n">
        <v>46097</v>
      </c>
      <c r="K2407" s="2" t="n">
        <v>899</v>
      </c>
      <c r="L2407" s="2" t="inlineStr">
        <is>
          <t>Air</t>
        </is>
      </c>
      <c r="M2407" s="2" t="inlineStr">
        <is>
          <t>No Delay</t>
        </is>
      </c>
      <c r="N2407" s="4">
        <f>IF(I2407&lt;=H2407,1,0)</f>
        <v/>
      </c>
      <c r="O2407" s="4">
        <f>IF(J2407&lt;=G2407,1,0)</f>
        <v/>
      </c>
      <c r="P2407" s="4">
        <f>MAX(0,I2407-H2407)</f>
        <v/>
      </c>
      <c r="Q2407" s="4">
        <f>MAX(0,J2407-G2407)</f>
        <v/>
      </c>
      <c r="R2407" s="4">
        <f>IF(AND(N2407=1,O2407=1),"On Track",IF(O2407=0,"Customer Delivery Late","Ship Late"))</f>
        <v/>
      </c>
    </row>
    <row r="2408">
      <c r="A2408" s="2" t="inlineStr">
        <is>
          <t>ORD-02407</t>
        </is>
      </c>
      <c r="B2408" s="2" t="inlineStr">
        <is>
          <t>Customer 06</t>
        </is>
      </c>
      <c r="C2408" s="2" t="inlineStr">
        <is>
          <t>Drive</t>
        </is>
      </c>
      <c r="D2408" s="2" t="inlineStr">
        <is>
          <t>Plant A</t>
        </is>
      </c>
      <c r="E2408" s="2" t="inlineStr">
        <is>
          <t>Central</t>
        </is>
      </c>
      <c r="F2408" s="12" t="n">
        <v>46026</v>
      </c>
      <c r="G2408" s="12" t="n">
        <v>46038</v>
      </c>
      <c r="H2408" s="12" t="n">
        <v>46036</v>
      </c>
      <c r="I2408" s="12" t="n">
        <v>46036</v>
      </c>
      <c r="J2408" s="12" t="n">
        <v>46039</v>
      </c>
      <c r="K2408" s="2" t="n">
        <v>1310</v>
      </c>
      <c r="L2408" s="2" t="inlineStr">
        <is>
          <t>Air</t>
        </is>
      </c>
      <c r="M2408" s="2" t="inlineStr">
        <is>
          <t>Customer Change</t>
        </is>
      </c>
      <c r="N2408" s="4">
        <f>IF(I2408&lt;=H2408,1,0)</f>
        <v/>
      </c>
      <c r="O2408" s="4">
        <f>IF(J2408&lt;=G2408,1,0)</f>
        <v/>
      </c>
      <c r="P2408" s="4">
        <f>MAX(0,I2408-H2408)</f>
        <v/>
      </c>
      <c r="Q2408" s="4">
        <f>MAX(0,J2408-G2408)</f>
        <v/>
      </c>
      <c r="R2408" s="4">
        <f>IF(AND(N2408=1,O2408=1),"On Track",IF(O2408=0,"Customer Delivery Late","Ship Late"))</f>
        <v/>
      </c>
    </row>
    <row r="2409">
      <c r="A2409" s="2" t="inlineStr">
        <is>
          <t>ORD-02408</t>
        </is>
      </c>
      <c r="B2409" s="2" t="inlineStr">
        <is>
          <t>Customer 20</t>
        </is>
      </c>
      <c r="C2409" s="2" t="inlineStr">
        <is>
          <t>Drive</t>
        </is>
      </c>
      <c r="D2409" s="2" t="inlineStr">
        <is>
          <t>Plant A</t>
        </is>
      </c>
      <c r="E2409" s="2" t="inlineStr">
        <is>
          <t>Central</t>
        </is>
      </c>
      <c r="F2409" s="12" t="n">
        <v>46139</v>
      </c>
      <c r="G2409" s="12" t="n">
        <v>46147</v>
      </c>
      <c r="H2409" s="12" t="n">
        <v>46145</v>
      </c>
      <c r="I2409" s="12" t="n">
        <v>46145</v>
      </c>
      <c r="J2409" s="12" t="n">
        <v>46147</v>
      </c>
      <c r="K2409" s="2" t="n">
        <v>651</v>
      </c>
      <c r="L2409" s="2" t="inlineStr">
        <is>
          <t>Road</t>
        </is>
      </c>
      <c r="M2409" s="2" t="inlineStr">
        <is>
          <t>No Delay</t>
        </is>
      </c>
      <c r="N2409" s="4">
        <f>IF(I2409&lt;=H2409,1,0)</f>
        <v/>
      </c>
      <c r="O2409" s="4">
        <f>IF(J2409&lt;=G2409,1,0)</f>
        <v/>
      </c>
      <c r="P2409" s="4">
        <f>MAX(0,I2409-H2409)</f>
        <v/>
      </c>
      <c r="Q2409" s="4">
        <f>MAX(0,J2409-G2409)</f>
        <v/>
      </c>
      <c r="R2409" s="4">
        <f>IF(AND(N2409=1,O2409=1),"On Track",IF(O2409=0,"Customer Delivery Late","Ship Late"))</f>
        <v/>
      </c>
    </row>
    <row r="2410">
      <c r="A2410" s="2" t="inlineStr">
        <is>
          <t>ORD-02409</t>
        </is>
      </c>
      <c r="B2410" s="2" t="inlineStr">
        <is>
          <t>Customer 24</t>
        </is>
      </c>
      <c r="C2410" s="2" t="inlineStr">
        <is>
          <t>Power Supply</t>
        </is>
      </c>
      <c r="D2410" s="2" t="inlineStr">
        <is>
          <t>Plant C</t>
        </is>
      </c>
      <c r="E2410" s="2" t="inlineStr">
        <is>
          <t>Export</t>
        </is>
      </c>
      <c r="F2410" s="12" t="n">
        <v>46180</v>
      </c>
      <c r="G2410" s="12" t="n">
        <v>46198</v>
      </c>
      <c r="H2410" s="12" t="n">
        <v>46195</v>
      </c>
      <c r="I2410" s="12" t="n">
        <v>46195</v>
      </c>
      <c r="J2410" s="12" t="n">
        <v>46198</v>
      </c>
      <c r="K2410" s="2" t="n">
        <v>1048</v>
      </c>
      <c r="L2410" s="2" t="inlineStr">
        <is>
          <t>Road</t>
        </is>
      </c>
      <c r="M2410" s="2" t="inlineStr">
        <is>
          <t>No Delay</t>
        </is>
      </c>
      <c r="N2410" s="4">
        <f>IF(I2410&lt;=H2410,1,0)</f>
        <v/>
      </c>
      <c r="O2410" s="4">
        <f>IF(J2410&lt;=G2410,1,0)</f>
        <v/>
      </c>
      <c r="P2410" s="4">
        <f>MAX(0,I2410-H2410)</f>
        <v/>
      </c>
      <c r="Q2410" s="4">
        <f>MAX(0,J2410-G2410)</f>
        <v/>
      </c>
      <c r="R2410" s="4">
        <f>IF(AND(N2410=1,O2410=1),"On Track",IF(O2410=0,"Customer Delivery Late","Ship Late"))</f>
        <v/>
      </c>
    </row>
    <row r="2411">
      <c r="A2411" s="2" t="inlineStr">
        <is>
          <t>ORD-02410</t>
        </is>
      </c>
      <c r="B2411" s="2" t="inlineStr">
        <is>
          <t>Customer 01</t>
        </is>
      </c>
      <c r="C2411" s="2" t="inlineStr">
        <is>
          <t>Breaker</t>
        </is>
      </c>
      <c r="D2411" s="2" t="inlineStr">
        <is>
          <t>Plant B</t>
        </is>
      </c>
      <c r="E2411" s="2" t="inlineStr">
        <is>
          <t>Export</t>
        </is>
      </c>
      <c r="F2411" s="12" t="n">
        <v>46052</v>
      </c>
      <c r="G2411" s="12" t="n">
        <v>46059</v>
      </c>
      <c r="H2411" s="12" t="n">
        <v>46056</v>
      </c>
      <c r="I2411" s="12" t="n">
        <v>46054</v>
      </c>
      <c r="J2411" s="12" t="n">
        <v>46056</v>
      </c>
      <c r="K2411" s="2" t="n">
        <v>990</v>
      </c>
      <c r="L2411" s="2" t="inlineStr">
        <is>
          <t>Road</t>
        </is>
      </c>
      <c r="M2411" s="2" t="inlineStr">
        <is>
          <t>No Delay</t>
        </is>
      </c>
      <c r="N2411" s="4">
        <f>IF(I2411&lt;=H2411,1,0)</f>
        <v/>
      </c>
      <c r="O2411" s="4">
        <f>IF(J2411&lt;=G2411,1,0)</f>
        <v/>
      </c>
      <c r="P2411" s="4">
        <f>MAX(0,I2411-H2411)</f>
        <v/>
      </c>
      <c r="Q2411" s="4">
        <f>MAX(0,J2411-G2411)</f>
        <v/>
      </c>
      <c r="R2411" s="4">
        <f>IF(AND(N2411=1,O2411=1),"On Track",IF(O2411=0,"Customer Delivery Late","Ship Late"))</f>
        <v/>
      </c>
    </row>
    <row r="2412">
      <c r="A2412" s="2" t="inlineStr">
        <is>
          <t>ORD-02411</t>
        </is>
      </c>
      <c r="B2412" s="2" t="inlineStr">
        <is>
          <t>Customer 06</t>
        </is>
      </c>
      <c r="C2412" s="2" t="inlineStr">
        <is>
          <t>Switchgear</t>
        </is>
      </c>
      <c r="D2412" s="2" t="inlineStr">
        <is>
          <t>Plant C</t>
        </is>
      </c>
      <c r="E2412" s="2" t="inlineStr">
        <is>
          <t>Export</t>
        </is>
      </c>
      <c r="F2412" s="12" t="n">
        <v>46108</v>
      </c>
      <c r="G2412" s="12" t="n">
        <v>46123</v>
      </c>
      <c r="H2412" s="12" t="n">
        <v>46120</v>
      </c>
      <c r="I2412" s="12" t="n">
        <v>46120</v>
      </c>
      <c r="J2412" s="12" t="n">
        <v>46123</v>
      </c>
      <c r="K2412" s="2" t="n">
        <v>1258</v>
      </c>
      <c r="L2412" s="2" t="inlineStr">
        <is>
          <t>Road</t>
        </is>
      </c>
      <c r="M2412" s="2" t="inlineStr">
        <is>
          <t>No Delay</t>
        </is>
      </c>
      <c r="N2412" s="4">
        <f>IF(I2412&lt;=H2412,1,0)</f>
        <v/>
      </c>
      <c r="O2412" s="4">
        <f>IF(J2412&lt;=G2412,1,0)</f>
        <v/>
      </c>
      <c r="P2412" s="4">
        <f>MAX(0,I2412-H2412)</f>
        <v/>
      </c>
      <c r="Q2412" s="4">
        <f>MAX(0,J2412-G2412)</f>
        <v/>
      </c>
      <c r="R2412" s="4">
        <f>IF(AND(N2412=1,O2412=1),"On Track",IF(O2412=0,"Customer Delivery Late","Ship Late"))</f>
        <v/>
      </c>
    </row>
    <row r="2413">
      <c r="A2413" s="2" t="inlineStr">
        <is>
          <t>ORD-02412</t>
        </is>
      </c>
      <c r="B2413" s="2" t="inlineStr">
        <is>
          <t>Customer 08</t>
        </is>
      </c>
      <c r="C2413" s="2" t="inlineStr">
        <is>
          <t>Switchgear</t>
        </is>
      </c>
      <c r="D2413" s="2" t="inlineStr">
        <is>
          <t>Plant A</t>
        </is>
      </c>
      <c r="E2413" s="2" t="inlineStr">
        <is>
          <t>North</t>
        </is>
      </c>
      <c r="F2413" s="12" t="n">
        <v>46066</v>
      </c>
      <c r="G2413" s="12" t="n">
        <v>46082</v>
      </c>
      <c r="H2413" s="12" t="n">
        <v>46077</v>
      </c>
      <c r="I2413" s="12" t="n">
        <v>46075</v>
      </c>
      <c r="J2413" s="12" t="n">
        <v>46080</v>
      </c>
      <c r="K2413" s="2" t="n">
        <v>854</v>
      </c>
      <c r="L2413" s="2" t="inlineStr">
        <is>
          <t>Road</t>
        </is>
      </c>
      <c r="M2413" s="2" t="inlineStr">
        <is>
          <t>No Delay</t>
        </is>
      </c>
      <c r="N2413" s="4">
        <f>IF(I2413&lt;=H2413,1,0)</f>
        <v/>
      </c>
      <c r="O2413" s="4">
        <f>IF(J2413&lt;=G2413,1,0)</f>
        <v/>
      </c>
      <c r="P2413" s="4">
        <f>MAX(0,I2413-H2413)</f>
        <v/>
      </c>
      <c r="Q2413" s="4">
        <f>MAX(0,J2413-G2413)</f>
        <v/>
      </c>
      <c r="R2413" s="4">
        <f>IF(AND(N2413=1,O2413=1),"On Track",IF(O2413=0,"Customer Delivery Late","Ship Late"))</f>
        <v/>
      </c>
    </row>
    <row r="2414">
      <c r="A2414" s="2" t="inlineStr">
        <is>
          <t>ORD-02413</t>
        </is>
      </c>
      <c r="B2414" s="2" t="inlineStr">
        <is>
          <t>Customer 18</t>
        </is>
      </c>
      <c r="C2414" s="2" t="inlineStr">
        <is>
          <t>Breaker</t>
        </is>
      </c>
      <c r="D2414" s="2" t="inlineStr">
        <is>
          <t>Plant A</t>
        </is>
      </c>
      <c r="E2414" s="2" t="inlineStr">
        <is>
          <t>South</t>
        </is>
      </c>
      <c r="F2414" s="12" t="n">
        <v>46124</v>
      </c>
      <c r="G2414" s="12" t="n">
        <v>46141</v>
      </c>
      <c r="H2414" s="12" t="n">
        <v>46140</v>
      </c>
      <c r="I2414" s="12" t="n">
        <v>46138</v>
      </c>
      <c r="J2414" s="12" t="n">
        <v>46140</v>
      </c>
      <c r="K2414" s="2" t="n">
        <v>715</v>
      </c>
      <c r="L2414" s="2" t="inlineStr">
        <is>
          <t>Sea</t>
        </is>
      </c>
      <c r="M2414" s="2" t="inlineStr">
        <is>
          <t>No Delay</t>
        </is>
      </c>
      <c r="N2414" s="4">
        <f>IF(I2414&lt;=H2414,1,0)</f>
        <v/>
      </c>
      <c r="O2414" s="4">
        <f>IF(J2414&lt;=G2414,1,0)</f>
        <v/>
      </c>
      <c r="P2414" s="4">
        <f>MAX(0,I2414-H2414)</f>
        <v/>
      </c>
      <c r="Q2414" s="4">
        <f>MAX(0,J2414-G2414)</f>
        <v/>
      </c>
      <c r="R2414" s="4">
        <f>IF(AND(N2414=1,O2414=1),"On Track",IF(O2414=0,"Customer Delivery Late","Ship Late"))</f>
        <v/>
      </c>
    </row>
    <row r="2415">
      <c r="A2415" s="2" t="inlineStr">
        <is>
          <t>ORD-02414</t>
        </is>
      </c>
      <c r="B2415" s="2" t="inlineStr">
        <is>
          <t>Customer 26</t>
        </is>
      </c>
      <c r="C2415" s="2" t="inlineStr">
        <is>
          <t>PLC</t>
        </is>
      </c>
      <c r="D2415" s="2" t="inlineStr">
        <is>
          <t>Plant C</t>
        </is>
      </c>
      <c r="E2415" s="2" t="inlineStr">
        <is>
          <t>South</t>
        </is>
      </c>
      <c r="F2415" s="12" t="n">
        <v>46181</v>
      </c>
      <c r="G2415" s="12" t="n">
        <v>46204</v>
      </c>
      <c r="H2415" s="12" t="n">
        <v>46199</v>
      </c>
      <c r="I2415" s="12" t="n">
        <v>46198</v>
      </c>
      <c r="J2415" s="12" t="n">
        <v>46203</v>
      </c>
      <c r="K2415" s="2" t="n">
        <v>1011</v>
      </c>
      <c r="L2415" s="2" t="inlineStr">
        <is>
          <t>Sea</t>
        </is>
      </c>
      <c r="M2415" s="2" t="inlineStr">
        <is>
          <t>No Delay</t>
        </is>
      </c>
      <c r="N2415" s="4">
        <f>IF(I2415&lt;=H2415,1,0)</f>
        <v/>
      </c>
      <c r="O2415" s="4">
        <f>IF(J2415&lt;=G2415,1,0)</f>
        <v/>
      </c>
      <c r="P2415" s="4">
        <f>MAX(0,I2415-H2415)</f>
        <v/>
      </c>
      <c r="Q2415" s="4">
        <f>MAX(0,J2415-G2415)</f>
        <v/>
      </c>
      <c r="R2415" s="4">
        <f>IF(AND(N2415=1,O2415=1),"On Track",IF(O2415=0,"Customer Delivery Late","Ship Late"))</f>
        <v/>
      </c>
    </row>
    <row r="2416">
      <c r="A2416" s="2" t="inlineStr">
        <is>
          <t>ORD-02415</t>
        </is>
      </c>
      <c r="B2416" s="2" t="inlineStr">
        <is>
          <t>Customer 09</t>
        </is>
      </c>
      <c r="C2416" s="2" t="inlineStr">
        <is>
          <t>Contactor</t>
        </is>
      </c>
      <c r="D2416" s="2" t="inlineStr">
        <is>
          <t>Plant A</t>
        </is>
      </c>
      <c r="E2416" s="2" t="inlineStr">
        <is>
          <t>North</t>
        </is>
      </c>
      <c r="F2416" s="12" t="n">
        <v>46103</v>
      </c>
      <c r="G2416" s="12" t="n">
        <v>46119</v>
      </c>
      <c r="H2416" s="12" t="n">
        <v>46118</v>
      </c>
      <c r="I2416" s="12" t="n">
        <v>46118</v>
      </c>
      <c r="J2416" s="12" t="n">
        <v>46119</v>
      </c>
      <c r="K2416" s="2" t="n">
        <v>991</v>
      </c>
      <c r="L2416" s="2" t="inlineStr">
        <is>
          <t>Sea</t>
        </is>
      </c>
      <c r="M2416" s="2" t="inlineStr">
        <is>
          <t>No Delay</t>
        </is>
      </c>
      <c r="N2416" s="4">
        <f>IF(I2416&lt;=H2416,1,0)</f>
        <v/>
      </c>
      <c r="O2416" s="4">
        <f>IF(J2416&lt;=G2416,1,0)</f>
        <v/>
      </c>
      <c r="P2416" s="4">
        <f>MAX(0,I2416-H2416)</f>
        <v/>
      </c>
      <c r="Q2416" s="4">
        <f>MAX(0,J2416-G2416)</f>
        <v/>
      </c>
      <c r="R2416" s="4">
        <f>IF(AND(N2416=1,O2416=1),"On Track",IF(O2416=0,"Customer Delivery Late","Ship Late"))</f>
        <v/>
      </c>
    </row>
    <row r="2417">
      <c r="A2417" s="2" t="inlineStr">
        <is>
          <t>ORD-02416</t>
        </is>
      </c>
      <c r="B2417" s="2" t="inlineStr">
        <is>
          <t>Customer 13</t>
        </is>
      </c>
      <c r="C2417" s="2" t="inlineStr">
        <is>
          <t>Switchgear</t>
        </is>
      </c>
      <c r="D2417" s="2" t="inlineStr">
        <is>
          <t>Plant B</t>
        </is>
      </c>
      <c r="E2417" s="2" t="inlineStr">
        <is>
          <t>North</t>
        </is>
      </c>
      <c r="F2417" s="12" t="n">
        <v>46078</v>
      </c>
      <c r="G2417" s="12" t="n">
        <v>46095</v>
      </c>
      <c r="H2417" s="12" t="n">
        <v>46091</v>
      </c>
      <c r="I2417" s="12" t="n">
        <v>46091</v>
      </c>
      <c r="J2417" s="12" t="n">
        <v>46095</v>
      </c>
      <c r="K2417" s="2" t="n">
        <v>221</v>
      </c>
      <c r="L2417" s="2" t="inlineStr">
        <is>
          <t>Road</t>
        </is>
      </c>
      <c r="M2417" s="2" t="inlineStr">
        <is>
          <t>No Delay</t>
        </is>
      </c>
      <c r="N2417" s="4">
        <f>IF(I2417&lt;=H2417,1,0)</f>
        <v/>
      </c>
      <c r="O2417" s="4">
        <f>IF(J2417&lt;=G2417,1,0)</f>
        <v/>
      </c>
      <c r="P2417" s="4">
        <f>MAX(0,I2417-H2417)</f>
        <v/>
      </c>
      <c r="Q2417" s="4">
        <f>MAX(0,J2417-G2417)</f>
        <v/>
      </c>
      <c r="R2417" s="4">
        <f>IF(AND(N2417=1,O2417=1),"On Track",IF(O2417=0,"Customer Delivery Late","Ship Late"))</f>
        <v/>
      </c>
    </row>
    <row r="2418">
      <c r="A2418" s="2" t="inlineStr">
        <is>
          <t>ORD-02417</t>
        </is>
      </c>
      <c r="B2418" s="2" t="inlineStr">
        <is>
          <t>Customer 01</t>
        </is>
      </c>
      <c r="C2418" s="2" t="inlineStr">
        <is>
          <t>Breaker</t>
        </is>
      </c>
      <c r="D2418" s="2" t="inlineStr">
        <is>
          <t>Plant B</t>
        </is>
      </c>
      <c r="E2418" s="2" t="inlineStr">
        <is>
          <t>Export</t>
        </is>
      </c>
      <c r="F2418" s="12" t="n">
        <v>46116</v>
      </c>
      <c r="G2418" s="12" t="n">
        <v>46138</v>
      </c>
      <c r="H2418" s="12" t="n">
        <v>46135</v>
      </c>
      <c r="I2418" s="12" t="n">
        <v>46133</v>
      </c>
      <c r="J2418" s="12" t="n">
        <v>46136</v>
      </c>
      <c r="K2418" s="2" t="n">
        <v>520</v>
      </c>
      <c r="L2418" s="2" t="inlineStr">
        <is>
          <t>Road</t>
        </is>
      </c>
      <c r="M2418" s="2" t="inlineStr">
        <is>
          <t>No Delay</t>
        </is>
      </c>
      <c r="N2418" s="4">
        <f>IF(I2418&lt;=H2418,1,0)</f>
        <v/>
      </c>
      <c r="O2418" s="4">
        <f>IF(J2418&lt;=G2418,1,0)</f>
        <v/>
      </c>
      <c r="P2418" s="4">
        <f>MAX(0,I2418-H2418)</f>
        <v/>
      </c>
      <c r="Q2418" s="4">
        <f>MAX(0,J2418-G2418)</f>
        <v/>
      </c>
      <c r="R2418" s="4">
        <f>IF(AND(N2418=1,O2418=1),"On Track",IF(O2418=0,"Customer Delivery Late","Ship Late"))</f>
        <v/>
      </c>
    </row>
    <row r="2419">
      <c r="A2419" s="2" t="inlineStr">
        <is>
          <t>ORD-02418</t>
        </is>
      </c>
      <c r="B2419" s="2" t="inlineStr">
        <is>
          <t>Customer 08</t>
        </is>
      </c>
      <c r="C2419" s="2" t="inlineStr">
        <is>
          <t>Relay</t>
        </is>
      </c>
      <c r="D2419" s="2" t="inlineStr">
        <is>
          <t>Plant A</t>
        </is>
      </c>
      <c r="E2419" s="2" t="inlineStr">
        <is>
          <t>North</t>
        </is>
      </c>
      <c r="F2419" s="12" t="n">
        <v>46153</v>
      </c>
      <c r="G2419" s="12" t="n">
        <v>46162</v>
      </c>
      <c r="H2419" s="12" t="n">
        <v>46157</v>
      </c>
      <c r="I2419" s="12" t="n">
        <v>46157</v>
      </c>
      <c r="J2419" s="12" t="n">
        <v>46163</v>
      </c>
      <c r="K2419" s="2" t="n">
        <v>976</v>
      </c>
      <c r="L2419" s="2" t="inlineStr">
        <is>
          <t>Sea</t>
        </is>
      </c>
      <c r="M2419" s="2" t="inlineStr">
        <is>
          <t>Documentation Issue</t>
        </is>
      </c>
      <c r="N2419" s="4">
        <f>IF(I2419&lt;=H2419,1,0)</f>
        <v/>
      </c>
      <c r="O2419" s="4">
        <f>IF(J2419&lt;=G2419,1,0)</f>
        <v/>
      </c>
      <c r="P2419" s="4">
        <f>MAX(0,I2419-H2419)</f>
        <v/>
      </c>
      <c r="Q2419" s="4">
        <f>MAX(0,J2419-G2419)</f>
        <v/>
      </c>
      <c r="R2419" s="4">
        <f>IF(AND(N2419=1,O2419=1),"On Track",IF(O2419=0,"Customer Delivery Late","Ship Late"))</f>
        <v/>
      </c>
    </row>
    <row r="2420">
      <c r="A2420" s="2" t="inlineStr">
        <is>
          <t>ORD-02419</t>
        </is>
      </c>
      <c r="B2420" s="2" t="inlineStr">
        <is>
          <t>Customer 12</t>
        </is>
      </c>
      <c r="C2420" s="2" t="inlineStr">
        <is>
          <t>Sensor</t>
        </is>
      </c>
      <c r="D2420" s="2" t="inlineStr">
        <is>
          <t>Plant C</t>
        </is>
      </c>
      <c r="E2420" s="2" t="inlineStr">
        <is>
          <t>South</t>
        </is>
      </c>
      <c r="F2420" s="12" t="n">
        <v>46156</v>
      </c>
      <c r="G2420" s="12" t="n">
        <v>46177</v>
      </c>
      <c r="H2420" s="12" t="n">
        <v>46175</v>
      </c>
      <c r="I2420" s="12" t="n">
        <v>46175</v>
      </c>
      <c r="J2420" s="12" t="n">
        <v>46177</v>
      </c>
      <c r="K2420" s="2" t="n">
        <v>315</v>
      </c>
      <c r="L2420" s="2" t="inlineStr">
        <is>
          <t>Road</t>
        </is>
      </c>
      <c r="M2420" s="2" t="inlineStr">
        <is>
          <t>No Delay</t>
        </is>
      </c>
      <c r="N2420" s="4">
        <f>IF(I2420&lt;=H2420,1,0)</f>
        <v/>
      </c>
      <c r="O2420" s="4">
        <f>IF(J2420&lt;=G2420,1,0)</f>
        <v/>
      </c>
      <c r="P2420" s="4">
        <f>MAX(0,I2420-H2420)</f>
        <v/>
      </c>
      <c r="Q2420" s="4">
        <f>MAX(0,J2420-G2420)</f>
        <v/>
      </c>
      <c r="R2420" s="4">
        <f>IF(AND(N2420=1,O2420=1),"On Track",IF(O2420=0,"Customer Delivery Late","Ship Late"))</f>
        <v/>
      </c>
    </row>
    <row r="2421">
      <c r="A2421" s="2" t="inlineStr">
        <is>
          <t>ORD-02420</t>
        </is>
      </c>
      <c r="B2421" s="2" t="inlineStr">
        <is>
          <t>Customer 05</t>
        </is>
      </c>
      <c r="C2421" s="2" t="inlineStr">
        <is>
          <t>Switchgear</t>
        </is>
      </c>
      <c r="D2421" s="2" t="inlineStr">
        <is>
          <t>Plant B</t>
        </is>
      </c>
      <c r="E2421" s="2" t="inlineStr">
        <is>
          <t>North</t>
        </is>
      </c>
      <c r="F2421" s="12" t="n">
        <v>46023</v>
      </c>
      <c r="G2421" s="12" t="n">
        <v>46043</v>
      </c>
      <c r="H2421" s="12" t="n">
        <v>46041</v>
      </c>
      <c r="I2421" s="12" t="n">
        <v>46041</v>
      </c>
      <c r="J2421" s="12" t="n">
        <v>46042</v>
      </c>
      <c r="K2421" s="2" t="n">
        <v>904</v>
      </c>
      <c r="L2421" s="2" t="inlineStr">
        <is>
          <t>Sea</t>
        </is>
      </c>
      <c r="M2421" s="2" t="inlineStr">
        <is>
          <t>No Delay</t>
        </is>
      </c>
      <c r="N2421" s="4">
        <f>IF(I2421&lt;=H2421,1,0)</f>
        <v/>
      </c>
      <c r="O2421" s="4">
        <f>IF(J2421&lt;=G2421,1,0)</f>
        <v/>
      </c>
      <c r="P2421" s="4">
        <f>MAX(0,I2421-H2421)</f>
        <v/>
      </c>
      <c r="Q2421" s="4">
        <f>MAX(0,J2421-G2421)</f>
        <v/>
      </c>
      <c r="R2421" s="4">
        <f>IF(AND(N2421=1,O2421=1),"On Track",IF(O2421=0,"Customer Delivery Late","Ship Late"))</f>
        <v/>
      </c>
    </row>
    <row r="2422">
      <c r="A2422" s="2" t="inlineStr">
        <is>
          <t>ORD-02421</t>
        </is>
      </c>
      <c r="B2422" s="2" t="inlineStr">
        <is>
          <t>Customer 20</t>
        </is>
      </c>
      <c r="C2422" s="2" t="inlineStr">
        <is>
          <t>Drive</t>
        </is>
      </c>
      <c r="D2422" s="2" t="inlineStr">
        <is>
          <t>Plant B</t>
        </is>
      </c>
      <c r="E2422" s="2" t="inlineStr">
        <is>
          <t>South</t>
        </is>
      </c>
      <c r="F2422" s="12" t="n">
        <v>46064</v>
      </c>
      <c r="G2422" s="12" t="n">
        <v>46084</v>
      </c>
      <c r="H2422" s="12" t="n">
        <v>46079</v>
      </c>
      <c r="I2422" s="12" t="n">
        <v>46077</v>
      </c>
      <c r="J2422" s="12" t="n">
        <v>46082</v>
      </c>
      <c r="K2422" s="2" t="n">
        <v>197</v>
      </c>
      <c r="L2422" s="2" t="inlineStr">
        <is>
          <t>Sea</t>
        </is>
      </c>
      <c r="M2422" s="2" t="inlineStr">
        <is>
          <t>No Delay</t>
        </is>
      </c>
      <c r="N2422" s="4">
        <f>IF(I2422&lt;=H2422,1,0)</f>
        <v/>
      </c>
      <c r="O2422" s="4">
        <f>IF(J2422&lt;=G2422,1,0)</f>
        <v/>
      </c>
      <c r="P2422" s="4">
        <f>MAX(0,I2422-H2422)</f>
        <v/>
      </c>
      <c r="Q2422" s="4">
        <f>MAX(0,J2422-G2422)</f>
        <v/>
      </c>
      <c r="R2422" s="4">
        <f>IF(AND(N2422=1,O2422=1),"On Track",IF(O2422=0,"Customer Delivery Late","Ship Late"))</f>
        <v/>
      </c>
    </row>
    <row r="2423">
      <c r="A2423" s="2" t="inlineStr">
        <is>
          <t>ORD-02422</t>
        </is>
      </c>
      <c r="B2423" s="2" t="inlineStr">
        <is>
          <t>Customer 18</t>
        </is>
      </c>
      <c r="C2423" s="2" t="inlineStr">
        <is>
          <t>Sensor</t>
        </is>
      </c>
      <c r="D2423" s="2" t="inlineStr">
        <is>
          <t>Plant C</t>
        </is>
      </c>
      <c r="E2423" s="2" t="inlineStr">
        <is>
          <t>Central</t>
        </is>
      </c>
      <c r="F2423" s="12" t="n">
        <v>46027</v>
      </c>
      <c r="G2423" s="12" t="n">
        <v>46032</v>
      </c>
      <c r="H2423" s="12" t="n">
        <v>46029</v>
      </c>
      <c r="I2423" s="12" t="n">
        <v>46027</v>
      </c>
      <c r="J2423" s="12" t="n">
        <v>46031</v>
      </c>
      <c r="K2423" s="2" t="n">
        <v>273</v>
      </c>
      <c r="L2423" s="2" t="inlineStr">
        <is>
          <t>Air</t>
        </is>
      </c>
      <c r="M2423" s="2" t="inlineStr">
        <is>
          <t>No Delay</t>
        </is>
      </c>
      <c r="N2423" s="4">
        <f>IF(I2423&lt;=H2423,1,0)</f>
        <v/>
      </c>
      <c r="O2423" s="4">
        <f>IF(J2423&lt;=G2423,1,0)</f>
        <v/>
      </c>
      <c r="P2423" s="4">
        <f>MAX(0,I2423-H2423)</f>
        <v/>
      </c>
      <c r="Q2423" s="4">
        <f>MAX(0,J2423-G2423)</f>
        <v/>
      </c>
      <c r="R2423" s="4">
        <f>IF(AND(N2423=1,O2423=1),"On Track",IF(O2423=0,"Customer Delivery Late","Ship Late"))</f>
        <v/>
      </c>
    </row>
    <row r="2424">
      <c r="A2424" s="2" t="inlineStr">
        <is>
          <t>ORD-02423</t>
        </is>
      </c>
      <c r="B2424" s="2" t="inlineStr">
        <is>
          <t>Customer 08</t>
        </is>
      </c>
      <c r="C2424" s="2" t="inlineStr">
        <is>
          <t>Drive</t>
        </is>
      </c>
      <c r="D2424" s="2" t="inlineStr">
        <is>
          <t>Plant A</t>
        </is>
      </c>
      <c r="E2424" s="2" t="inlineStr">
        <is>
          <t>Central</t>
        </is>
      </c>
      <c r="F2424" s="12" t="n">
        <v>46067</v>
      </c>
      <c r="G2424" s="12" t="n">
        <v>46078</v>
      </c>
      <c r="H2424" s="12" t="n">
        <v>46077</v>
      </c>
      <c r="I2424" s="12" t="n">
        <v>46076</v>
      </c>
      <c r="J2424" s="12" t="n">
        <v>46077</v>
      </c>
      <c r="K2424" s="2" t="n">
        <v>1349</v>
      </c>
      <c r="L2424" s="2" t="inlineStr">
        <is>
          <t>Sea</t>
        </is>
      </c>
      <c r="M2424" s="2" t="inlineStr">
        <is>
          <t>No Delay</t>
        </is>
      </c>
      <c r="N2424" s="4">
        <f>IF(I2424&lt;=H2424,1,0)</f>
        <v/>
      </c>
      <c r="O2424" s="4">
        <f>IF(J2424&lt;=G2424,1,0)</f>
        <v/>
      </c>
      <c r="P2424" s="4">
        <f>MAX(0,I2424-H2424)</f>
        <v/>
      </c>
      <c r="Q2424" s="4">
        <f>MAX(0,J2424-G2424)</f>
        <v/>
      </c>
      <c r="R2424" s="4">
        <f>IF(AND(N2424=1,O2424=1),"On Track",IF(O2424=0,"Customer Delivery Late","Ship Late"))</f>
        <v/>
      </c>
    </row>
    <row r="2425">
      <c r="A2425" s="2" t="inlineStr">
        <is>
          <t>ORD-02424</t>
        </is>
      </c>
      <c r="B2425" s="2" t="inlineStr">
        <is>
          <t>Customer 15</t>
        </is>
      </c>
      <c r="C2425" s="2" t="inlineStr">
        <is>
          <t>Drive</t>
        </is>
      </c>
      <c r="D2425" s="2" t="inlineStr">
        <is>
          <t>Plant A</t>
        </is>
      </c>
      <c r="E2425" s="2" t="inlineStr">
        <is>
          <t>North</t>
        </is>
      </c>
      <c r="F2425" s="12" t="n">
        <v>46082</v>
      </c>
      <c r="G2425" s="12" t="n">
        <v>46087</v>
      </c>
      <c r="H2425" s="12" t="n">
        <v>46085</v>
      </c>
      <c r="I2425" s="12" t="n">
        <v>46085</v>
      </c>
      <c r="J2425" s="12" t="n">
        <v>46087</v>
      </c>
      <c r="K2425" s="2" t="n">
        <v>900</v>
      </c>
      <c r="L2425" s="2" t="inlineStr">
        <is>
          <t>Sea</t>
        </is>
      </c>
      <c r="M2425" s="2" t="inlineStr">
        <is>
          <t>No Delay</t>
        </is>
      </c>
      <c r="N2425" s="4">
        <f>IF(I2425&lt;=H2425,1,0)</f>
        <v/>
      </c>
      <c r="O2425" s="4">
        <f>IF(J2425&lt;=G2425,1,0)</f>
        <v/>
      </c>
      <c r="P2425" s="4">
        <f>MAX(0,I2425-H2425)</f>
        <v/>
      </c>
      <c r="Q2425" s="4">
        <f>MAX(0,J2425-G2425)</f>
        <v/>
      </c>
      <c r="R2425" s="4">
        <f>IF(AND(N2425=1,O2425=1),"On Track",IF(O2425=0,"Customer Delivery Late","Ship Late"))</f>
        <v/>
      </c>
    </row>
    <row r="2426">
      <c r="A2426" s="2" t="inlineStr">
        <is>
          <t>ORD-02425</t>
        </is>
      </c>
      <c r="B2426" s="2" t="inlineStr">
        <is>
          <t>Customer 14</t>
        </is>
      </c>
      <c r="C2426" s="2" t="inlineStr">
        <is>
          <t>Power Supply</t>
        </is>
      </c>
      <c r="D2426" s="2" t="inlineStr">
        <is>
          <t>Plant C</t>
        </is>
      </c>
      <c r="E2426" s="2" t="inlineStr">
        <is>
          <t>Export</t>
        </is>
      </c>
      <c r="F2426" s="12" t="n">
        <v>46059</v>
      </c>
      <c r="G2426" s="12" t="n">
        <v>46081</v>
      </c>
      <c r="H2426" s="12" t="n">
        <v>46080</v>
      </c>
      <c r="I2426" s="12" t="n">
        <v>46078</v>
      </c>
      <c r="J2426" s="12" t="n">
        <v>46079</v>
      </c>
      <c r="K2426" s="2" t="n">
        <v>1153</v>
      </c>
      <c r="L2426" s="2" t="inlineStr">
        <is>
          <t>Air</t>
        </is>
      </c>
      <c r="M2426" s="2" t="inlineStr">
        <is>
          <t>No Delay</t>
        </is>
      </c>
      <c r="N2426" s="4">
        <f>IF(I2426&lt;=H2426,1,0)</f>
        <v/>
      </c>
      <c r="O2426" s="4">
        <f>IF(J2426&lt;=G2426,1,0)</f>
        <v/>
      </c>
      <c r="P2426" s="4">
        <f>MAX(0,I2426-H2426)</f>
        <v/>
      </c>
      <c r="Q2426" s="4">
        <f>MAX(0,J2426-G2426)</f>
        <v/>
      </c>
      <c r="R2426" s="4">
        <f>IF(AND(N2426=1,O2426=1),"On Track",IF(O2426=0,"Customer Delivery Late","Ship Late"))</f>
        <v/>
      </c>
    </row>
    <row r="2427">
      <c r="A2427" s="2" t="inlineStr">
        <is>
          <t>ORD-02426</t>
        </is>
      </c>
      <c r="B2427" s="2" t="inlineStr">
        <is>
          <t>Customer 09</t>
        </is>
      </c>
      <c r="C2427" s="2" t="inlineStr">
        <is>
          <t>Contactor</t>
        </is>
      </c>
      <c r="D2427" s="2" t="inlineStr">
        <is>
          <t>Plant A</t>
        </is>
      </c>
      <c r="E2427" s="2" t="inlineStr">
        <is>
          <t>Export</t>
        </is>
      </c>
      <c r="F2427" s="12" t="n">
        <v>46196</v>
      </c>
      <c r="G2427" s="12" t="n">
        <v>46210</v>
      </c>
      <c r="H2427" s="12" t="n">
        <v>46209</v>
      </c>
      <c r="I2427" s="12" t="n">
        <v>46207</v>
      </c>
      <c r="J2427" s="12" t="n">
        <v>46208</v>
      </c>
      <c r="K2427" s="2" t="n">
        <v>213</v>
      </c>
      <c r="L2427" s="2" t="inlineStr">
        <is>
          <t>Air</t>
        </is>
      </c>
      <c r="M2427" s="2" t="inlineStr">
        <is>
          <t>No Delay</t>
        </is>
      </c>
      <c r="N2427" s="4">
        <f>IF(I2427&lt;=H2427,1,0)</f>
        <v/>
      </c>
      <c r="O2427" s="4">
        <f>IF(J2427&lt;=G2427,1,0)</f>
        <v/>
      </c>
      <c r="P2427" s="4">
        <f>MAX(0,I2427-H2427)</f>
        <v/>
      </c>
      <c r="Q2427" s="4">
        <f>MAX(0,J2427-G2427)</f>
        <v/>
      </c>
      <c r="R2427" s="4">
        <f>IF(AND(N2427=1,O2427=1),"On Track",IF(O2427=0,"Customer Delivery Late","Ship Late"))</f>
        <v/>
      </c>
    </row>
    <row r="2428">
      <c r="A2428" s="2" t="inlineStr">
        <is>
          <t>ORD-02427</t>
        </is>
      </c>
      <c r="B2428" s="2" t="inlineStr">
        <is>
          <t>Customer 11</t>
        </is>
      </c>
      <c r="C2428" s="2" t="inlineStr">
        <is>
          <t>Breaker</t>
        </is>
      </c>
      <c r="D2428" s="2" t="inlineStr">
        <is>
          <t>Plant A</t>
        </is>
      </c>
      <c r="E2428" s="2" t="inlineStr">
        <is>
          <t>South</t>
        </is>
      </c>
      <c r="F2428" s="12" t="n">
        <v>46123</v>
      </c>
      <c r="G2428" s="12" t="n">
        <v>46136</v>
      </c>
      <c r="H2428" s="12" t="n">
        <v>46131</v>
      </c>
      <c r="I2428" s="12" t="n">
        <v>46129</v>
      </c>
      <c r="J2428" s="12" t="n">
        <v>46134</v>
      </c>
      <c r="K2428" s="2" t="n">
        <v>1353</v>
      </c>
      <c r="L2428" s="2" t="inlineStr">
        <is>
          <t>Road</t>
        </is>
      </c>
      <c r="M2428" s="2" t="inlineStr">
        <is>
          <t>No Delay</t>
        </is>
      </c>
      <c r="N2428" s="4">
        <f>IF(I2428&lt;=H2428,1,0)</f>
        <v/>
      </c>
      <c r="O2428" s="4">
        <f>IF(J2428&lt;=G2428,1,0)</f>
        <v/>
      </c>
      <c r="P2428" s="4">
        <f>MAX(0,I2428-H2428)</f>
        <v/>
      </c>
      <c r="Q2428" s="4">
        <f>MAX(0,J2428-G2428)</f>
        <v/>
      </c>
      <c r="R2428" s="4">
        <f>IF(AND(N2428=1,O2428=1),"On Track",IF(O2428=0,"Customer Delivery Late","Ship Late"))</f>
        <v/>
      </c>
    </row>
    <row r="2429">
      <c r="A2429" s="2" t="inlineStr">
        <is>
          <t>ORD-02428</t>
        </is>
      </c>
      <c r="B2429" s="2" t="inlineStr">
        <is>
          <t>Customer 04</t>
        </is>
      </c>
      <c r="C2429" s="2" t="inlineStr">
        <is>
          <t>Contactor</t>
        </is>
      </c>
      <c r="D2429" s="2" t="inlineStr">
        <is>
          <t>Plant B</t>
        </is>
      </c>
      <c r="E2429" s="2" t="inlineStr">
        <is>
          <t>North</t>
        </is>
      </c>
      <c r="F2429" s="12" t="n">
        <v>46148</v>
      </c>
      <c r="G2429" s="12" t="n">
        <v>46166</v>
      </c>
      <c r="H2429" s="12" t="n">
        <v>46163</v>
      </c>
      <c r="I2429" s="12" t="n">
        <v>46162</v>
      </c>
      <c r="J2429" s="12" t="n">
        <v>46168</v>
      </c>
      <c r="K2429" s="2" t="n">
        <v>660</v>
      </c>
      <c r="L2429" s="2" t="inlineStr">
        <is>
          <t>Road</t>
        </is>
      </c>
      <c r="M2429" s="2" t="inlineStr">
        <is>
          <t>Carrier Delay</t>
        </is>
      </c>
      <c r="N2429" s="4">
        <f>IF(I2429&lt;=H2429,1,0)</f>
        <v/>
      </c>
      <c r="O2429" s="4">
        <f>IF(J2429&lt;=G2429,1,0)</f>
        <v/>
      </c>
      <c r="P2429" s="4">
        <f>MAX(0,I2429-H2429)</f>
        <v/>
      </c>
      <c r="Q2429" s="4">
        <f>MAX(0,J2429-G2429)</f>
        <v/>
      </c>
      <c r="R2429" s="4">
        <f>IF(AND(N2429=1,O2429=1),"On Track",IF(O2429=0,"Customer Delivery Late","Ship Late"))</f>
        <v/>
      </c>
    </row>
    <row r="2430">
      <c r="A2430" s="2" t="inlineStr">
        <is>
          <t>ORD-02429</t>
        </is>
      </c>
      <c r="B2430" s="2" t="inlineStr">
        <is>
          <t>Customer 25</t>
        </is>
      </c>
      <c r="C2430" s="2" t="inlineStr">
        <is>
          <t>PLC</t>
        </is>
      </c>
      <c r="D2430" s="2" t="inlineStr">
        <is>
          <t>Plant A</t>
        </is>
      </c>
      <c r="E2430" s="2" t="inlineStr">
        <is>
          <t>South</t>
        </is>
      </c>
      <c r="F2430" s="12" t="n">
        <v>46190</v>
      </c>
      <c r="G2430" s="12" t="n">
        <v>46214</v>
      </c>
      <c r="H2430" s="12" t="n">
        <v>46210</v>
      </c>
      <c r="I2430" s="12" t="n">
        <v>46210</v>
      </c>
      <c r="J2430" s="12" t="n">
        <v>46213</v>
      </c>
      <c r="K2430" s="2" t="n">
        <v>342</v>
      </c>
      <c r="L2430" s="2" t="inlineStr">
        <is>
          <t>Sea</t>
        </is>
      </c>
      <c r="M2430" s="2" t="inlineStr">
        <is>
          <t>No Delay</t>
        </is>
      </c>
      <c r="N2430" s="4">
        <f>IF(I2430&lt;=H2430,1,0)</f>
        <v/>
      </c>
      <c r="O2430" s="4">
        <f>IF(J2430&lt;=G2430,1,0)</f>
        <v/>
      </c>
      <c r="P2430" s="4">
        <f>MAX(0,I2430-H2430)</f>
        <v/>
      </c>
      <c r="Q2430" s="4">
        <f>MAX(0,J2430-G2430)</f>
        <v/>
      </c>
      <c r="R2430" s="4">
        <f>IF(AND(N2430=1,O2430=1),"On Track",IF(O2430=0,"Customer Delivery Late","Ship Late"))</f>
        <v/>
      </c>
    </row>
    <row r="2431">
      <c r="A2431" s="2" t="inlineStr">
        <is>
          <t>ORD-02430</t>
        </is>
      </c>
      <c r="B2431" s="2" t="inlineStr">
        <is>
          <t>Customer 18</t>
        </is>
      </c>
      <c r="C2431" s="2" t="inlineStr">
        <is>
          <t>Breaker</t>
        </is>
      </c>
      <c r="D2431" s="2" t="inlineStr">
        <is>
          <t>Plant B</t>
        </is>
      </c>
      <c r="E2431" s="2" t="inlineStr">
        <is>
          <t>Central</t>
        </is>
      </c>
      <c r="F2431" s="12" t="n">
        <v>46107</v>
      </c>
      <c r="G2431" s="12" t="n">
        <v>46123</v>
      </c>
      <c r="H2431" s="12" t="n">
        <v>46121</v>
      </c>
      <c r="I2431" s="12" t="n">
        <v>46121</v>
      </c>
      <c r="J2431" s="12" t="n">
        <v>46123</v>
      </c>
      <c r="K2431" s="2" t="n">
        <v>943</v>
      </c>
      <c r="L2431" s="2" t="inlineStr">
        <is>
          <t>Sea</t>
        </is>
      </c>
      <c r="M2431" s="2" t="inlineStr">
        <is>
          <t>No Delay</t>
        </is>
      </c>
      <c r="N2431" s="4">
        <f>IF(I2431&lt;=H2431,1,0)</f>
        <v/>
      </c>
      <c r="O2431" s="4">
        <f>IF(J2431&lt;=G2431,1,0)</f>
        <v/>
      </c>
      <c r="P2431" s="4">
        <f>MAX(0,I2431-H2431)</f>
        <v/>
      </c>
      <c r="Q2431" s="4">
        <f>MAX(0,J2431-G2431)</f>
        <v/>
      </c>
      <c r="R2431" s="4">
        <f>IF(AND(N2431=1,O2431=1),"On Track",IF(O2431=0,"Customer Delivery Late","Ship Late"))</f>
        <v/>
      </c>
    </row>
    <row r="2432">
      <c r="A2432" s="2" t="inlineStr">
        <is>
          <t>ORD-02431</t>
        </is>
      </c>
      <c r="B2432" s="2" t="inlineStr">
        <is>
          <t>Customer 13</t>
        </is>
      </c>
      <c r="C2432" s="2" t="inlineStr">
        <is>
          <t>Relay</t>
        </is>
      </c>
      <c r="D2432" s="2" t="inlineStr">
        <is>
          <t>Plant B</t>
        </is>
      </c>
      <c r="E2432" s="2" t="inlineStr">
        <is>
          <t>Central</t>
        </is>
      </c>
      <c r="F2432" s="12" t="n">
        <v>46136</v>
      </c>
      <c r="G2432" s="12" t="n">
        <v>46161</v>
      </c>
      <c r="H2432" s="12" t="n">
        <v>46158</v>
      </c>
      <c r="I2432" s="12" t="n">
        <v>46157</v>
      </c>
      <c r="J2432" s="12" t="n">
        <v>46160</v>
      </c>
      <c r="K2432" s="2" t="n">
        <v>1230</v>
      </c>
      <c r="L2432" s="2" t="inlineStr">
        <is>
          <t>Air</t>
        </is>
      </c>
      <c r="M2432" s="2" t="inlineStr">
        <is>
          <t>No Delay</t>
        </is>
      </c>
      <c r="N2432" s="4">
        <f>IF(I2432&lt;=H2432,1,0)</f>
        <v/>
      </c>
      <c r="O2432" s="4">
        <f>IF(J2432&lt;=G2432,1,0)</f>
        <v/>
      </c>
      <c r="P2432" s="4">
        <f>MAX(0,I2432-H2432)</f>
        <v/>
      </c>
      <c r="Q2432" s="4">
        <f>MAX(0,J2432-G2432)</f>
        <v/>
      </c>
      <c r="R2432" s="4">
        <f>IF(AND(N2432=1,O2432=1),"On Track",IF(O2432=0,"Customer Delivery Late","Ship Late"))</f>
        <v/>
      </c>
    </row>
    <row r="2433">
      <c r="A2433" s="2" t="inlineStr">
        <is>
          <t>ORD-02432</t>
        </is>
      </c>
      <c r="B2433" s="2" t="inlineStr">
        <is>
          <t>Customer 22</t>
        </is>
      </c>
      <c r="C2433" s="2" t="inlineStr">
        <is>
          <t>Power Supply</t>
        </is>
      </c>
      <c r="D2433" s="2" t="inlineStr">
        <is>
          <t>Plant A</t>
        </is>
      </c>
      <c r="E2433" s="2" t="inlineStr">
        <is>
          <t>Export</t>
        </is>
      </c>
      <c r="F2433" s="12" t="n">
        <v>46034</v>
      </c>
      <c r="G2433" s="12" t="n">
        <v>46042</v>
      </c>
      <c r="H2433" s="12" t="n">
        <v>46041</v>
      </c>
      <c r="I2433" s="12" t="n">
        <v>46040</v>
      </c>
      <c r="J2433" s="12" t="n">
        <v>46041</v>
      </c>
      <c r="K2433" s="2" t="n">
        <v>922</v>
      </c>
      <c r="L2433" s="2" t="inlineStr">
        <is>
          <t>Sea</t>
        </is>
      </c>
      <c r="M2433" s="2" t="inlineStr">
        <is>
          <t>No Delay</t>
        </is>
      </c>
      <c r="N2433" s="4">
        <f>IF(I2433&lt;=H2433,1,0)</f>
        <v/>
      </c>
      <c r="O2433" s="4">
        <f>IF(J2433&lt;=G2433,1,0)</f>
        <v/>
      </c>
      <c r="P2433" s="4">
        <f>MAX(0,I2433-H2433)</f>
        <v/>
      </c>
      <c r="Q2433" s="4">
        <f>MAX(0,J2433-G2433)</f>
        <v/>
      </c>
      <c r="R2433" s="4">
        <f>IF(AND(N2433=1,O2433=1),"On Track",IF(O2433=0,"Customer Delivery Late","Ship Late"))</f>
        <v/>
      </c>
    </row>
    <row r="2434">
      <c r="A2434" s="2" t="inlineStr">
        <is>
          <t>ORD-02433</t>
        </is>
      </c>
      <c r="B2434" s="2" t="inlineStr">
        <is>
          <t>Customer 09</t>
        </is>
      </c>
      <c r="C2434" s="2" t="inlineStr">
        <is>
          <t>Breaker</t>
        </is>
      </c>
      <c r="D2434" s="2" t="inlineStr">
        <is>
          <t>Plant A</t>
        </is>
      </c>
      <c r="E2434" s="2" t="inlineStr">
        <is>
          <t>North</t>
        </is>
      </c>
      <c r="F2434" s="12" t="n">
        <v>46162</v>
      </c>
      <c r="G2434" s="12" t="n">
        <v>46184</v>
      </c>
      <c r="H2434" s="12" t="n">
        <v>46179</v>
      </c>
      <c r="I2434" s="12" t="n">
        <v>46177</v>
      </c>
      <c r="J2434" s="12" t="n">
        <v>46181</v>
      </c>
      <c r="K2434" s="2" t="n">
        <v>531</v>
      </c>
      <c r="L2434" s="2" t="inlineStr">
        <is>
          <t>Air</t>
        </is>
      </c>
      <c r="M2434" s="2" t="inlineStr">
        <is>
          <t>No Delay</t>
        </is>
      </c>
      <c r="N2434" s="4">
        <f>IF(I2434&lt;=H2434,1,0)</f>
        <v/>
      </c>
      <c r="O2434" s="4">
        <f>IF(J2434&lt;=G2434,1,0)</f>
        <v/>
      </c>
      <c r="P2434" s="4">
        <f>MAX(0,I2434-H2434)</f>
        <v/>
      </c>
      <c r="Q2434" s="4">
        <f>MAX(0,J2434-G2434)</f>
        <v/>
      </c>
      <c r="R2434" s="4">
        <f>IF(AND(N2434=1,O2434=1),"On Track",IF(O2434=0,"Customer Delivery Late","Ship Late"))</f>
        <v/>
      </c>
    </row>
    <row r="2435">
      <c r="A2435" s="2" t="inlineStr">
        <is>
          <t>ORD-02434</t>
        </is>
      </c>
      <c r="B2435" s="2" t="inlineStr">
        <is>
          <t>Customer 14</t>
        </is>
      </c>
      <c r="C2435" s="2" t="inlineStr">
        <is>
          <t>Contactor</t>
        </is>
      </c>
      <c r="D2435" s="2" t="inlineStr">
        <is>
          <t>Plant B</t>
        </is>
      </c>
      <c r="E2435" s="2" t="inlineStr">
        <is>
          <t>Central</t>
        </is>
      </c>
      <c r="F2435" s="12" t="n">
        <v>46159</v>
      </c>
      <c r="G2435" s="12" t="n">
        <v>46180</v>
      </c>
      <c r="H2435" s="12" t="n">
        <v>46179</v>
      </c>
      <c r="I2435" s="12" t="n">
        <v>46179</v>
      </c>
      <c r="J2435" s="12" t="n">
        <v>46180</v>
      </c>
      <c r="K2435" s="2" t="n">
        <v>374</v>
      </c>
      <c r="L2435" s="2" t="inlineStr">
        <is>
          <t>Sea</t>
        </is>
      </c>
      <c r="M2435" s="2" t="inlineStr">
        <is>
          <t>No Delay</t>
        </is>
      </c>
      <c r="N2435" s="4">
        <f>IF(I2435&lt;=H2435,1,0)</f>
        <v/>
      </c>
      <c r="O2435" s="4">
        <f>IF(J2435&lt;=G2435,1,0)</f>
        <v/>
      </c>
      <c r="P2435" s="4">
        <f>MAX(0,I2435-H2435)</f>
        <v/>
      </c>
      <c r="Q2435" s="4">
        <f>MAX(0,J2435-G2435)</f>
        <v/>
      </c>
      <c r="R2435" s="4">
        <f>IF(AND(N2435=1,O2435=1),"On Track",IF(O2435=0,"Customer Delivery Late","Ship Late"))</f>
        <v/>
      </c>
    </row>
    <row r="2436">
      <c r="A2436" s="2" t="inlineStr">
        <is>
          <t>ORD-02435</t>
        </is>
      </c>
      <c r="B2436" s="2" t="inlineStr">
        <is>
          <t>Customer 02</t>
        </is>
      </c>
      <c r="C2436" s="2" t="inlineStr">
        <is>
          <t>Drive</t>
        </is>
      </c>
      <c r="D2436" s="2" t="inlineStr">
        <is>
          <t>Plant C</t>
        </is>
      </c>
      <c r="E2436" s="2" t="inlineStr">
        <is>
          <t>South</t>
        </is>
      </c>
      <c r="F2436" s="12" t="n">
        <v>46079</v>
      </c>
      <c r="G2436" s="12" t="n">
        <v>46095</v>
      </c>
      <c r="H2436" s="12" t="n">
        <v>46092</v>
      </c>
      <c r="I2436" s="12" t="n">
        <v>46091</v>
      </c>
      <c r="J2436" s="12" t="n">
        <v>46095</v>
      </c>
      <c r="K2436" s="2" t="n">
        <v>1164</v>
      </c>
      <c r="L2436" s="2" t="inlineStr">
        <is>
          <t>Air</t>
        </is>
      </c>
      <c r="M2436" s="2" t="inlineStr">
        <is>
          <t>No Delay</t>
        </is>
      </c>
      <c r="N2436" s="4">
        <f>IF(I2436&lt;=H2436,1,0)</f>
        <v/>
      </c>
      <c r="O2436" s="4">
        <f>IF(J2436&lt;=G2436,1,0)</f>
        <v/>
      </c>
      <c r="P2436" s="4">
        <f>MAX(0,I2436-H2436)</f>
        <v/>
      </c>
      <c r="Q2436" s="4">
        <f>MAX(0,J2436-G2436)</f>
        <v/>
      </c>
      <c r="R2436" s="4">
        <f>IF(AND(N2436=1,O2436=1),"On Track",IF(O2436=0,"Customer Delivery Late","Ship Late"))</f>
        <v/>
      </c>
    </row>
    <row r="2437">
      <c r="A2437" s="2" t="inlineStr">
        <is>
          <t>ORD-02436</t>
        </is>
      </c>
      <c r="B2437" s="2" t="inlineStr">
        <is>
          <t>Customer 26</t>
        </is>
      </c>
      <c r="C2437" s="2" t="inlineStr">
        <is>
          <t>Switchgear</t>
        </is>
      </c>
      <c r="D2437" s="2" t="inlineStr">
        <is>
          <t>Plant C</t>
        </is>
      </c>
      <c r="E2437" s="2" t="inlineStr">
        <is>
          <t>Central</t>
        </is>
      </c>
      <c r="F2437" s="12" t="n">
        <v>46136</v>
      </c>
      <c r="G2437" s="12" t="n">
        <v>46151</v>
      </c>
      <c r="H2437" s="12" t="n">
        <v>46147</v>
      </c>
      <c r="I2437" s="12" t="n">
        <v>46147</v>
      </c>
      <c r="J2437" s="12" t="n">
        <v>46150</v>
      </c>
      <c r="K2437" s="2" t="n">
        <v>47</v>
      </c>
      <c r="L2437" s="2" t="inlineStr">
        <is>
          <t>Sea</t>
        </is>
      </c>
      <c r="M2437" s="2" t="inlineStr">
        <is>
          <t>No Delay</t>
        </is>
      </c>
      <c r="N2437" s="4">
        <f>IF(I2437&lt;=H2437,1,0)</f>
        <v/>
      </c>
      <c r="O2437" s="4">
        <f>IF(J2437&lt;=G2437,1,0)</f>
        <v/>
      </c>
      <c r="P2437" s="4">
        <f>MAX(0,I2437-H2437)</f>
        <v/>
      </c>
      <c r="Q2437" s="4">
        <f>MAX(0,J2437-G2437)</f>
        <v/>
      </c>
      <c r="R2437" s="4">
        <f>IF(AND(N2437=1,O2437=1),"On Track",IF(O2437=0,"Customer Delivery Late","Ship Late"))</f>
        <v/>
      </c>
    </row>
    <row r="2438">
      <c r="A2438" s="2" t="inlineStr">
        <is>
          <t>ORD-02437</t>
        </is>
      </c>
      <c r="B2438" s="2" t="inlineStr">
        <is>
          <t>Customer 28</t>
        </is>
      </c>
      <c r="C2438" s="2" t="inlineStr">
        <is>
          <t>Contactor</t>
        </is>
      </c>
      <c r="D2438" s="2" t="inlineStr">
        <is>
          <t>Plant A</t>
        </is>
      </c>
      <c r="E2438" s="2" t="inlineStr">
        <is>
          <t>Export</t>
        </is>
      </c>
      <c r="F2438" s="12" t="n">
        <v>46101</v>
      </c>
      <c r="G2438" s="12" t="n">
        <v>46116</v>
      </c>
      <c r="H2438" s="12" t="n">
        <v>46112</v>
      </c>
      <c r="I2438" s="12" t="n">
        <v>46110</v>
      </c>
      <c r="J2438" s="12" t="n">
        <v>46114</v>
      </c>
      <c r="K2438" s="2" t="n">
        <v>11</v>
      </c>
      <c r="L2438" s="2" t="inlineStr">
        <is>
          <t>Sea</t>
        </is>
      </c>
      <c r="M2438" s="2" t="inlineStr">
        <is>
          <t>No Delay</t>
        </is>
      </c>
      <c r="N2438" s="4">
        <f>IF(I2438&lt;=H2438,1,0)</f>
        <v/>
      </c>
      <c r="O2438" s="4">
        <f>IF(J2438&lt;=G2438,1,0)</f>
        <v/>
      </c>
      <c r="P2438" s="4">
        <f>MAX(0,I2438-H2438)</f>
        <v/>
      </c>
      <c r="Q2438" s="4">
        <f>MAX(0,J2438-G2438)</f>
        <v/>
      </c>
      <c r="R2438" s="4">
        <f>IF(AND(N2438=1,O2438=1),"On Track",IF(O2438=0,"Customer Delivery Late","Ship Late"))</f>
        <v/>
      </c>
    </row>
    <row r="2439">
      <c r="A2439" s="2" t="inlineStr">
        <is>
          <t>ORD-02438</t>
        </is>
      </c>
      <c r="B2439" s="2" t="inlineStr">
        <is>
          <t>Customer 06</t>
        </is>
      </c>
      <c r="C2439" s="2" t="inlineStr">
        <is>
          <t>Relay</t>
        </is>
      </c>
      <c r="D2439" s="2" t="inlineStr">
        <is>
          <t>Plant A</t>
        </is>
      </c>
      <c r="E2439" s="2" t="inlineStr">
        <is>
          <t>Central</t>
        </is>
      </c>
      <c r="F2439" s="12" t="n">
        <v>46168</v>
      </c>
      <c r="G2439" s="12" t="n">
        <v>46184</v>
      </c>
      <c r="H2439" s="12" t="n">
        <v>46179</v>
      </c>
      <c r="I2439" s="12" t="n">
        <v>46177</v>
      </c>
      <c r="J2439" s="12" t="n">
        <v>46182</v>
      </c>
      <c r="K2439" s="2" t="n">
        <v>422</v>
      </c>
      <c r="L2439" s="2" t="inlineStr">
        <is>
          <t>Air</t>
        </is>
      </c>
      <c r="M2439" s="2" t="inlineStr">
        <is>
          <t>No Delay</t>
        </is>
      </c>
      <c r="N2439" s="4">
        <f>IF(I2439&lt;=H2439,1,0)</f>
        <v/>
      </c>
      <c r="O2439" s="4">
        <f>IF(J2439&lt;=G2439,1,0)</f>
        <v/>
      </c>
      <c r="P2439" s="4">
        <f>MAX(0,I2439-H2439)</f>
        <v/>
      </c>
      <c r="Q2439" s="4">
        <f>MAX(0,J2439-G2439)</f>
        <v/>
      </c>
      <c r="R2439" s="4">
        <f>IF(AND(N2439=1,O2439=1),"On Track",IF(O2439=0,"Customer Delivery Late","Ship Late"))</f>
        <v/>
      </c>
    </row>
    <row r="2440">
      <c r="A2440" s="2" t="inlineStr">
        <is>
          <t>ORD-02439</t>
        </is>
      </c>
      <c r="B2440" s="2" t="inlineStr">
        <is>
          <t>Customer 22</t>
        </is>
      </c>
      <c r="C2440" s="2" t="inlineStr">
        <is>
          <t>Contactor</t>
        </is>
      </c>
      <c r="D2440" s="2" t="inlineStr">
        <is>
          <t>Plant A</t>
        </is>
      </c>
      <c r="E2440" s="2" t="inlineStr">
        <is>
          <t>Central</t>
        </is>
      </c>
      <c r="F2440" s="12" t="n">
        <v>46156</v>
      </c>
      <c r="G2440" s="12" t="n">
        <v>46180</v>
      </c>
      <c r="H2440" s="12" t="n">
        <v>46176</v>
      </c>
      <c r="I2440" s="12" t="n">
        <v>46176</v>
      </c>
      <c r="J2440" s="12" t="n">
        <v>46180</v>
      </c>
      <c r="K2440" s="2" t="n">
        <v>24</v>
      </c>
      <c r="L2440" s="2" t="inlineStr">
        <is>
          <t>Sea</t>
        </is>
      </c>
      <c r="M2440" s="2" t="inlineStr">
        <is>
          <t>No Delay</t>
        </is>
      </c>
      <c r="N2440" s="4">
        <f>IF(I2440&lt;=H2440,1,0)</f>
        <v/>
      </c>
      <c r="O2440" s="4">
        <f>IF(J2440&lt;=G2440,1,0)</f>
        <v/>
      </c>
      <c r="P2440" s="4">
        <f>MAX(0,I2440-H2440)</f>
        <v/>
      </c>
      <c r="Q2440" s="4">
        <f>MAX(0,J2440-G2440)</f>
        <v/>
      </c>
      <c r="R2440" s="4">
        <f>IF(AND(N2440=1,O2440=1),"On Track",IF(O2440=0,"Customer Delivery Late","Ship Late"))</f>
        <v/>
      </c>
    </row>
    <row r="2441">
      <c r="A2441" s="2" t="inlineStr">
        <is>
          <t>ORD-02440</t>
        </is>
      </c>
      <c r="B2441" s="2" t="inlineStr">
        <is>
          <t>Customer 19</t>
        </is>
      </c>
      <c r="C2441" s="2" t="inlineStr">
        <is>
          <t>Switchgear</t>
        </is>
      </c>
      <c r="D2441" s="2" t="inlineStr">
        <is>
          <t>Plant C</t>
        </is>
      </c>
      <c r="E2441" s="2" t="inlineStr">
        <is>
          <t>Central</t>
        </is>
      </c>
      <c r="F2441" s="12" t="n">
        <v>46149</v>
      </c>
      <c r="G2441" s="12" t="n">
        <v>46162</v>
      </c>
      <c r="H2441" s="12" t="n">
        <v>46158</v>
      </c>
      <c r="I2441" s="12" t="n">
        <v>46158</v>
      </c>
      <c r="J2441" s="12" t="n">
        <v>46162</v>
      </c>
      <c r="K2441" s="2" t="n">
        <v>965</v>
      </c>
      <c r="L2441" s="2" t="inlineStr">
        <is>
          <t>Road</t>
        </is>
      </c>
      <c r="M2441" s="2" t="inlineStr">
        <is>
          <t>No Delay</t>
        </is>
      </c>
      <c r="N2441" s="4">
        <f>IF(I2441&lt;=H2441,1,0)</f>
        <v/>
      </c>
      <c r="O2441" s="4">
        <f>IF(J2441&lt;=G2441,1,0)</f>
        <v/>
      </c>
      <c r="P2441" s="4">
        <f>MAX(0,I2441-H2441)</f>
        <v/>
      </c>
      <c r="Q2441" s="4">
        <f>MAX(0,J2441-G2441)</f>
        <v/>
      </c>
      <c r="R2441" s="4">
        <f>IF(AND(N2441=1,O2441=1),"On Track",IF(O2441=0,"Customer Delivery Late","Ship Late"))</f>
        <v/>
      </c>
    </row>
    <row r="2442">
      <c r="A2442" s="2" t="inlineStr">
        <is>
          <t>ORD-02441</t>
        </is>
      </c>
      <c r="B2442" s="2" t="inlineStr">
        <is>
          <t>Customer 24</t>
        </is>
      </c>
      <c r="C2442" s="2" t="inlineStr">
        <is>
          <t>Drive</t>
        </is>
      </c>
      <c r="D2442" s="2" t="inlineStr">
        <is>
          <t>Plant A</t>
        </is>
      </c>
      <c r="E2442" s="2" t="inlineStr">
        <is>
          <t>South</t>
        </is>
      </c>
      <c r="F2442" s="12" t="n">
        <v>46185</v>
      </c>
      <c r="G2442" s="12" t="n">
        <v>46200</v>
      </c>
      <c r="H2442" s="12" t="n">
        <v>46196</v>
      </c>
      <c r="I2442" s="12" t="n">
        <v>46194</v>
      </c>
      <c r="J2442" s="12" t="n">
        <v>46199</v>
      </c>
      <c r="K2442" s="2" t="n">
        <v>1326</v>
      </c>
      <c r="L2442" s="2" t="inlineStr">
        <is>
          <t>Sea</t>
        </is>
      </c>
      <c r="M2442" s="2" t="inlineStr">
        <is>
          <t>No Delay</t>
        </is>
      </c>
      <c r="N2442" s="4">
        <f>IF(I2442&lt;=H2442,1,0)</f>
        <v/>
      </c>
      <c r="O2442" s="4">
        <f>IF(J2442&lt;=G2442,1,0)</f>
        <v/>
      </c>
      <c r="P2442" s="4">
        <f>MAX(0,I2442-H2442)</f>
        <v/>
      </c>
      <c r="Q2442" s="4">
        <f>MAX(0,J2442-G2442)</f>
        <v/>
      </c>
      <c r="R2442" s="4">
        <f>IF(AND(N2442=1,O2442=1),"On Track",IF(O2442=0,"Customer Delivery Late","Ship Late"))</f>
        <v/>
      </c>
    </row>
    <row r="2443">
      <c r="A2443" s="2" t="inlineStr">
        <is>
          <t>ORD-02442</t>
        </is>
      </c>
      <c r="B2443" s="2" t="inlineStr">
        <is>
          <t>Customer 15</t>
        </is>
      </c>
      <c r="C2443" s="2" t="inlineStr">
        <is>
          <t>Power Supply</t>
        </is>
      </c>
      <c r="D2443" s="2" t="inlineStr">
        <is>
          <t>Plant C</t>
        </is>
      </c>
      <c r="E2443" s="2" t="inlineStr">
        <is>
          <t>Central</t>
        </is>
      </c>
      <c r="F2443" s="12" t="n">
        <v>46180</v>
      </c>
      <c r="G2443" s="12" t="n">
        <v>46201</v>
      </c>
      <c r="H2443" s="12" t="n">
        <v>46197</v>
      </c>
      <c r="I2443" s="12" t="n">
        <v>46195</v>
      </c>
      <c r="J2443" s="12" t="n">
        <v>46199</v>
      </c>
      <c r="K2443" s="2" t="n">
        <v>114</v>
      </c>
      <c r="L2443" s="2" t="inlineStr">
        <is>
          <t>Sea</t>
        </is>
      </c>
      <c r="M2443" s="2" t="inlineStr">
        <is>
          <t>No Delay</t>
        </is>
      </c>
      <c r="N2443" s="4">
        <f>IF(I2443&lt;=H2443,1,0)</f>
        <v/>
      </c>
      <c r="O2443" s="4">
        <f>IF(J2443&lt;=G2443,1,0)</f>
        <v/>
      </c>
      <c r="P2443" s="4">
        <f>MAX(0,I2443-H2443)</f>
        <v/>
      </c>
      <c r="Q2443" s="4">
        <f>MAX(0,J2443-G2443)</f>
        <v/>
      </c>
      <c r="R2443" s="4">
        <f>IF(AND(N2443=1,O2443=1),"On Track",IF(O2443=0,"Customer Delivery Late","Ship Late"))</f>
        <v/>
      </c>
    </row>
    <row r="2444">
      <c r="A2444" s="2" t="inlineStr">
        <is>
          <t>ORD-02443</t>
        </is>
      </c>
      <c r="B2444" s="2" t="inlineStr">
        <is>
          <t>Customer 20</t>
        </is>
      </c>
      <c r="C2444" s="2" t="inlineStr">
        <is>
          <t>Sensor</t>
        </is>
      </c>
      <c r="D2444" s="2" t="inlineStr">
        <is>
          <t>Plant B</t>
        </is>
      </c>
      <c r="E2444" s="2" t="inlineStr">
        <is>
          <t>South</t>
        </is>
      </c>
      <c r="F2444" s="12" t="n">
        <v>46168</v>
      </c>
      <c r="G2444" s="12" t="n">
        <v>46173</v>
      </c>
      <c r="H2444" s="12" t="n">
        <v>46172</v>
      </c>
      <c r="I2444" s="12" t="n">
        <v>46171</v>
      </c>
      <c r="J2444" s="12" t="n">
        <v>46173</v>
      </c>
      <c r="K2444" s="2" t="n">
        <v>957</v>
      </c>
      <c r="L2444" s="2" t="inlineStr">
        <is>
          <t>Sea</t>
        </is>
      </c>
      <c r="M2444" s="2" t="inlineStr">
        <is>
          <t>No Delay</t>
        </is>
      </c>
      <c r="N2444" s="4">
        <f>IF(I2444&lt;=H2444,1,0)</f>
        <v/>
      </c>
      <c r="O2444" s="4">
        <f>IF(J2444&lt;=G2444,1,0)</f>
        <v/>
      </c>
      <c r="P2444" s="4">
        <f>MAX(0,I2444-H2444)</f>
        <v/>
      </c>
      <c r="Q2444" s="4">
        <f>MAX(0,J2444-G2444)</f>
        <v/>
      </c>
      <c r="R2444" s="4">
        <f>IF(AND(N2444=1,O2444=1),"On Track",IF(O2444=0,"Customer Delivery Late","Ship Late"))</f>
        <v/>
      </c>
    </row>
    <row r="2445">
      <c r="A2445" s="2" t="inlineStr">
        <is>
          <t>ORD-02444</t>
        </is>
      </c>
      <c r="B2445" s="2" t="inlineStr">
        <is>
          <t>Customer 27</t>
        </is>
      </c>
      <c r="C2445" s="2" t="inlineStr">
        <is>
          <t>Relay</t>
        </is>
      </c>
      <c r="D2445" s="2" t="inlineStr">
        <is>
          <t>Plant C</t>
        </is>
      </c>
      <c r="E2445" s="2" t="inlineStr">
        <is>
          <t>Export</t>
        </is>
      </c>
      <c r="F2445" s="12" t="n">
        <v>46187</v>
      </c>
      <c r="G2445" s="12" t="n">
        <v>46200</v>
      </c>
      <c r="H2445" s="12" t="n">
        <v>46197</v>
      </c>
      <c r="I2445" s="12" t="n">
        <v>46195</v>
      </c>
      <c r="J2445" s="12" t="n">
        <v>46198</v>
      </c>
      <c r="K2445" s="2" t="n">
        <v>287</v>
      </c>
      <c r="L2445" s="2" t="inlineStr">
        <is>
          <t>Air</t>
        </is>
      </c>
      <c r="M2445" s="2" t="inlineStr">
        <is>
          <t>No Delay</t>
        </is>
      </c>
      <c r="N2445" s="4">
        <f>IF(I2445&lt;=H2445,1,0)</f>
        <v/>
      </c>
      <c r="O2445" s="4">
        <f>IF(J2445&lt;=G2445,1,0)</f>
        <v/>
      </c>
      <c r="P2445" s="4">
        <f>MAX(0,I2445-H2445)</f>
        <v/>
      </c>
      <c r="Q2445" s="4">
        <f>MAX(0,J2445-G2445)</f>
        <v/>
      </c>
      <c r="R2445" s="4">
        <f>IF(AND(N2445=1,O2445=1),"On Track",IF(O2445=0,"Customer Delivery Late","Ship Late"))</f>
        <v/>
      </c>
    </row>
    <row r="2446">
      <c r="A2446" s="2" t="inlineStr">
        <is>
          <t>ORD-02445</t>
        </is>
      </c>
      <c r="B2446" s="2" t="inlineStr">
        <is>
          <t>Customer 04</t>
        </is>
      </c>
      <c r="C2446" s="2" t="inlineStr">
        <is>
          <t>Power Supply</t>
        </is>
      </c>
      <c r="D2446" s="2" t="inlineStr">
        <is>
          <t>Plant A</t>
        </is>
      </c>
      <c r="E2446" s="2" t="inlineStr">
        <is>
          <t>South</t>
        </is>
      </c>
      <c r="F2446" s="12" t="n">
        <v>46186</v>
      </c>
      <c r="G2446" s="12" t="n">
        <v>46201</v>
      </c>
      <c r="H2446" s="12" t="n">
        <v>46198</v>
      </c>
      <c r="I2446" s="12" t="n">
        <v>46197</v>
      </c>
      <c r="J2446" s="12" t="n">
        <v>46200</v>
      </c>
      <c r="K2446" s="2" t="n">
        <v>520</v>
      </c>
      <c r="L2446" s="2" t="inlineStr">
        <is>
          <t>Air</t>
        </is>
      </c>
      <c r="M2446" s="2" t="inlineStr">
        <is>
          <t>No Delay</t>
        </is>
      </c>
      <c r="N2446" s="4">
        <f>IF(I2446&lt;=H2446,1,0)</f>
        <v/>
      </c>
      <c r="O2446" s="4">
        <f>IF(J2446&lt;=G2446,1,0)</f>
        <v/>
      </c>
      <c r="P2446" s="4">
        <f>MAX(0,I2446-H2446)</f>
        <v/>
      </c>
      <c r="Q2446" s="4">
        <f>MAX(0,J2446-G2446)</f>
        <v/>
      </c>
      <c r="R2446" s="4">
        <f>IF(AND(N2446=1,O2446=1),"On Track",IF(O2446=0,"Customer Delivery Late","Ship Late"))</f>
        <v/>
      </c>
    </row>
    <row r="2447">
      <c r="A2447" s="2" t="inlineStr">
        <is>
          <t>ORD-02446</t>
        </is>
      </c>
      <c r="B2447" s="2" t="inlineStr">
        <is>
          <t>Customer 26</t>
        </is>
      </c>
      <c r="C2447" s="2" t="inlineStr">
        <is>
          <t>Power Supply</t>
        </is>
      </c>
      <c r="D2447" s="2" t="inlineStr">
        <is>
          <t>Plant B</t>
        </is>
      </c>
      <c r="E2447" s="2" t="inlineStr">
        <is>
          <t>South</t>
        </is>
      </c>
      <c r="F2447" s="12" t="n">
        <v>46171</v>
      </c>
      <c r="G2447" s="12" t="n">
        <v>46196</v>
      </c>
      <c r="H2447" s="12" t="n">
        <v>46191</v>
      </c>
      <c r="I2447" s="12" t="n">
        <v>46191</v>
      </c>
      <c r="J2447" s="12" t="n">
        <v>46197</v>
      </c>
      <c r="K2447" s="2" t="n">
        <v>932</v>
      </c>
      <c r="L2447" s="2" t="inlineStr">
        <is>
          <t>Sea</t>
        </is>
      </c>
      <c r="M2447" s="2" t="inlineStr">
        <is>
          <t>Documentation Issue</t>
        </is>
      </c>
      <c r="N2447" s="4">
        <f>IF(I2447&lt;=H2447,1,0)</f>
        <v/>
      </c>
      <c r="O2447" s="4">
        <f>IF(J2447&lt;=G2447,1,0)</f>
        <v/>
      </c>
      <c r="P2447" s="4">
        <f>MAX(0,I2447-H2447)</f>
        <v/>
      </c>
      <c r="Q2447" s="4">
        <f>MAX(0,J2447-G2447)</f>
        <v/>
      </c>
      <c r="R2447" s="4">
        <f>IF(AND(N2447=1,O2447=1),"On Track",IF(O2447=0,"Customer Delivery Late","Ship Late"))</f>
        <v/>
      </c>
    </row>
    <row r="2448">
      <c r="A2448" s="2" t="inlineStr">
        <is>
          <t>ORD-02447</t>
        </is>
      </c>
      <c r="B2448" s="2" t="inlineStr">
        <is>
          <t>Customer 10</t>
        </is>
      </c>
      <c r="C2448" s="2" t="inlineStr">
        <is>
          <t>PLC</t>
        </is>
      </c>
      <c r="D2448" s="2" t="inlineStr">
        <is>
          <t>Plant B</t>
        </is>
      </c>
      <c r="E2448" s="2" t="inlineStr">
        <is>
          <t>North</t>
        </is>
      </c>
      <c r="F2448" s="12" t="n">
        <v>46080</v>
      </c>
      <c r="G2448" s="12" t="n">
        <v>46100</v>
      </c>
      <c r="H2448" s="12" t="n">
        <v>46097</v>
      </c>
      <c r="I2448" s="12" t="n">
        <v>46097</v>
      </c>
      <c r="J2448" s="12" t="n">
        <v>46100</v>
      </c>
      <c r="K2448" s="2" t="n">
        <v>1011</v>
      </c>
      <c r="L2448" s="2" t="inlineStr">
        <is>
          <t>Sea</t>
        </is>
      </c>
      <c r="M2448" s="2" t="inlineStr">
        <is>
          <t>No Delay</t>
        </is>
      </c>
      <c r="N2448" s="4">
        <f>IF(I2448&lt;=H2448,1,0)</f>
        <v/>
      </c>
      <c r="O2448" s="4">
        <f>IF(J2448&lt;=G2448,1,0)</f>
        <v/>
      </c>
      <c r="P2448" s="4">
        <f>MAX(0,I2448-H2448)</f>
        <v/>
      </c>
      <c r="Q2448" s="4">
        <f>MAX(0,J2448-G2448)</f>
        <v/>
      </c>
      <c r="R2448" s="4">
        <f>IF(AND(N2448=1,O2448=1),"On Track",IF(O2448=0,"Customer Delivery Late","Ship Late"))</f>
        <v/>
      </c>
    </row>
    <row r="2449">
      <c r="A2449" s="2" t="inlineStr">
        <is>
          <t>ORD-02448</t>
        </is>
      </c>
      <c r="B2449" s="2" t="inlineStr">
        <is>
          <t>Customer 04</t>
        </is>
      </c>
      <c r="C2449" s="2" t="inlineStr">
        <is>
          <t>PLC</t>
        </is>
      </c>
      <c r="D2449" s="2" t="inlineStr">
        <is>
          <t>Plant B</t>
        </is>
      </c>
      <c r="E2449" s="2" t="inlineStr">
        <is>
          <t>North</t>
        </is>
      </c>
      <c r="F2449" s="12" t="n">
        <v>46076</v>
      </c>
      <c r="G2449" s="12" t="n">
        <v>46082</v>
      </c>
      <c r="H2449" s="12" t="n">
        <v>46078</v>
      </c>
      <c r="I2449" s="12" t="n">
        <v>46076</v>
      </c>
      <c r="J2449" s="12" t="n">
        <v>46080</v>
      </c>
      <c r="K2449" s="2" t="n">
        <v>1324</v>
      </c>
      <c r="L2449" s="2" t="inlineStr">
        <is>
          <t>Sea</t>
        </is>
      </c>
      <c r="M2449" s="2" t="inlineStr">
        <is>
          <t>No Delay</t>
        </is>
      </c>
      <c r="N2449" s="4">
        <f>IF(I2449&lt;=H2449,1,0)</f>
        <v/>
      </c>
      <c r="O2449" s="4">
        <f>IF(J2449&lt;=G2449,1,0)</f>
        <v/>
      </c>
      <c r="P2449" s="4">
        <f>MAX(0,I2449-H2449)</f>
        <v/>
      </c>
      <c r="Q2449" s="4">
        <f>MAX(0,J2449-G2449)</f>
        <v/>
      </c>
      <c r="R2449" s="4">
        <f>IF(AND(N2449=1,O2449=1),"On Track",IF(O2449=0,"Customer Delivery Late","Ship Late"))</f>
        <v/>
      </c>
    </row>
    <row r="2450">
      <c r="A2450" s="2" t="inlineStr">
        <is>
          <t>ORD-02449</t>
        </is>
      </c>
      <c r="B2450" s="2" t="inlineStr">
        <is>
          <t>Customer 23</t>
        </is>
      </c>
      <c r="C2450" s="2" t="inlineStr">
        <is>
          <t>Drive</t>
        </is>
      </c>
      <c r="D2450" s="2" t="inlineStr">
        <is>
          <t>Plant B</t>
        </is>
      </c>
      <c r="E2450" s="2" t="inlineStr">
        <is>
          <t>North</t>
        </is>
      </c>
      <c r="F2450" s="12" t="n">
        <v>46023</v>
      </c>
      <c r="G2450" s="12" t="n">
        <v>46043</v>
      </c>
      <c r="H2450" s="12" t="n">
        <v>46038</v>
      </c>
      <c r="I2450" s="12" t="n">
        <v>46037</v>
      </c>
      <c r="J2450" s="12" t="n">
        <v>46042</v>
      </c>
      <c r="K2450" s="2" t="n">
        <v>493</v>
      </c>
      <c r="L2450" s="2" t="inlineStr">
        <is>
          <t>Road</t>
        </is>
      </c>
      <c r="M2450" s="2" t="inlineStr">
        <is>
          <t>No Delay</t>
        </is>
      </c>
      <c r="N2450" s="4">
        <f>IF(I2450&lt;=H2450,1,0)</f>
        <v/>
      </c>
      <c r="O2450" s="4">
        <f>IF(J2450&lt;=G2450,1,0)</f>
        <v/>
      </c>
      <c r="P2450" s="4">
        <f>MAX(0,I2450-H2450)</f>
        <v/>
      </c>
      <c r="Q2450" s="4">
        <f>MAX(0,J2450-G2450)</f>
        <v/>
      </c>
      <c r="R2450" s="4">
        <f>IF(AND(N2450=1,O2450=1),"On Track",IF(O2450=0,"Customer Delivery Late","Ship Late"))</f>
        <v/>
      </c>
    </row>
    <row r="2451">
      <c r="A2451" s="2" t="inlineStr">
        <is>
          <t>ORD-02450</t>
        </is>
      </c>
      <c r="B2451" s="2" t="inlineStr">
        <is>
          <t>Customer 08</t>
        </is>
      </c>
      <c r="C2451" s="2" t="inlineStr">
        <is>
          <t>Contactor</t>
        </is>
      </c>
      <c r="D2451" s="2" t="inlineStr">
        <is>
          <t>Plant A</t>
        </is>
      </c>
      <c r="E2451" s="2" t="inlineStr">
        <is>
          <t>Export</t>
        </is>
      </c>
      <c r="F2451" s="12" t="n">
        <v>46127</v>
      </c>
      <c r="G2451" s="12" t="n">
        <v>46150</v>
      </c>
      <c r="H2451" s="12" t="n">
        <v>46145</v>
      </c>
      <c r="I2451" s="12" t="n">
        <v>46143</v>
      </c>
      <c r="J2451" s="12" t="n">
        <v>46147</v>
      </c>
      <c r="K2451" s="2" t="n">
        <v>655</v>
      </c>
      <c r="L2451" s="2" t="inlineStr">
        <is>
          <t>Road</t>
        </is>
      </c>
      <c r="M2451" s="2" t="inlineStr">
        <is>
          <t>No Delay</t>
        </is>
      </c>
      <c r="N2451" s="4">
        <f>IF(I2451&lt;=H2451,1,0)</f>
        <v/>
      </c>
      <c r="O2451" s="4">
        <f>IF(J2451&lt;=G2451,1,0)</f>
        <v/>
      </c>
      <c r="P2451" s="4">
        <f>MAX(0,I2451-H2451)</f>
        <v/>
      </c>
      <c r="Q2451" s="4">
        <f>MAX(0,J2451-G2451)</f>
        <v/>
      </c>
      <c r="R2451" s="4">
        <f>IF(AND(N2451=1,O2451=1),"On Track",IF(O2451=0,"Customer Delivery Late","Ship Late"))</f>
        <v/>
      </c>
    </row>
    <row r="2452">
      <c r="A2452" s="2" t="inlineStr">
        <is>
          <t>ORD-02451</t>
        </is>
      </c>
      <c r="B2452" s="2" t="inlineStr">
        <is>
          <t>Customer 15</t>
        </is>
      </c>
      <c r="C2452" s="2" t="inlineStr">
        <is>
          <t>Relay</t>
        </is>
      </c>
      <c r="D2452" s="2" t="inlineStr">
        <is>
          <t>Plant B</t>
        </is>
      </c>
      <c r="E2452" s="2" t="inlineStr">
        <is>
          <t>North</t>
        </is>
      </c>
      <c r="F2452" s="12" t="n">
        <v>46063</v>
      </c>
      <c r="G2452" s="12" t="n">
        <v>46082</v>
      </c>
      <c r="H2452" s="12" t="n">
        <v>46080</v>
      </c>
      <c r="I2452" s="12" t="n">
        <v>46080</v>
      </c>
      <c r="J2452" s="12" t="n">
        <v>46081</v>
      </c>
      <c r="K2452" s="2" t="n">
        <v>395</v>
      </c>
      <c r="L2452" s="2" t="inlineStr">
        <is>
          <t>Road</t>
        </is>
      </c>
      <c r="M2452" s="2" t="inlineStr">
        <is>
          <t>No Delay</t>
        </is>
      </c>
      <c r="N2452" s="4">
        <f>IF(I2452&lt;=H2452,1,0)</f>
        <v/>
      </c>
      <c r="O2452" s="4">
        <f>IF(J2452&lt;=G2452,1,0)</f>
        <v/>
      </c>
      <c r="P2452" s="4">
        <f>MAX(0,I2452-H2452)</f>
        <v/>
      </c>
      <c r="Q2452" s="4">
        <f>MAX(0,J2452-G2452)</f>
        <v/>
      </c>
      <c r="R2452" s="4">
        <f>IF(AND(N2452=1,O2452=1),"On Track",IF(O2452=0,"Customer Delivery Late","Ship Late"))</f>
        <v/>
      </c>
    </row>
    <row r="2453">
      <c r="A2453" s="2" t="inlineStr">
        <is>
          <t>ORD-02452</t>
        </is>
      </c>
      <c r="B2453" s="2" t="inlineStr">
        <is>
          <t>Customer 11</t>
        </is>
      </c>
      <c r="C2453" s="2" t="inlineStr">
        <is>
          <t>Breaker</t>
        </is>
      </c>
      <c r="D2453" s="2" t="inlineStr">
        <is>
          <t>Plant C</t>
        </is>
      </c>
      <c r="E2453" s="2" t="inlineStr">
        <is>
          <t>Central</t>
        </is>
      </c>
      <c r="F2453" s="12" t="n">
        <v>46055</v>
      </c>
      <c r="G2453" s="12" t="n">
        <v>46067</v>
      </c>
      <c r="H2453" s="12" t="n">
        <v>46064</v>
      </c>
      <c r="I2453" s="12" t="n">
        <v>46062</v>
      </c>
      <c r="J2453" s="12" t="n">
        <v>46065</v>
      </c>
      <c r="K2453" s="2" t="n">
        <v>1464</v>
      </c>
      <c r="L2453" s="2" t="inlineStr">
        <is>
          <t>Air</t>
        </is>
      </c>
      <c r="M2453" s="2" t="inlineStr">
        <is>
          <t>No Delay</t>
        </is>
      </c>
      <c r="N2453" s="4">
        <f>IF(I2453&lt;=H2453,1,0)</f>
        <v/>
      </c>
      <c r="O2453" s="4">
        <f>IF(J2453&lt;=G2453,1,0)</f>
        <v/>
      </c>
      <c r="P2453" s="4">
        <f>MAX(0,I2453-H2453)</f>
        <v/>
      </c>
      <c r="Q2453" s="4">
        <f>MAX(0,J2453-G2453)</f>
        <v/>
      </c>
      <c r="R2453" s="4">
        <f>IF(AND(N2453=1,O2453=1),"On Track",IF(O2453=0,"Customer Delivery Late","Ship Late"))</f>
        <v/>
      </c>
    </row>
    <row r="2454">
      <c r="A2454" s="2" t="inlineStr">
        <is>
          <t>ORD-02453</t>
        </is>
      </c>
      <c r="B2454" s="2" t="inlineStr">
        <is>
          <t>Customer 04</t>
        </is>
      </c>
      <c r="C2454" s="2" t="inlineStr">
        <is>
          <t>Switchgear</t>
        </is>
      </c>
      <c r="D2454" s="2" t="inlineStr">
        <is>
          <t>Plant B</t>
        </is>
      </c>
      <c r="E2454" s="2" t="inlineStr">
        <is>
          <t>North</t>
        </is>
      </c>
      <c r="F2454" s="12" t="n">
        <v>46103</v>
      </c>
      <c r="G2454" s="12" t="n">
        <v>46119</v>
      </c>
      <c r="H2454" s="12" t="n">
        <v>46116</v>
      </c>
      <c r="I2454" s="12" t="n">
        <v>46114</v>
      </c>
      <c r="J2454" s="12" t="n">
        <v>46116</v>
      </c>
      <c r="K2454" s="2" t="n">
        <v>408</v>
      </c>
      <c r="L2454" s="2" t="inlineStr">
        <is>
          <t>Air</t>
        </is>
      </c>
      <c r="M2454" s="2" t="inlineStr">
        <is>
          <t>No Delay</t>
        </is>
      </c>
      <c r="N2454" s="4">
        <f>IF(I2454&lt;=H2454,1,0)</f>
        <v/>
      </c>
      <c r="O2454" s="4">
        <f>IF(J2454&lt;=G2454,1,0)</f>
        <v/>
      </c>
      <c r="P2454" s="4">
        <f>MAX(0,I2454-H2454)</f>
        <v/>
      </c>
      <c r="Q2454" s="4">
        <f>MAX(0,J2454-G2454)</f>
        <v/>
      </c>
      <c r="R2454" s="4">
        <f>IF(AND(N2454=1,O2454=1),"On Track",IF(O2454=0,"Customer Delivery Late","Ship Late"))</f>
        <v/>
      </c>
    </row>
    <row r="2455">
      <c r="A2455" s="2" t="inlineStr">
        <is>
          <t>ORD-02454</t>
        </is>
      </c>
      <c r="B2455" s="2" t="inlineStr">
        <is>
          <t>Customer 04</t>
        </is>
      </c>
      <c r="C2455" s="2" t="inlineStr">
        <is>
          <t>PLC</t>
        </is>
      </c>
      <c r="D2455" s="2" t="inlineStr">
        <is>
          <t>Plant C</t>
        </is>
      </c>
      <c r="E2455" s="2" t="inlineStr">
        <is>
          <t>North</t>
        </is>
      </c>
      <c r="F2455" s="12" t="n">
        <v>46102</v>
      </c>
      <c r="G2455" s="12" t="n">
        <v>46115</v>
      </c>
      <c r="H2455" s="12" t="n">
        <v>46112</v>
      </c>
      <c r="I2455" s="12" t="n">
        <v>46111</v>
      </c>
      <c r="J2455" s="12" t="n">
        <v>46113</v>
      </c>
      <c r="K2455" s="2" t="n">
        <v>1310</v>
      </c>
      <c r="L2455" s="2" t="inlineStr">
        <is>
          <t>Road</t>
        </is>
      </c>
      <c r="M2455" s="2" t="inlineStr">
        <is>
          <t>No Delay</t>
        </is>
      </c>
      <c r="N2455" s="4">
        <f>IF(I2455&lt;=H2455,1,0)</f>
        <v/>
      </c>
      <c r="O2455" s="4">
        <f>IF(J2455&lt;=G2455,1,0)</f>
        <v/>
      </c>
      <c r="P2455" s="4">
        <f>MAX(0,I2455-H2455)</f>
        <v/>
      </c>
      <c r="Q2455" s="4">
        <f>MAX(0,J2455-G2455)</f>
        <v/>
      </c>
      <c r="R2455" s="4">
        <f>IF(AND(N2455=1,O2455=1),"On Track",IF(O2455=0,"Customer Delivery Late","Ship Late"))</f>
        <v/>
      </c>
    </row>
    <row r="2456">
      <c r="A2456" s="2" t="inlineStr">
        <is>
          <t>ORD-02455</t>
        </is>
      </c>
      <c r="B2456" s="2" t="inlineStr">
        <is>
          <t>Customer 06</t>
        </is>
      </c>
      <c r="C2456" s="2" t="inlineStr">
        <is>
          <t>Relay</t>
        </is>
      </c>
      <c r="D2456" s="2" t="inlineStr">
        <is>
          <t>Plant C</t>
        </is>
      </c>
      <c r="E2456" s="2" t="inlineStr">
        <is>
          <t>Central</t>
        </is>
      </c>
      <c r="F2456" s="12" t="n">
        <v>46145</v>
      </c>
      <c r="G2456" s="12" t="n">
        <v>46150</v>
      </c>
      <c r="H2456" s="12" t="n">
        <v>46146</v>
      </c>
      <c r="I2456" s="12" t="n">
        <v>46145</v>
      </c>
      <c r="J2456" s="12" t="n">
        <v>46148</v>
      </c>
      <c r="K2456" s="2" t="n">
        <v>1353</v>
      </c>
      <c r="L2456" s="2" t="inlineStr">
        <is>
          <t>Sea</t>
        </is>
      </c>
      <c r="M2456" s="2" t="inlineStr">
        <is>
          <t>No Delay</t>
        </is>
      </c>
      <c r="N2456" s="4">
        <f>IF(I2456&lt;=H2456,1,0)</f>
        <v/>
      </c>
      <c r="O2456" s="4">
        <f>IF(J2456&lt;=G2456,1,0)</f>
        <v/>
      </c>
      <c r="P2456" s="4">
        <f>MAX(0,I2456-H2456)</f>
        <v/>
      </c>
      <c r="Q2456" s="4">
        <f>MAX(0,J2456-G2456)</f>
        <v/>
      </c>
      <c r="R2456" s="4">
        <f>IF(AND(N2456=1,O2456=1),"On Track",IF(O2456=0,"Customer Delivery Late","Ship Late"))</f>
        <v/>
      </c>
    </row>
    <row r="2457">
      <c r="A2457" s="2" t="inlineStr">
        <is>
          <t>ORD-02456</t>
        </is>
      </c>
      <c r="B2457" s="2" t="inlineStr">
        <is>
          <t>Customer 08</t>
        </is>
      </c>
      <c r="C2457" s="2" t="inlineStr">
        <is>
          <t>Breaker</t>
        </is>
      </c>
      <c r="D2457" s="2" t="inlineStr">
        <is>
          <t>Plant B</t>
        </is>
      </c>
      <c r="E2457" s="2" t="inlineStr">
        <is>
          <t>South</t>
        </is>
      </c>
      <c r="F2457" s="12" t="n">
        <v>46184</v>
      </c>
      <c r="G2457" s="12" t="n">
        <v>46189</v>
      </c>
      <c r="H2457" s="12" t="n">
        <v>46186</v>
      </c>
      <c r="I2457" s="12" t="n">
        <v>46185</v>
      </c>
      <c r="J2457" s="12" t="n">
        <v>46189</v>
      </c>
      <c r="K2457" s="2" t="n">
        <v>767</v>
      </c>
      <c r="L2457" s="2" t="inlineStr">
        <is>
          <t>Air</t>
        </is>
      </c>
      <c r="M2457" s="2" t="inlineStr">
        <is>
          <t>No Delay</t>
        </is>
      </c>
      <c r="N2457" s="4">
        <f>IF(I2457&lt;=H2457,1,0)</f>
        <v/>
      </c>
      <c r="O2457" s="4">
        <f>IF(J2457&lt;=G2457,1,0)</f>
        <v/>
      </c>
      <c r="P2457" s="4">
        <f>MAX(0,I2457-H2457)</f>
        <v/>
      </c>
      <c r="Q2457" s="4">
        <f>MAX(0,J2457-G2457)</f>
        <v/>
      </c>
      <c r="R2457" s="4">
        <f>IF(AND(N2457=1,O2457=1),"On Track",IF(O2457=0,"Customer Delivery Late","Ship Late"))</f>
        <v/>
      </c>
    </row>
    <row r="2458">
      <c r="A2458" s="2" t="inlineStr">
        <is>
          <t>ORD-02457</t>
        </is>
      </c>
      <c r="B2458" s="2" t="inlineStr">
        <is>
          <t>Customer 16</t>
        </is>
      </c>
      <c r="C2458" s="2" t="inlineStr">
        <is>
          <t>Switchgear</t>
        </is>
      </c>
      <c r="D2458" s="2" t="inlineStr">
        <is>
          <t>Plant B</t>
        </is>
      </c>
      <c r="E2458" s="2" t="inlineStr">
        <is>
          <t>South</t>
        </is>
      </c>
      <c r="F2458" s="12" t="n">
        <v>46110</v>
      </c>
      <c r="G2458" s="12" t="n">
        <v>46133</v>
      </c>
      <c r="H2458" s="12" t="n">
        <v>46130</v>
      </c>
      <c r="I2458" s="12" t="n">
        <v>46129</v>
      </c>
      <c r="J2458" s="12" t="n">
        <v>46132</v>
      </c>
      <c r="K2458" s="2" t="n">
        <v>453</v>
      </c>
      <c r="L2458" s="2" t="inlineStr">
        <is>
          <t>Road</t>
        </is>
      </c>
      <c r="M2458" s="2" t="inlineStr">
        <is>
          <t>No Delay</t>
        </is>
      </c>
      <c r="N2458" s="4">
        <f>IF(I2458&lt;=H2458,1,0)</f>
        <v/>
      </c>
      <c r="O2458" s="4">
        <f>IF(J2458&lt;=G2458,1,0)</f>
        <v/>
      </c>
      <c r="P2458" s="4">
        <f>MAX(0,I2458-H2458)</f>
        <v/>
      </c>
      <c r="Q2458" s="4">
        <f>MAX(0,J2458-G2458)</f>
        <v/>
      </c>
      <c r="R2458" s="4">
        <f>IF(AND(N2458=1,O2458=1),"On Track",IF(O2458=0,"Customer Delivery Late","Ship Late"))</f>
        <v/>
      </c>
    </row>
    <row r="2459">
      <c r="A2459" s="2" t="inlineStr">
        <is>
          <t>ORD-02458</t>
        </is>
      </c>
      <c r="B2459" s="2" t="inlineStr">
        <is>
          <t>Customer 14</t>
        </is>
      </c>
      <c r="C2459" s="2" t="inlineStr">
        <is>
          <t>Breaker</t>
        </is>
      </c>
      <c r="D2459" s="2" t="inlineStr">
        <is>
          <t>Plant A</t>
        </is>
      </c>
      <c r="E2459" s="2" t="inlineStr">
        <is>
          <t>Central</t>
        </is>
      </c>
      <c r="F2459" s="12" t="n">
        <v>46188</v>
      </c>
      <c r="G2459" s="12" t="n">
        <v>46197</v>
      </c>
      <c r="H2459" s="12" t="n">
        <v>46193</v>
      </c>
      <c r="I2459" s="12" t="n">
        <v>46191</v>
      </c>
      <c r="J2459" s="12" t="n">
        <v>46195</v>
      </c>
      <c r="K2459" s="2" t="n">
        <v>1431</v>
      </c>
      <c r="L2459" s="2" t="inlineStr">
        <is>
          <t>Sea</t>
        </is>
      </c>
      <c r="M2459" s="2" t="inlineStr">
        <is>
          <t>No Delay</t>
        </is>
      </c>
      <c r="N2459" s="4">
        <f>IF(I2459&lt;=H2459,1,0)</f>
        <v/>
      </c>
      <c r="O2459" s="4">
        <f>IF(J2459&lt;=G2459,1,0)</f>
        <v/>
      </c>
      <c r="P2459" s="4">
        <f>MAX(0,I2459-H2459)</f>
        <v/>
      </c>
      <c r="Q2459" s="4">
        <f>MAX(0,J2459-G2459)</f>
        <v/>
      </c>
      <c r="R2459" s="4">
        <f>IF(AND(N2459=1,O2459=1),"On Track",IF(O2459=0,"Customer Delivery Late","Ship Late"))</f>
        <v/>
      </c>
    </row>
    <row r="2460">
      <c r="A2460" s="2" t="inlineStr">
        <is>
          <t>ORD-02459</t>
        </is>
      </c>
      <c r="B2460" s="2" t="inlineStr">
        <is>
          <t>Customer 19</t>
        </is>
      </c>
      <c r="C2460" s="2" t="inlineStr">
        <is>
          <t>Breaker</t>
        </is>
      </c>
      <c r="D2460" s="2" t="inlineStr">
        <is>
          <t>Plant A</t>
        </is>
      </c>
      <c r="E2460" s="2" t="inlineStr">
        <is>
          <t>Central</t>
        </is>
      </c>
      <c r="F2460" s="12" t="n">
        <v>46085</v>
      </c>
      <c r="G2460" s="12" t="n">
        <v>46102</v>
      </c>
      <c r="H2460" s="12" t="n">
        <v>46097</v>
      </c>
      <c r="I2460" s="12" t="n">
        <v>46097</v>
      </c>
      <c r="J2460" s="12" t="n">
        <v>46102</v>
      </c>
      <c r="K2460" s="2" t="n">
        <v>316</v>
      </c>
      <c r="L2460" s="2" t="inlineStr">
        <is>
          <t>Road</t>
        </is>
      </c>
      <c r="M2460" s="2" t="inlineStr">
        <is>
          <t>No Delay</t>
        </is>
      </c>
      <c r="N2460" s="4">
        <f>IF(I2460&lt;=H2460,1,0)</f>
        <v/>
      </c>
      <c r="O2460" s="4">
        <f>IF(J2460&lt;=G2460,1,0)</f>
        <v/>
      </c>
      <c r="P2460" s="4">
        <f>MAX(0,I2460-H2460)</f>
        <v/>
      </c>
      <c r="Q2460" s="4">
        <f>MAX(0,J2460-G2460)</f>
        <v/>
      </c>
      <c r="R2460" s="4">
        <f>IF(AND(N2460=1,O2460=1),"On Track",IF(O2460=0,"Customer Delivery Late","Ship Late"))</f>
        <v/>
      </c>
    </row>
    <row r="2461">
      <c r="A2461" s="2" t="inlineStr">
        <is>
          <t>ORD-02460</t>
        </is>
      </c>
      <c r="B2461" s="2" t="inlineStr">
        <is>
          <t>Customer 25</t>
        </is>
      </c>
      <c r="C2461" s="2" t="inlineStr">
        <is>
          <t>Breaker</t>
        </is>
      </c>
      <c r="D2461" s="2" t="inlineStr">
        <is>
          <t>Plant B</t>
        </is>
      </c>
      <c r="E2461" s="2" t="inlineStr">
        <is>
          <t>Export</t>
        </is>
      </c>
      <c r="F2461" s="12" t="n">
        <v>46167</v>
      </c>
      <c r="G2461" s="12" t="n">
        <v>46186</v>
      </c>
      <c r="H2461" s="12" t="n">
        <v>46183</v>
      </c>
      <c r="I2461" s="12" t="n">
        <v>46183</v>
      </c>
      <c r="J2461" s="12" t="n">
        <v>46186</v>
      </c>
      <c r="K2461" s="2" t="n">
        <v>58</v>
      </c>
      <c r="L2461" s="2" t="inlineStr">
        <is>
          <t>Sea</t>
        </is>
      </c>
      <c r="M2461" s="2" t="inlineStr">
        <is>
          <t>No Delay</t>
        </is>
      </c>
      <c r="N2461" s="4">
        <f>IF(I2461&lt;=H2461,1,0)</f>
        <v/>
      </c>
      <c r="O2461" s="4">
        <f>IF(J2461&lt;=G2461,1,0)</f>
        <v/>
      </c>
      <c r="P2461" s="4">
        <f>MAX(0,I2461-H2461)</f>
        <v/>
      </c>
      <c r="Q2461" s="4">
        <f>MAX(0,J2461-G2461)</f>
        <v/>
      </c>
      <c r="R2461" s="4">
        <f>IF(AND(N2461=1,O2461=1),"On Track",IF(O2461=0,"Customer Delivery Late","Ship Late"))</f>
        <v/>
      </c>
    </row>
    <row r="2462">
      <c r="A2462" s="2" t="inlineStr">
        <is>
          <t>ORD-02461</t>
        </is>
      </c>
      <c r="B2462" s="2" t="inlineStr">
        <is>
          <t>Customer 09</t>
        </is>
      </c>
      <c r="C2462" s="2" t="inlineStr">
        <is>
          <t>Sensor</t>
        </is>
      </c>
      <c r="D2462" s="2" t="inlineStr">
        <is>
          <t>Plant C</t>
        </is>
      </c>
      <c r="E2462" s="2" t="inlineStr">
        <is>
          <t>North</t>
        </is>
      </c>
      <c r="F2462" s="12" t="n">
        <v>46040</v>
      </c>
      <c r="G2462" s="12" t="n">
        <v>46055</v>
      </c>
      <c r="H2462" s="12" t="n">
        <v>46054</v>
      </c>
      <c r="I2462" s="12" t="n">
        <v>46052</v>
      </c>
      <c r="J2462" s="12" t="n">
        <v>46054</v>
      </c>
      <c r="K2462" s="2" t="n">
        <v>946</v>
      </c>
      <c r="L2462" s="2" t="inlineStr">
        <is>
          <t>Air</t>
        </is>
      </c>
      <c r="M2462" s="2" t="inlineStr">
        <is>
          <t>No Delay</t>
        </is>
      </c>
      <c r="N2462" s="4">
        <f>IF(I2462&lt;=H2462,1,0)</f>
        <v/>
      </c>
      <c r="O2462" s="4">
        <f>IF(J2462&lt;=G2462,1,0)</f>
        <v/>
      </c>
      <c r="P2462" s="4">
        <f>MAX(0,I2462-H2462)</f>
        <v/>
      </c>
      <c r="Q2462" s="4">
        <f>MAX(0,J2462-G2462)</f>
        <v/>
      </c>
      <c r="R2462" s="4">
        <f>IF(AND(N2462=1,O2462=1),"On Track",IF(O2462=0,"Customer Delivery Late","Ship Late"))</f>
        <v/>
      </c>
    </row>
    <row r="2463">
      <c r="A2463" s="2" t="inlineStr">
        <is>
          <t>ORD-02462</t>
        </is>
      </c>
      <c r="B2463" s="2" t="inlineStr">
        <is>
          <t>Customer 07</t>
        </is>
      </c>
      <c r="C2463" s="2" t="inlineStr">
        <is>
          <t>PLC</t>
        </is>
      </c>
      <c r="D2463" s="2" t="inlineStr">
        <is>
          <t>Plant C</t>
        </is>
      </c>
      <c r="E2463" s="2" t="inlineStr">
        <is>
          <t>Central</t>
        </is>
      </c>
      <c r="F2463" s="12" t="n">
        <v>46176</v>
      </c>
      <c r="G2463" s="12" t="n">
        <v>46196</v>
      </c>
      <c r="H2463" s="12" t="n">
        <v>46194</v>
      </c>
      <c r="I2463" s="12" t="n">
        <v>46193</v>
      </c>
      <c r="J2463" s="12" t="n">
        <v>46194</v>
      </c>
      <c r="K2463" s="2" t="n">
        <v>1214</v>
      </c>
      <c r="L2463" s="2" t="inlineStr">
        <is>
          <t>Sea</t>
        </is>
      </c>
      <c r="M2463" s="2" t="inlineStr">
        <is>
          <t>No Delay</t>
        </is>
      </c>
      <c r="N2463" s="4">
        <f>IF(I2463&lt;=H2463,1,0)</f>
        <v/>
      </c>
      <c r="O2463" s="4">
        <f>IF(J2463&lt;=G2463,1,0)</f>
        <v/>
      </c>
      <c r="P2463" s="4">
        <f>MAX(0,I2463-H2463)</f>
        <v/>
      </c>
      <c r="Q2463" s="4">
        <f>MAX(0,J2463-G2463)</f>
        <v/>
      </c>
      <c r="R2463" s="4">
        <f>IF(AND(N2463=1,O2463=1),"On Track",IF(O2463=0,"Customer Delivery Late","Ship Late"))</f>
        <v/>
      </c>
    </row>
    <row r="2464">
      <c r="A2464" s="2" t="inlineStr">
        <is>
          <t>ORD-02463</t>
        </is>
      </c>
      <c r="B2464" s="2" t="inlineStr">
        <is>
          <t>Customer 01</t>
        </is>
      </c>
      <c r="C2464" s="2" t="inlineStr">
        <is>
          <t>Switchgear</t>
        </is>
      </c>
      <c r="D2464" s="2" t="inlineStr">
        <is>
          <t>Plant A</t>
        </is>
      </c>
      <c r="E2464" s="2" t="inlineStr">
        <is>
          <t>Central</t>
        </is>
      </c>
      <c r="F2464" s="12" t="n">
        <v>46185</v>
      </c>
      <c r="G2464" s="12" t="n">
        <v>46192</v>
      </c>
      <c r="H2464" s="12" t="n">
        <v>46187</v>
      </c>
      <c r="I2464" s="12" t="n">
        <v>46186</v>
      </c>
      <c r="J2464" s="12" t="n">
        <v>46195</v>
      </c>
      <c r="K2464" s="2" t="n">
        <v>364</v>
      </c>
      <c r="L2464" s="2" t="inlineStr">
        <is>
          <t>Air</t>
        </is>
      </c>
      <c r="M2464" s="2" t="inlineStr">
        <is>
          <t>Production Delay</t>
        </is>
      </c>
      <c r="N2464" s="4">
        <f>IF(I2464&lt;=H2464,1,0)</f>
        <v/>
      </c>
      <c r="O2464" s="4">
        <f>IF(J2464&lt;=G2464,1,0)</f>
        <v/>
      </c>
      <c r="P2464" s="4">
        <f>MAX(0,I2464-H2464)</f>
        <v/>
      </c>
      <c r="Q2464" s="4">
        <f>MAX(0,J2464-G2464)</f>
        <v/>
      </c>
      <c r="R2464" s="4">
        <f>IF(AND(N2464=1,O2464=1),"On Track",IF(O2464=0,"Customer Delivery Late","Ship Late"))</f>
        <v/>
      </c>
    </row>
    <row r="2465">
      <c r="A2465" s="2" t="inlineStr">
        <is>
          <t>ORD-02464</t>
        </is>
      </c>
      <c r="B2465" s="2" t="inlineStr">
        <is>
          <t>Customer 09</t>
        </is>
      </c>
      <c r="C2465" s="2" t="inlineStr">
        <is>
          <t>Relay</t>
        </is>
      </c>
      <c r="D2465" s="2" t="inlineStr">
        <is>
          <t>Plant B</t>
        </is>
      </c>
      <c r="E2465" s="2" t="inlineStr">
        <is>
          <t>North</t>
        </is>
      </c>
      <c r="F2465" s="12" t="n">
        <v>46033</v>
      </c>
      <c r="G2465" s="12" t="n">
        <v>46039</v>
      </c>
      <c r="H2465" s="12" t="n">
        <v>46034</v>
      </c>
      <c r="I2465" s="12" t="n">
        <v>46032</v>
      </c>
      <c r="J2465" s="12" t="n">
        <v>46037</v>
      </c>
      <c r="K2465" s="2" t="n">
        <v>656</v>
      </c>
      <c r="L2465" s="2" t="inlineStr">
        <is>
          <t>Air</t>
        </is>
      </c>
      <c r="M2465" s="2" t="inlineStr">
        <is>
          <t>No Delay</t>
        </is>
      </c>
      <c r="N2465" s="4">
        <f>IF(I2465&lt;=H2465,1,0)</f>
        <v/>
      </c>
      <c r="O2465" s="4">
        <f>IF(J2465&lt;=G2465,1,0)</f>
        <v/>
      </c>
      <c r="P2465" s="4">
        <f>MAX(0,I2465-H2465)</f>
        <v/>
      </c>
      <c r="Q2465" s="4">
        <f>MAX(0,J2465-G2465)</f>
        <v/>
      </c>
      <c r="R2465" s="4">
        <f>IF(AND(N2465=1,O2465=1),"On Track",IF(O2465=0,"Customer Delivery Late","Ship Late"))</f>
        <v/>
      </c>
    </row>
    <row r="2466">
      <c r="A2466" s="2" t="inlineStr">
        <is>
          <t>ORD-02465</t>
        </is>
      </c>
      <c r="B2466" s="2" t="inlineStr">
        <is>
          <t>Customer 30</t>
        </is>
      </c>
      <c r="C2466" s="2" t="inlineStr">
        <is>
          <t>Relay</t>
        </is>
      </c>
      <c r="D2466" s="2" t="inlineStr">
        <is>
          <t>Plant A</t>
        </is>
      </c>
      <c r="E2466" s="2" t="inlineStr">
        <is>
          <t>Export</t>
        </is>
      </c>
      <c r="F2466" s="12" t="n">
        <v>46181</v>
      </c>
      <c r="G2466" s="12" t="n">
        <v>46203</v>
      </c>
      <c r="H2466" s="12" t="n">
        <v>46200</v>
      </c>
      <c r="I2466" s="12" t="n">
        <v>46200</v>
      </c>
      <c r="J2466" s="12" t="n">
        <v>46203</v>
      </c>
      <c r="K2466" s="2" t="n">
        <v>406</v>
      </c>
      <c r="L2466" s="2" t="inlineStr">
        <is>
          <t>Road</t>
        </is>
      </c>
      <c r="M2466" s="2" t="inlineStr">
        <is>
          <t>No Delay</t>
        </is>
      </c>
      <c r="N2466" s="4">
        <f>IF(I2466&lt;=H2466,1,0)</f>
        <v/>
      </c>
      <c r="O2466" s="4">
        <f>IF(J2466&lt;=G2466,1,0)</f>
        <v/>
      </c>
      <c r="P2466" s="4">
        <f>MAX(0,I2466-H2466)</f>
        <v/>
      </c>
      <c r="Q2466" s="4">
        <f>MAX(0,J2466-G2466)</f>
        <v/>
      </c>
      <c r="R2466" s="4">
        <f>IF(AND(N2466=1,O2466=1),"On Track",IF(O2466=0,"Customer Delivery Late","Ship Late"))</f>
        <v/>
      </c>
    </row>
    <row r="2467">
      <c r="A2467" s="2" t="inlineStr">
        <is>
          <t>ORD-02466</t>
        </is>
      </c>
      <c r="B2467" s="2" t="inlineStr">
        <is>
          <t>Customer 29</t>
        </is>
      </c>
      <c r="C2467" s="2" t="inlineStr">
        <is>
          <t>Sensor</t>
        </is>
      </c>
      <c r="D2467" s="2" t="inlineStr">
        <is>
          <t>Plant B</t>
        </is>
      </c>
      <c r="E2467" s="2" t="inlineStr">
        <is>
          <t>Export</t>
        </is>
      </c>
      <c r="F2467" s="12" t="n">
        <v>46063</v>
      </c>
      <c r="G2467" s="12" t="n">
        <v>46084</v>
      </c>
      <c r="H2467" s="12" t="n">
        <v>46083</v>
      </c>
      <c r="I2467" s="12" t="n">
        <v>46081</v>
      </c>
      <c r="J2467" s="12" t="n">
        <v>46083</v>
      </c>
      <c r="K2467" s="2" t="n">
        <v>1451</v>
      </c>
      <c r="L2467" s="2" t="inlineStr">
        <is>
          <t>Air</t>
        </is>
      </c>
      <c r="M2467" s="2" t="inlineStr">
        <is>
          <t>No Delay</t>
        </is>
      </c>
      <c r="N2467" s="4">
        <f>IF(I2467&lt;=H2467,1,0)</f>
        <v/>
      </c>
      <c r="O2467" s="4">
        <f>IF(J2467&lt;=G2467,1,0)</f>
        <v/>
      </c>
      <c r="P2467" s="4">
        <f>MAX(0,I2467-H2467)</f>
        <v/>
      </c>
      <c r="Q2467" s="4">
        <f>MAX(0,J2467-G2467)</f>
        <v/>
      </c>
      <c r="R2467" s="4">
        <f>IF(AND(N2467=1,O2467=1),"On Track",IF(O2467=0,"Customer Delivery Late","Ship Late"))</f>
        <v/>
      </c>
    </row>
    <row r="2468">
      <c r="A2468" s="2" t="inlineStr">
        <is>
          <t>ORD-02467</t>
        </is>
      </c>
      <c r="B2468" s="2" t="inlineStr">
        <is>
          <t>Customer 28</t>
        </is>
      </c>
      <c r="C2468" s="2" t="inlineStr">
        <is>
          <t>Power Supply</t>
        </is>
      </c>
      <c r="D2468" s="2" t="inlineStr">
        <is>
          <t>Plant C</t>
        </is>
      </c>
      <c r="E2468" s="2" t="inlineStr">
        <is>
          <t>North</t>
        </is>
      </c>
      <c r="F2468" s="12" t="n">
        <v>46116</v>
      </c>
      <c r="G2468" s="12" t="n">
        <v>46137</v>
      </c>
      <c r="H2468" s="12" t="n">
        <v>46132</v>
      </c>
      <c r="I2468" s="12" t="n">
        <v>46132</v>
      </c>
      <c r="J2468" s="12" t="n">
        <v>46137</v>
      </c>
      <c r="K2468" s="2" t="n">
        <v>1334</v>
      </c>
      <c r="L2468" s="2" t="inlineStr">
        <is>
          <t>Air</t>
        </is>
      </c>
      <c r="M2468" s="2" t="inlineStr">
        <is>
          <t>No Delay</t>
        </is>
      </c>
      <c r="N2468" s="4">
        <f>IF(I2468&lt;=H2468,1,0)</f>
        <v/>
      </c>
      <c r="O2468" s="4">
        <f>IF(J2468&lt;=G2468,1,0)</f>
        <v/>
      </c>
      <c r="P2468" s="4">
        <f>MAX(0,I2468-H2468)</f>
        <v/>
      </c>
      <c r="Q2468" s="4">
        <f>MAX(0,J2468-G2468)</f>
        <v/>
      </c>
      <c r="R2468" s="4">
        <f>IF(AND(N2468=1,O2468=1),"On Track",IF(O2468=0,"Customer Delivery Late","Ship Late"))</f>
        <v/>
      </c>
    </row>
    <row r="2469">
      <c r="A2469" s="2" t="inlineStr">
        <is>
          <t>ORD-02468</t>
        </is>
      </c>
      <c r="B2469" s="2" t="inlineStr">
        <is>
          <t>Customer 07</t>
        </is>
      </c>
      <c r="C2469" s="2" t="inlineStr">
        <is>
          <t>Switchgear</t>
        </is>
      </c>
      <c r="D2469" s="2" t="inlineStr">
        <is>
          <t>Plant C</t>
        </is>
      </c>
      <c r="E2469" s="2" t="inlineStr">
        <is>
          <t>Export</t>
        </is>
      </c>
      <c r="F2469" s="12" t="n">
        <v>46090</v>
      </c>
      <c r="G2469" s="12" t="n">
        <v>46109</v>
      </c>
      <c r="H2469" s="12" t="n">
        <v>46107</v>
      </c>
      <c r="I2469" s="12" t="n">
        <v>46106</v>
      </c>
      <c r="J2469" s="12" t="n">
        <v>46108</v>
      </c>
      <c r="K2469" s="2" t="n">
        <v>1433</v>
      </c>
      <c r="L2469" s="2" t="inlineStr">
        <is>
          <t>Air</t>
        </is>
      </c>
      <c r="M2469" s="2" t="inlineStr">
        <is>
          <t>No Delay</t>
        </is>
      </c>
      <c r="N2469" s="4">
        <f>IF(I2469&lt;=H2469,1,0)</f>
        <v/>
      </c>
      <c r="O2469" s="4">
        <f>IF(J2469&lt;=G2469,1,0)</f>
        <v/>
      </c>
      <c r="P2469" s="4">
        <f>MAX(0,I2469-H2469)</f>
        <v/>
      </c>
      <c r="Q2469" s="4">
        <f>MAX(0,J2469-G2469)</f>
        <v/>
      </c>
      <c r="R2469" s="4">
        <f>IF(AND(N2469=1,O2469=1),"On Track",IF(O2469=0,"Customer Delivery Late","Ship Late"))</f>
        <v/>
      </c>
    </row>
    <row r="2470">
      <c r="A2470" s="2" t="inlineStr">
        <is>
          <t>ORD-02469</t>
        </is>
      </c>
      <c r="B2470" s="2" t="inlineStr">
        <is>
          <t>Customer 14</t>
        </is>
      </c>
      <c r="C2470" s="2" t="inlineStr">
        <is>
          <t>Drive</t>
        </is>
      </c>
      <c r="D2470" s="2" t="inlineStr">
        <is>
          <t>Plant B</t>
        </is>
      </c>
      <c r="E2470" s="2" t="inlineStr">
        <is>
          <t>Export</t>
        </is>
      </c>
      <c r="F2470" s="12" t="n">
        <v>46143</v>
      </c>
      <c r="G2470" s="12" t="n">
        <v>46163</v>
      </c>
      <c r="H2470" s="12" t="n">
        <v>46158</v>
      </c>
      <c r="I2470" s="12" t="n">
        <v>46157</v>
      </c>
      <c r="J2470" s="12" t="n">
        <v>46168</v>
      </c>
      <c r="K2470" s="2" t="n">
        <v>948</v>
      </c>
      <c r="L2470" s="2" t="inlineStr">
        <is>
          <t>Road</t>
        </is>
      </c>
      <c r="M2470" s="2" t="inlineStr">
        <is>
          <t>Carrier Delay</t>
        </is>
      </c>
      <c r="N2470" s="4">
        <f>IF(I2470&lt;=H2470,1,0)</f>
        <v/>
      </c>
      <c r="O2470" s="4">
        <f>IF(J2470&lt;=G2470,1,0)</f>
        <v/>
      </c>
      <c r="P2470" s="4">
        <f>MAX(0,I2470-H2470)</f>
        <v/>
      </c>
      <c r="Q2470" s="4">
        <f>MAX(0,J2470-G2470)</f>
        <v/>
      </c>
      <c r="R2470" s="4">
        <f>IF(AND(N2470=1,O2470=1),"On Track",IF(O2470=0,"Customer Delivery Late","Ship Late"))</f>
        <v/>
      </c>
    </row>
    <row r="2471">
      <c r="A2471" s="2" t="inlineStr">
        <is>
          <t>ORD-02470</t>
        </is>
      </c>
      <c r="B2471" s="2" t="inlineStr">
        <is>
          <t>Customer 05</t>
        </is>
      </c>
      <c r="C2471" s="2" t="inlineStr">
        <is>
          <t>Power Supply</t>
        </is>
      </c>
      <c r="D2471" s="2" t="inlineStr">
        <is>
          <t>Plant C</t>
        </is>
      </c>
      <c r="E2471" s="2" t="inlineStr">
        <is>
          <t>North</t>
        </is>
      </c>
      <c r="F2471" s="12" t="n">
        <v>46134</v>
      </c>
      <c r="G2471" s="12" t="n">
        <v>46141</v>
      </c>
      <c r="H2471" s="12" t="n">
        <v>46139</v>
      </c>
      <c r="I2471" s="12" t="n">
        <v>46139</v>
      </c>
      <c r="J2471" s="12" t="n">
        <v>46141</v>
      </c>
      <c r="K2471" s="2" t="n">
        <v>1236</v>
      </c>
      <c r="L2471" s="2" t="inlineStr">
        <is>
          <t>Road</t>
        </is>
      </c>
      <c r="M2471" s="2" t="inlineStr">
        <is>
          <t>No Delay</t>
        </is>
      </c>
      <c r="N2471" s="4">
        <f>IF(I2471&lt;=H2471,1,0)</f>
        <v/>
      </c>
      <c r="O2471" s="4">
        <f>IF(J2471&lt;=G2471,1,0)</f>
        <v/>
      </c>
      <c r="P2471" s="4">
        <f>MAX(0,I2471-H2471)</f>
        <v/>
      </c>
      <c r="Q2471" s="4">
        <f>MAX(0,J2471-G2471)</f>
        <v/>
      </c>
      <c r="R2471" s="4">
        <f>IF(AND(N2471=1,O2471=1),"On Track",IF(O2471=0,"Customer Delivery Late","Ship Late"))</f>
        <v/>
      </c>
    </row>
    <row r="2472">
      <c r="A2472" s="2" t="inlineStr">
        <is>
          <t>ORD-02471</t>
        </is>
      </c>
      <c r="B2472" s="2" t="inlineStr">
        <is>
          <t>Customer 01</t>
        </is>
      </c>
      <c r="C2472" s="2" t="inlineStr">
        <is>
          <t>Breaker</t>
        </is>
      </c>
      <c r="D2472" s="2" t="inlineStr">
        <is>
          <t>Plant B</t>
        </is>
      </c>
      <c r="E2472" s="2" t="inlineStr">
        <is>
          <t>Central</t>
        </is>
      </c>
      <c r="F2472" s="12" t="n">
        <v>46154</v>
      </c>
      <c r="G2472" s="12" t="n">
        <v>46163</v>
      </c>
      <c r="H2472" s="12" t="n">
        <v>46159</v>
      </c>
      <c r="I2472" s="12" t="n">
        <v>46157</v>
      </c>
      <c r="J2472" s="12" t="n">
        <v>46161</v>
      </c>
      <c r="K2472" s="2" t="n">
        <v>1019</v>
      </c>
      <c r="L2472" s="2" t="inlineStr">
        <is>
          <t>Road</t>
        </is>
      </c>
      <c r="M2472" s="2" t="inlineStr">
        <is>
          <t>No Delay</t>
        </is>
      </c>
      <c r="N2472" s="4">
        <f>IF(I2472&lt;=H2472,1,0)</f>
        <v/>
      </c>
      <c r="O2472" s="4">
        <f>IF(J2472&lt;=G2472,1,0)</f>
        <v/>
      </c>
      <c r="P2472" s="4">
        <f>MAX(0,I2472-H2472)</f>
        <v/>
      </c>
      <c r="Q2472" s="4">
        <f>MAX(0,J2472-G2472)</f>
        <v/>
      </c>
      <c r="R2472" s="4">
        <f>IF(AND(N2472=1,O2472=1),"On Track",IF(O2472=0,"Customer Delivery Late","Ship Late"))</f>
        <v/>
      </c>
    </row>
    <row r="2473">
      <c r="A2473" s="2" t="inlineStr">
        <is>
          <t>ORD-02472</t>
        </is>
      </c>
      <c r="B2473" s="2" t="inlineStr">
        <is>
          <t>Customer 26</t>
        </is>
      </c>
      <c r="C2473" s="2" t="inlineStr">
        <is>
          <t>PLC</t>
        </is>
      </c>
      <c r="D2473" s="2" t="inlineStr">
        <is>
          <t>Plant A</t>
        </is>
      </c>
      <c r="E2473" s="2" t="inlineStr">
        <is>
          <t>Export</t>
        </is>
      </c>
      <c r="F2473" s="12" t="n">
        <v>46188</v>
      </c>
      <c r="G2473" s="12" t="n">
        <v>46209</v>
      </c>
      <c r="H2473" s="12" t="n">
        <v>46205</v>
      </c>
      <c r="I2473" s="12" t="n">
        <v>46204</v>
      </c>
      <c r="J2473" s="12" t="n">
        <v>46209</v>
      </c>
      <c r="K2473" s="2" t="n">
        <v>784</v>
      </c>
      <c r="L2473" s="2" t="inlineStr">
        <is>
          <t>Air</t>
        </is>
      </c>
      <c r="M2473" s="2" t="inlineStr">
        <is>
          <t>No Delay</t>
        </is>
      </c>
      <c r="N2473" s="4">
        <f>IF(I2473&lt;=H2473,1,0)</f>
        <v/>
      </c>
      <c r="O2473" s="4">
        <f>IF(J2473&lt;=G2473,1,0)</f>
        <v/>
      </c>
      <c r="P2473" s="4">
        <f>MAX(0,I2473-H2473)</f>
        <v/>
      </c>
      <c r="Q2473" s="4">
        <f>MAX(0,J2473-G2473)</f>
        <v/>
      </c>
      <c r="R2473" s="4">
        <f>IF(AND(N2473=1,O2473=1),"On Track",IF(O2473=0,"Customer Delivery Late","Ship Late"))</f>
        <v/>
      </c>
    </row>
    <row r="2474">
      <c r="A2474" s="2" t="inlineStr">
        <is>
          <t>ORD-02473</t>
        </is>
      </c>
      <c r="B2474" s="2" t="inlineStr">
        <is>
          <t>Customer 29</t>
        </is>
      </c>
      <c r="C2474" s="2" t="inlineStr">
        <is>
          <t>Contactor</t>
        </is>
      </c>
      <c r="D2474" s="2" t="inlineStr">
        <is>
          <t>Plant A</t>
        </is>
      </c>
      <c r="E2474" s="2" t="inlineStr">
        <is>
          <t>South</t>
        </is>
      </c>
      <c r="F2474" s="12" t="n">
        <v>46143</v>
      </c>
      <c r="G2474" s="12" t="n">
        <v>46166</v>
      </c>
      <c r="H2474" s="12" t="n">
        <v>46163</v>
      </c>
      <c r="I2474" s="12" t="n">
        <v>46161</v>
      </c>
      <c r="J2474" s="12" t="n">
        <v>46165</v>
      </c>
      <c r="K2474" s="2" t="n">
        <v>283</v>
      </c>
      <c r="L2474" s="2" t="inlineStr">
        <is>
          <t>Sea</t>
        </is>
      </c>
      <c r="M2474" s="2" t="inlineStr">
        <is>
          <t>No Delay</t>
        </is>
      </c>
      <c r="N2474" s="4">
        <f>IF(I2474&lt;=H2474,1,0)</f>
        <v/>
      </c>
      <c r="O2474" s="4">
        <f>IF(J2474&lt;=G2474,1,0)</f>
        <v/>
      </c>
      <c r="P2474" s="4">
        <f>MAX(0,I2474-H2474)</f>
        <v/>
      </c>
      <c r="Q2474" s="4">
        <f>MAX(0,J2474-G2474)</f>
        <v/>
      </c>
      <c r="R2474" s="4">
        <f>IF(AND(N2474=1,O2474=1),"On Track",IF(O2474=0,"Customer Delivery Late","Ship Late"))</f>
        <v/>
      </c>
    </row>
    <row r="2475">
      <c r="A2475" s="2" t="inlineStr">
        <is>
          <t>ORD-02474</t>
        </is>
      </c>
      <c r="B2475" s="2" t="inlineStr">
        <is>
          <t>Customer 19</t>
        </is>
      </c>
      <c r="C2475" s="2" t="inlineStr">
        <is>
          <t>Contactor</t>
        </is>
      </c>
      <c r="D2475" s="2" t="inlineStr">
        <is>
          <t>Plant C</t>
        </is>
      </c>
      <c r="E2475" s="2" t="inlineStr">
        <is>
          <t>South</t>
        </is>
      </c>
      <c r="F2475" s="12" t="n">
        <v>46198</v>
      </c>
      <c r="G2475" s="12" t="n">
        <v>46214</v>
      </c>
      <c r="H2475" s="12" t="n">
        <v>46212</v>
      </c>
      <c r="I2475" s="12" t="n">
        <v>46217</v>
      </c>
      <c r="J2475" s="12" t="n">
        <v>46219</v>
      </c>
      <c r="K2475" s="2" t="n">
        <v>1149</v>
      </c>
      <c r="L2475" s="2" t="inlineStr">
        <is>
          <t>Road</t>
        </is>
      </c>
      <c r="M2475" s="2" t="inlineStr">
        <is>
          <t>Material Shortage</t>
        </is>
      </c>
      <c r="N2475" s="4">
        <f>IF(I2475&lt;=H2475,1,0)</f>
        <v/>
      </c>
      <c r="O2475" s="4">
        <f>IF(J2475&lt;=G2475,1,0)</f>
        <v/>
      </c>
      <c r="P2475" s="4">
        <f>MAX(0,I2475-H2475)</f>
        <v/>
      </c>
      <c r="Q2475" s="4">
        <f>MAX(0,J2475-G2475)</f>
        <v/>
      </c>
      <c r="R2475" s="4">
        <f>IF(AND(N2475=1,O2475=1),"On Track",IF(O2475=0,"Customer Delivery Late","Ship Late"))</f>
        <v/>
      </c>
    </row>
    <row r="2476">
      <c r="A2476" s="2" t="inlineStr">
        <is>
          <t>ORD-02475</t>
        </is>
      </c>
      <c r="B2476" s="2" t="inlineStr">
        <is>
          <t>Customer 25</t>
        </is>
      </c>
      <c r="C2476" s="2" t="inlineStr">
        <is>
          <t>Power Supply</t>
        </is>
      </c>
      <c r="D2476" s="2" t="inlineStr">
        <is>
          <t>Plant B</t>
        </is>
      </c>
      <c r="E2476" s="2" t="inlineStr">
        <is>
          <t>North</t>
        </is>
      </c>
      <c r="F2476" s="12" t="n">
        <v>46156</v>
      </c>
      <c r="G2476" s="12" t="n">
        <v>46175</v>
      </c>
      <c r="H2476" s="12" t="n">
        <v>46174</v>
      </c>
      <c r="I2476" s="12" t="n">
        <v>46172</v>
      </c>
      <c r="J2476" s="12" t="n">
        <v>46173</v>
      </c>
      <c r="K2476" s="2" t="n">
        <v>761</v>
      </c>
      <c r="L2476" s="2" t="inlineStr">
        <is>
          <t>Road</t>
        </is>
      </c>
      <c r="M2476" s="2" t="inlineStr">
        <is>
          <t>No Delay</t>
        </is>
      </c>
      <c r="N2476" s="4">
        <f>IF(I2476&lt;=H2476,1,0)</f>
        <v/>
      </c>
      <c r="O2476" s="4">
        <f>IF(J2476&lt;=G2476,1,0)</f>
        <v/>
      </c>
      <c r="P2476" s="4">
        <f>MAX(0,I2476-H2476)</f>
        <v/>
      </c>
      <c r="Q2476" s="4">
        <f>MAX(0,J2476-G2476)</f>
        <v/>
      </c>
      <c r="R2476" s="4">
        <f>IF(AND(N2476=1,O2476=1),"On Track",IF(O2476=0,"Customer Delivery Late","Ship Late"))</f>
        <v/>
      </c>
    </row>
    <row r="2477">
      <c r="A2477" s="2" t="inlineStr">
        <is>
          <t>ORD-02476</t>
        </is>
      </c>
      <c r="B2477" s="2" t="inlineStr">
        <is>
          <t>Customer 02</t>
        </is>
      </c>
      <c r="C2477" s="2" t="inlineStr">
        <is>
          <t>Sensor</t>
        </is>
      </c>
      <c r="D2477" s="2" t="inlineStr">
        <is>
          <t>Plant A</t>
        </is>
      </c>
      <c r="E2477" s="2" t="inlineStr">
        <is>
          <t>Central</t>
        </is>
      </c>
      <c r="F2477" s="12" t="n">
        <v>46033</v>
      </c>
      <c r="G2477" s="12" t="n">
        <v>46053</v>
      </c>
      <c r="H2477" s="12" t="n">
        <v>46049</v>
      </c>
      <c r="I2477" s="12" t="n">
        <v>46049</v>
      </c>
      <c r="J2477" s="12" t="n">
        <v>46053</v>
      </c>
      <c r="K2477" s="2" t="n">
        <v>879</v>
      </c>
      <c r="L2477" s="2" t="inlineStr">
        <is>
          <t>Sea</t>
        </is>
      </c>
      <c r="M2477" s="2" t="inlineStr">
        <is>
          <t>No Delay</t>
        </is>
      </c>
      <c r="N2477" s="4">
        <f>IF(I2477&lt;=H2477,1,0)</f>
        <v/>
      </c>
      <c r="O2477" s="4">
        <f>IF(J2477&lt;=G2477,1,0)</f>
        <v/>
      </c>
      <c r="P2477" s="4">
        <f>MAX(0,I2477-H2477)</f>
        <v/>
      </c>
      <c r="Q2477" s="4">
        <f>MAX(0,J2477-G2477)</f>
        <v/>
      </c>
      <c r="R2477" s="4">
        <f>IF(AND(N2477=1,O2477=1),"On Track",IF(O2477=0,"Customer Delivery Late","Ship Late"))</f>
        <v/>
      </c>
    </row>
    <row r="2478">
      <c r="A2478" s="2" t="inlineStr">
        <is>
          <t>ORD-02477</t>
        </is>
      </c>
      <c r="B2478" s="2" t="inlineStr">
        <is>
          <t>Customer 22</t>
        </is>
      </c>
      <c r="C2478" s="2" t="inlineStr">
        <is>
          <t>Breaker</t>
        </is>
      </c>
      <c r="D2478" s="2" t="inlineStr">
        <is>
          <t>Plant B</t>
        </is>
      </c>
      <c r="E2478" s="2" t="inlineStr">
        <is>
          <t>North</t>
        </is>
      </c>
      <c r="F2478" s="12" t="n">
        <v>46171</v>
      </c>
      <c r="G2478" s="12" t="n">
        <v>46187</v>
      </c>
      <c r="H2478" s="12" t="n">
        <v>46183</v>
      </c>
      <c r="I2478" s="12" t="n">
        <v>46182</v>
      </c>
      <c r="J2478" s="12" t="n">
        <v>46186</v>
      </c>
      <c r="K2478" s="2" t="n">
        <v>197</v>
      </c>
      <c r="L2478" s="2" t="inlineStr">
        <is>
          <t>Road</t>
        </is>
      </c>
      <c r="M2478" s="2" t="inlineStr">
        <is>
          <t>No Delay</t>
        </is>
      </c>
      <c r="N2478" s="4">
        <f>IF(I2478&lt;=H2478,1,0)</f>
        <v/>
      </c>
      <c r="O2478" s="4">
        <f>IF(J2478&lt;=G2478,1,0)</f>
        <v/>
      </c>
      <c r="P2478" s="4">
        <f>MAX(0,I2478-H2478)</f>
        <v/>
      </c>
      <c r="Q2478" s="4">
        <f>MAX(0,J2478-G2478)</f>
        <v/>
      </c>
      <c r="R2478" s="4">
        <f>IF(AND(N2478=1,O2478=1),"On Track",IF(O2478=0,"Customer Delivery Late","Ship Late"))</f>
        <v/>
      </c>
    </row>
    <row r="2479">
      <c r="A2479" s="2" t="inlineStr">
        <is>
          <t>ORD-02478</t>
        </is>
      </c>
      <c r="B2479" s="2" t="inlineStr">
        <is>
          <t>Customer 12</t>
        </is>
      </c>
      <c r="C2479" s="2" t="inlineStr">
        <is>
          <t>Breaker</t>
        </is>
      </c>
      <c r="D2479" s="2" t="inlineStr">
        <is>
          <t>Plant C</t>
        </is>
      </c>
      <c r="E2479" s="2" t="inlineStr">
        <is>
          <t>Central</t>
        </is>
      </c>
      <c r="F2479" s="12" t="n">
        <v>46169</v>
      </c>
      <c r="G2479" s="12" t="n">
        <v>46174</v>
      </c>
      <c r="H2479" s="12" t="n">
        <v>46173</v>
      </c>
      <c r="I2479" s="12" t="n">
        <v>46171</v>
      </c>
      <c r="J2479" s="12" t="n">
        <v>46172</v>
      </c>
      <c r="K2479" s="2" t="n">
        <v>34</v>
      </c>
      <c r="L2479" s="2" t="inlineStr">
        <is>
          <t>Air</t>
        </is>
      </c>
      <c r="M2479" s="2" t="inlineStr">
        <is>
          <t>No Delay</t>
        </is>
      </c>
      <c r="N2479" s="4">
        <f>IF(I2479&lt;=H2479,1,0)</f>
        <v/>
      </c>
      <c r="O2479" s="4">
        <f>IF(J2479&lt;=G2479,1,0)</f>
        <v/>
      </c>
      <c r="P2479" s="4">
        <f>MAX(0,I2479-H2479)</f>
        <v/>
      </c>
      <c r="Q2479" s="4">
        <f>MAX(0,J2479-G2479)</f>
        <v/>
      </c>
      <c r="R2479" s="4">
        <f>IF(AND(N2479=1,O2479=1),"On Track",IF(O2479=0,"Customer Delivery Late","Ship Late"))</f>
        <v/>
      </c>
    </row>
    <row r="2480">
      <c r="A2480" s="2" t="inlineStr">
        <is>
          <t>ORD-02479</t>
        </is>
      </c>
      <c r="B2480" s="2" t="inlineStr">
        <is>
          <t>Customer 30</t>
        </is>
      </c>
      <c r="C2480" s="2" t="inlineStr">
        <is>
          <t>PLC</t>
        </is>
      </c>
      <c r="D2480" s="2" t="inlineStr">
        <is>
          <t>Plant C</t>
        </is>
      </c>
      <c r="E2480" s="2" t="inlineStr">
        <is>
          <t>Central</t>
        </is>
      </c>
      <c r="F2480" s="12" t="n">
        <v>46035</v>
      </c>
      <c r="G2480" s="12" t="n">
        <v>46044</v>
      </c>
      <c r="H2480" s="12" t="n">
        <v>46041</v>
      </c>
      <c r="I2480" s="12" t="n">
        <v>46041</v>
      </c>
      <c r="J2480" s="12" t="n">
        <v>46044</v>
      </c>
      <c r="K2480" s="2" t="n">
        <v>77</v>
      </c>
      <c r="L2480" s="2" t="inlineStr">
        <is>
          <t>Road</t>
        </is>
      </c>
      <c r="M2480" s="2" t="inlineStr">
        <is>
          <t>No Delay</t>
        </is>
      </c>
      <c r="N2480" s="4">
        <f>IF(I2480&lt;=H2480,1,0)</f>
        <v/>
      </c>
      <c r="O2480" s="4">
        <f>IF(J2480&lt;=G2480,1,0)</f>
        <v/>
      </c>
      <c r="P2480" s="4">
        <f>MAX(0,I2480-H2480)</f>
        <v/>
      </c>
      <c r="Q2480" s="4">
        <f>MAX(0,J2480-G2480)</f>
        <v/>
      </c>
      <c r="R2480" s="4">
        <f>IF(AND(N2480=1,O2480=1),"On Track",IF(O2480=0,"Customer Delivery Late","Ship Late"))</f>
        <v/>
      </c>
    </row>
    <row r="2481">
      <c r="A2481" s="2" t="inlineStr">
        <is>
          <t>ORD-02480</t>
        </is>
      </c>
      <c r="B2481" s="2" t="inlineStr">
        <is>
          <t>Customer 16</t>
        </is>
      </c>
      <c r="C2481" s="2" t="inlineStr">
        <is>
          <t>Sensor</t>
        </is>
      </c>
      <c r="D2481" s="2" t="inlineStr">
        <is>
          <t>Plant C</t>
        </is>
      </c>
      <c r="E2481" s="2" t="inlineStr">
        <is>
          <t>Export</t>
        </is>
      </c>
      <c r="F2481" s="12" t="n">
        <v>46026</v>
      </c>
      <c r="G2481" s="12" t="n">
        <v>46036</v>
      </c>
      <c r="H2481" s="12" t="n">
        <v>46031</v>
      </c>
      <c r="I2481" s="12" t="n">
        <v>46030</v>
      </c>
      <c r="J2481" s="12" t="n">
        <v>46036</v>
      </c>
      <c r="K2481" s="2" t="n">
        <v>1391</v>
      </c>
      <c r="L2481" s="2" t="inlineStr">
        <is>
          <t>Sea</t>
        </is>
      </c>
      <c r="M2481" s="2" t="inlineStr">
        <is>
          <t>No Delay</t>
        </is>
      </c>
      <c r="N2481" s="4">
        <f>IF(I2481&lt;=H2481,1,0)</f>
        <v/>
      </c>
      <c r="O2481" s="4">
        <f>IF(J2481&lt;=G2481,1,0)</f>
        <v/>
      </c>
      <c r="P2481" s="4">
        <f>MAX(0,I2481-H2481)</f>
        <v/>
      </c>
      <c r="Q2481" s="4">
        <f>MAX(0,J2481-G2481)</f>
        <v/>
      </c>
      <c r="R2481" s="4">
        <f>IF(AND(N2481=1,O2481=1),"On Track",IF(O2481=0,"Customer Delivery Late","Ship Late"))</f>
        <v/>
      </c>
    </row>
    <row r="2482">
      <c r="A2482" s="2" t="inlineStr">
        <is>
          <t>ORD-02481</t>
        </is>
      </c>
      <c r="B2482" s="2" t="inlineStr">
        <is>
          <t>Customer 15</t>
        </is>
      </c>
      <c r="C2482" s="2" t="inlineStr">
        <is>
          <t>Sensor</t>
        </is>
      </c>
      <c r="D2482" s="2" t="inlineStr">
        <is>
          <t>Plant B</t>
        </is>
      </c>
      <c r="E2482" s="2" t="inlineStr">
        <is>
          <t>Central</t>
        </is>
      </c>
      <c r="F2482" s="12" t="n">
        <v>46190</v>
      </c>
      <c r="G2482" s="12" t="n">
        <v>46205</v>
      </c>
      <c r="H2482" s="12" t="n">
        <v>46203</v>
      </c>
      <c r="I2482" s="12" t="n">
        <v>46202</v>
      </c>
      <c r="J2482" s="12" t="n">
        <v>46205</v>
      </c>
      <c r="K2482" s="2" t="n">
        <v>719</v>
      </c>
      <c r="L2482" s="2" t="inlineStr">
        <is>
          <t>Road</t>
        </is>
      </c>
      <c r="M2482" s="2" t="inlineStr">
        <is>
          <t>No Delay</t>
        </is>
      </c>
      <c r="N2482" s="4">
        <f>IF(I2482&lt;=H2482,1,0)</f>
        <v/>
      </c>
      <c r="O2482" s="4">
        <f>IF(J2482&lt;=G2482,1,0)</f>
        <v/>
      </c>
      <c r="P2482" s="4">
        <f>MAX(0,I2482-H2482)</f>
        <v/>
      </c>
      <c r="Q2482" s="4">
        <f>MAX(0,J2482-G2482)</f>
        <v/>
      </c>
      <c r="R2482" s="4">
        <f>IF(AND(N2482=1,O2482=1),"On Track",IF(O2482=0,"Customer Delivery Late","Ship Late"))</f>
        <v/>
      </c>
    </row>
    <row r="2483">
      <c r="A2483" s="2" t="inlineStr">
        <is>
          <t>ORD-02482</t>
        </is>
      </c>
      <c r="B2483" s="2" t="inlineStr">
        <is>
          <t>Customer 10</t>
        </is>
      </c>
      <c r="C2483" s="2" t="inlineStr">
        <is>
          <t>Contactor</t>
        </is>
      </c>
      <c r="D2483" s="2" t="inlineStr">
        <is>
          <t>Plant B</t>
        </is>
      </c>
      <c r="E2483" s="2" t="inlineStr">
        <is>
          <t>Central</t>
        </is>
      </c>
      <c r="F2483" s="12" t="n">
        <v>46121</v>
      </c>
      <c r="G2483" s="12" t="n">
        <v>46145</v>
      </c>
      <c r="H2483" s="12" t="n">
        <v>46142</v>
      </c>
      <c r="I2483" s="12" t="n">
        <v>46140</v>
      </c>
      <c r="J2483" s="12" t="n">
        <v>46143</v>
      </c>
      <c r="K2483" s="2" t="n">
        <v>912</v>
      </c>
      <c r="L2483" s="2" t="inlineStr">
        <is>
          <t>Air</t>
        </is>
      </c>
      <c r="M2483" s="2" t="inlineStr">
        <is>
          <t>No Delay</t>
        </is>
      </c>
      <c r="N2483" s="4">
        <f>IF(I2483&lt;=H2483,1,0)</f>
        <v/>
      </c>
      <c r="O2483" s="4">
        <f>IF(J2483&lt;=G2483,1,0)</f>
        <v/>
      </c>
      <c r="P2483" s="4">
        <f>MAX(0,I2483-H2483)</f>
        <v/>
      </c>
      <c r="Q2483" s="4">
        <f>MAX(0,J2483-G2483)</f>
        <v/>
      </c>
      <c r="R2483" s="4">
        <f>IF(AND(N2483=1,O2483=1),"On Track",IF(O2483=0,"Customer Delivery Late","Ship Late"))</f>
        <v/>
      </c>
    </row>
    <row r="2484">
      <c r="A2484" s="2" t="inlineStr">
        <is>
          <t>ORD-02483</t>
        </is>
      </c>
      <c r="B2484" s="2" t="inlineStr">
        <is>
          <t>Customer 20</t>
        </is>
      </c>
      <c r="C2484" s="2" t="inlineStr">
        <is>
          <t>PLC</t>
        </is>
      </c>
      <c r="D2484" s="2" t="inlineStr">
        <is>
          <t>Plant B</t>
        </is>
      </c>
      <c r="E2484" s="2" t="inlineStr">
        <is>
          <t>Export</t>
        </is>
      </c>
      <c r="F2484" s="12" t="n">
        <v>46033</v>
      </c>
      <c r="G2484" s="12" t="n">
        <v>46049</v>
      </c>
      <c r="H2484" s="12" t="n">
        <v>46048</v>
      </c>
      <c r="I2484" s="12" t="n">
        <v>46046</v>
      </c>
      <c r="J2484" s="12" t="n">
        <v>46047</v>
      </c>
      <c r="K2484" s="2" t="n">
        <v>819</v>
      </c>
      <c r="L2484" s="2" t="inlineStr">
        <is>
          <t>Sea</t>
        </is>
      </c>
      <c r="M2484" s="2" t="inlineStr">
        <is>
          <t>No Delay</t>
        </is>
      </c>
      <c r="N2484" s="4">
        <f>IF(I2484&lt;=H2484,1,0)</f>
        <v/>
      </c>
      <c r="O2484" s="4">
        <f>IF(J2484&lt;=G2484,1,0)</f>
        <v/>
      </c>
      <c r="P2484" s="4">
        <f>MAX(0,I2484-H2484)</f>
        <v/>
      </c>
      <c r="Q2484" s="4">
        <f>MAX(0,J2484-G2484)</f>
        <v/>
      </c>
      <c r="R2484" s="4">
        <f>IF(AND(N2484=1,O2484=1),"On Track",IF(O2484=0,"Customer Delivery Late","Ship Late"))</f>
        <v/>
      </c>
    </row>
    <row r="2485">
      <c r="A2485" s="2" t="inlineStr">
        <is>
          <t>ORD-02484</t>
        </is>
      </c>
      <c r="B2485" s="2" t="inlineStr">
        <is>
          <t>Customer 11</t>
        </is>
      </c>
      <c r="C2485" s="2" t="inlineStr">
        <is>
          <t>Drive</t>
        </is>
      </c>
      <c r="D2485" s="2" t="inlineStr">
        <is>
          <t>Plant B</t>
        </is>
      </c>
      <c r="E2485" s="2" t="inlineStr">
        <is>
          <t>North</t>
        </is>
      </c>
      <c r="F2485" s="12" t="n">
        <v>46169</v>
      </c>
      <c r="G2485" s="12" t="n">
        <v>46193</v>
      </c>
      <c r="H2485" s="12" t="n">
        <v>46189</v>
      </c>
      <c r="I2485" s="12" t="n">
        <v>46187</v>
      </c>
      <c r="J2485" s="12" t="n">
        <v>46190</v>
      </c>
      <c r="K2485" s="2" t="n">
        <v>947</v>
      </c>
      <c r="L2485" s="2" t="inlineStr">
        <is>
          <t>Air</t>
        </is>
      </c>
      <c r="M2485" s="2" t="inlineStr">
        <is>
          <t>No Delay</t>
        </is>
      </c>
      <c r="N2485" s="4">
        <f>IF(I2485&lt;=H2485,1,0)</f>
        <v/>
      </c>
      <c r="O2485" s="4">
        <f>IF(J2485&lt;=G2485,1,0)</f>
        <v/>
      </c>
      <c r="P2485" s="4">
        <f>MAX(0,I2485-H2485)</f>
        <v/>
      </c>
      <c r="Q2485" s="4">
        <f>MAX(0,J2485-G2485)</f>
        <v/>
      </c>
      <c r="R2485" s="4">
        <f>IF(AND(N2485=1,O2485=1),"On Track",IF(O2485=0,"Customer Delivery Late","Ship Late"))</f>
        <v/>
      </c>
    </row>
    <row r="2486">
      <c r="A2486" s="2" t="inlineStr">
        <is>
          <t>ORD-02485</t>
        </is>
      </c>
      <c r="B2486" s="2" t="inlineStr">
        <is>
          <t>Customer 09</t>
        </is>
      </c>
      <c r="C2486" s="2" t="inlineStr">
        <is>
          <t>Breaker</t>
        </is>
      </c>
      <c r="D2486" s="2" t="inlineStr">
        <is>
          <t>Plant C</t>
        </is>
      </c>
      <c r="E2486" s="2" t="inlineStr">
        <is>
          <t>North</t>
        </is>
      </c>
      <c r="F2486" s="12" t="n">
        <v>46176</v>
      </c>
      <c r="G2486" s="12" t="n">
        <v>46182</v>
      </c>
      <c r="H2486" s="12" t="n">
        <v>46179</v>
      </c>
      <c r="I2486" s="12" t="n">
        <v>46179</v>
      </c>
      <c r="J2486" s="12" t="n">
        <v>46183</v>
      </c>
      <c r="K2486" s="2" t="n">
        <v>443</v>
      </c>
      <c r="L2486" s="2" t="inlineStr">
        <is>
          <t>Air</t>
        </is>
      </c>
      <c r="M2486" s="2" t="inlineStr">
        <is>
          <t>Carrier Delay</t>
        </is>
      </c>
      <c r="N2486" s="4">
        <f>IF(I2486&lt;=H2486,1,0)</f>
        <v/>
      </c>
      <c r="O2486" s="4">
        <f>IF(J2486&lt;=G2486,1,0)</f>
        <v/>
      </c>
      <c r="P2486" s="4">
        <f>MAX(0,I2486-H2486)</f>
        <v/>
      </c>
      <c r="Q2486" s="4">
        <f>MAX(0,J2486-G2486)</f>
        <v/>
      </c>
      <c r="R2486" s="4">
        <f>IF(AND(N2486=1,O2486=1),"On Track",IF(O2486=0,"Customer Delivery Late","Ship Late"))</f>
        <v/>
      </c>
    </row>
    <row r="2487">
      <c r="A2487" s="2" t="inlineStr">
        <is>
          <t>ORD-02486</t>
        </is>
      </c>
      <c r="B2487" s="2" t="inlineStr">
        <is>
          <t>Customer 11</t>
        </is>
      </c>
      <c r="C2487" s="2" t="inlineStr">
        <is>
          <t>Breaker</t>
        </is>
      </c>
      <c r="D2487" s="2" t="inlineStr">
        <is>
          <t>Plant C</t>
        </is>
      </c>
      <c r="E2487" s="2" t="inlineStr">
        <is>
          <t>Export</t>
        </is>
      </c>
      <c r="F2487" s="12" t="n">
        <v>46151</v>
      </c>
      <c r="G2487" s="12" t="n">
        <v>46168</v>
      </c>
      <c r="H2487" s="12" t="n">
        <v>46166</v>
      </c>
      <c r="I2487" s="12" t="n">
        <v>46164</v>
      </c>
      <c r="J2487" s="12" t="n">
        <v>46166</v>
      </c>
      <c r="K2487" s="2" t="n">
        <v>438</v>
      </c>
      <c r="L2487" s="2" t="inlineStr">
        <is>
          <t>Road</t>
        </is>
      </c>
      <c r="M2487" s="2" t="inlineStr">
        <is>
          <t>No Delay</t>
        </is>
      </c>
      <c r="N2487" s="4">
        <f>IF(I2487&lt;=H2487,1,0)</f>
        <v/>
      </c>
      <c r="O2487" s="4">
        <f>IF(J2487&lt;=G2487,1,0)</f>
        <v/>
      </c>
      <c r="P2487" s="4">
        <f>MAX(0,I2487-H2487)</f>
        <v/>
      </c>
      <c r="Q2487" s="4">
        <f>MAX(0,J2487-G2487)</f>
        <v/>
      </c>
      <c r="R2487" s="4">
        <f>IF(AND(N2487=1,O2487=1),"On Track",IF(O2487=0,"Customer Delivery Late","Ship Late"))</f>
        <v/>
      </c>
    </row>
    <row r="2488">
      <c r="A2488" s="2" t="inlineStr">
        <is>
          <t>ORD-02487</t>
        </is>
      </c>
      <c r="B2488" s="2" t="inlineStr">
        <is>
          <t>Customer 03</t>
        </is>
      </c>
      <c r="C2488" s="2" t="inlineStr">
        <is>
          <t>Breaker</t>
        </is>
      </c>
      <c r="D2488" s="2" t="inlineStr">
        <is>
          <t>Plant C</t>
        </is>
      </c>
      <c r="E2488" s="2" t="inlineStr">
        <is>
          <t>South</t>
        </is>
      </c>
      <c r="F2488" s="12" t="n">
        <v>46089</v>
      </c>
      <c r="G2488" s="12" t="n">
        <v>46105</v>
      </c>
      <c r="H2488" s="12" t="n">
        <v>46103</v>
      </c>
      <c r="I2488" s="12" t="n">
        <v>46102</v>
      </c>
      <c r="J2488" s="12" t="n">
        <v>46103</v>
      </c>
      <c r="K2488" s="2" t="n">
        <v>1429</v>
      </c>
      <c r="L2488" s="2" t="inlineStr">
        <is>
          <t>Road</t>
        </is>
      </c>
      <c r="M2488" s="2" t="inlineStr">
        <is>
          <t>No Delay</t>
        </is>
      </c>
      <c r="N2488" s="4">
        <f>IF(I2488&lt;=H2488,1,0)</f>
        <v/>
      </c>
      <c r="O2488" s="4">
        <f>IF(J2488&lt;=G2488,1,0)</f>
        <v/>
      </c>
      <c r="P2488" s="4">
        <f>MAX(0,I2488-H2488)</f>
        <v/>
      </c>
      <c r="Q2488" s="4">
        <f>MAX(0,J2488-G2488)</f>
        <v/>
      </c>
      <c r="R2488" s="4">
        <f>IF(AND(N2488=1,O2488=1),"On Track",IF(O2488=0,"Customer Delivery Late","Ship Late"))</f>
        <v/>
      </c>
    </row>
    <row r="2489">
      <c r="A2489" s="2" t="inlineStr">
        <is>
          <t>ORD-02488</t>
        </is>
      </c>
      <c r="B2489" s="2" t="inlineStr">
        <is>
          <t>Customer 03</t>
        </is>
      </c>
      <c r="C2489" s="2" t="inlineStr">
        <is>
          <t>PLC</t>
        </is>
      </c>
      <c r="D2489" s="2" t="inlineStr">
        <is>
          <t>Plant B</t>
        </is>
      </c>
      <c r="E2489" s="2" t="inlineStr">
        <is>
          <t>Export</t>
        </is>
      </c>
      <c r="F2489" s="12" t="n">
        <v>46159</v>
      </c>
      <c r="G2489" s="12" t="n">
        <v>46172</v>
      </c>
      <c r="H2489" s="12" t="n">
        <v>46168</v>
      </c>
      <c r="I2489" s="12" t="n">
        <v>46168</v>
      </c>
      <c r="J2489" s="12" t="n">
        <v>46173</v>
      </c>
      <c r="K2489" s="2" t="n">
        <v>251</v>
      </c>
      <c r="L2489" s="2" t="inlineStr">
        <is>
          <t>Sea</t>
        </is>
      </c>
      <c r="M2489" s="2" t="inlineStr">
        <is>
          <t>Production Delay</t>
        </is>
      </c>
      <c r="N2489" s="4">
        <f>IF(I2489&lt;=H2489,1,0)</f>
        <v/>
      </c>
      <c r="O2489" s="4">
        <f>IF(J2489&lt;=G2489,1,0)</f>
        <v/>
      </c>
      <c r="P2489" s="4">
        <f>MAX(0,I2489-H2489)</f>
        <v/>
      </c>
      <c r="Q2489" s="4">
        <f>MAX(0,J2489-G2489)</f>
        <v/>
      </c>
      <c r="R2489" s="4">
        <f>IF(AND(N2489=1,O2489=1),"On Track",IF(O2489=0,"Customer Delivery Late","Ship Late"))</f>
        <v/>
      </c>
    </row>
    <row r="2490">
      <c r="A2490" s="2" t="inlineStr">
        <is>
          <t>ORD-02489</t>
        </is>
      </c>
      <c r="B2490" s="2" t="inlineStr">
        <is>
          <t>Customer 28</t>
        </is>
      </c>
      <c r="C2490" s="2" t="inlineStr">
        <is>
          <t>Breaker</t>
        </is>
      </c>
      <c r="D2490" s="2" t="inlineStr">
        <is>
          <t>Plant A</t>
        </is>
      </c>
      <c r="E2490" s="2" t="inlineStr">
        <is>
          <t>Central</t>
        </is>
      </c>
      <c r="F2490" s="12" t="n">
        <v>46193</v>
      </c>
      <c r="G2490" s="12" t="n">
        <v>46204</v>
      </c>
      <c r="H2490" s="12" t="n">
        <v>46203</v>
      </c>
      <c r="I2490" s="12" t="n">
        <v>46202</v>
      </c>
      <c r="J2490" s="12" t="n">
        <v>46203</v>
      </c>
      <c r="K2490" s="2" t="n">
        <v>312</v>
      </c>
      <c r="L2490" s="2" t="inlineStr">
        <is>
          <t>Sea</t>
        </is>
      </c>
      <c r="M2490" s="2" t="inlineStr">
        <is>
          <t>No Delay</t>
        </is>
      </c>
      <c r="N2490" s="4">
        <f>IF(I2490&lt;=H2490,1,0)</f>
        <v/>
      </c>
      <c r="O2490" s="4">
        <f>IF(J2490&lt;=G2490,1,0)</f>
        <v/>
      </c>
      <c r="P2490" s="4">
        <f>MAX(0,I2490-H2490)</f>
        <v/>
      </c>
      <c r="Q2490" s="4">
        <f>MAX(0,J2490-G2490)</f>
        <v/>
      </c>
      <c r="R2490" s="4">
        <f>IF(AND(N2490=1,O2490=1),"On Track",IF(O2490=0,"Customer Delivery Late","Ship Late"))</f>
        <v/>
      </c>
    </row>
    <row r="2491">
      <c r="A2491" s="2" t="inlineStr">
        <is>
          <t>ORD-02490</t>
        </is>
      </c>
      <c r="B2491" s="2" t="inlineStr">
        <is>
          <t>Customer 11</t>
        </is>
      </c>
      <c r="C2491" s="2" t="inlineStr">
        <is>
          <t>Sensor</t>
        </is>
      </c>
      <c r="D2491" s="2" t="inlineStr">
        <is>
          <t>Plant C</t>
        </is>
      </c>
      <c r="E2491" s="2" t="inlineStr">
        <is>
          <t>Central</t>
        </is>
      </c>
      <c r="F2491" s="12" t="n">
        <v>46130</v>
      </c>
      <c r="G2491" s="12" t="n">
        <v>46143</v>
      </c>
      <c r="H2491" s="12" t="n">
        <v>46141</v>
      </c>
      <c r="I2491" s="12" t="n">
        <v>46140</v>
      </c>
      <c r="J2491" s="12" t="n">
        <v>46141</v>
      </c>
      <c r="K2491" s="2" t="n">
        <v>1186</v>
      </c>
      <c r="L2491" s="2" t="inlineStr">
        <is>
          <t>Sea</t>
        </is>
      </c>
      <c r="M2491" s="2" t="inlineStr">
        <is>
          <t>No Delay</t>
        </is>
      </c>
      <c r="N2491" s="4">
        <f>IF(I2491&lt;=H2491,1,0)</f>
        <v/>
      </c>
      <c r="O2491" s="4">
        <f>IF(J2491&lt;=G2491,1,0)</f>
        <v/>
      </c>
      <c r="P2491" s="4">
        <f>MAX(0,I2491-H2491)</f>
        <v/>
      </c>
      <c r="Q2491" s="4">
        <f>MAX(0,J2491-G2491)</f>
        <v/>
      </c>
      <c r="R2491" s="4">
        <f>IF(AND(N2491=1,O2491=1),"On Track",IF(O2491=0,"Customer Delivery Late","Ship Late"))</f>
        <v/>
      </c>
    </row>
    <row r="2492">
      <c r="A2492" s="2" t="inlineStr">
        <is>
          <t>ORD-02491</t>
        </is>
      </c>
      <c r="B2492" s="2" t="inlineStr">
        <is>
          <t>Customer 22</t>
        </is>
      </c>
      <c r="C2492" s="2" t="inlineStr">
        <is>
          <t>Sensor</t>
        </is>
      </c>
      <c r="D2492" s="2" t="inlineStr">
        <is>
          <t>Plant C</t>
        </is>
      </c>
      <c r="E2492" s="2" t="inlineStr">
        <is>
          <t>South</t>
        </is>
      </c>
      <c r="F2492" s="12" t="n">
        <v>46146</v>
      </c>
      <c r="G2492" s="12" t="n">
        <v>46168</v>
      </c>
      <c r="H2492" s="12" t="n">
        <v>46167</v>
      </c>
      <c r="I2492" s="12" t="n">
        <v>46165</v>
      </c>
      <c r="J2492" s="12" t="n">
        <v>46166</v>
      </c>
      <c r="K2492" s="2" t="n">
        <v>925</v>
      </c>
      <c r="L2492" s="2" t="inlineStr">
        <is>
          <t>Air</t>
        </is>
      </c>
      <c r="M2492" s="2" t="inlineStr">
        <is>
          <t>No Delay</t>
        </is>
      </c>
      <c r="N2492" s="4">
        <f>IF(I2492&lt;=H2492,1,0)</f>
        <v/>
      </c>
      <c r="O2492" s="4">
        <f>IF(J2492&lt;=G2492,1,0)</f>
        <v/>
      </c>
      <c r="P2492" s="4">
        <f>MAX(0,I2492-H2492)</f>
        <v/>
      </c>
      <c r="Q2492" s="4">
        <f>MAX(0,J2492-G2492)</f>
        <v/>
      </c>
      <c r="R2492" s="4">
        <f>IF(AND(N2492=1,O2492=1),"On Track",IF(O2492=0,"Customer Delivery Late","Ship Late"))</f>
        <v/>
      </c>
    </row>
    <row r="2493">
      <c r="A2493" s="2" t="inlineStr">
        <is>
          <t>ORD-02492</t>
        </is>
      </c>
      <c r="B2493" s="2" t="inlineStr">
        <is>
          <t>Customer 18</t>
        </is>
      </c>
      <c r="C2493" s="2" t="inlineStr">
        <is>
          <t>Sensor</t>
        </is>
      </c>
      <c r="D2493" s="2" t="inlineStr">
        <is>
          <t>Plant C</t>
        </is>
      </c>
      <c r="E2493" s="2" t="inlineStr">
        <is>
          <t>Export</t>
        </is>
      </c>
      <c r="F2493" s="12" t="n">
        <v>46121</v>
      </c>
      <c r="G2493" s="12" t="n">
        <v>46126</v>
      </c>
      <c r="H2493" s="12" t="n">
        <v>46123</v>
      </c>
      <c r="I2493" s="12" t="n">
        <v>46121</v>
      </c>
      <c r="J2493" s="12" t="n">
        <v>46123</v>
      </c>
      <c r="K2493" s="2" t="n">
        <v>379</v>
      </c>
      <c r="L2493" s="2" t="inlineStr">
        <is>
          <t>Road</t>
        </is>
      </c>
      <c r="M2493" s="2" t="inlineStr">
        <is>
          <t>No Delay</t>
        </is>
      </c>
      <c r="N2493" s="4">
        <f>IF(I2493&lt;=H2493,1,0)</f>
        <v/>
      </c>
      <c r="O2493" s="4">
        <f>IF(J2493&lt;=G2493,1,0)</f>
        <v/>
      </c>
      <c r="P2493" s="4">
        <f>MAX(0,I2493-H2493)</f>
        <v/>
      </c>
      <c r="Q2493" s="4">
        <f>MAX(0,J2493-G2493)</f>
        <v/>
      </c>
      <c r="R2493" s="4">
        <f>IF(AND(N2493=1,O2493=1),"On Track",IF(O2493=0,"Customer Delivery Late","Ship Late"))</f>
        <v/>
      </c>
    </row>
    <row r="2494">
      <c r="A2494" s="2" t="inlineStr">
        <is>
          <t>ORD-02493</t>
        </is>
      </c>
      <c r="B2494" s="2" t="inlineStr">
        <is>
          <t>Customer 09</t>
        </is>
      </c>
      <c r="C2494" s="2" t="inlineStr">
        <is>
          <t>Drive</t>
        </is>
      </c>
      <c r="D2494" s="2" t="inlineStr">
        <is>
          <t>Plant A</t>
        </is>
      </c>
      <c r="E2494" s="2" t="inlineStr">
        <is>
          <t>Central</t>
        </is>
      </c>
      <c r="F2494" s="12" t="n">
        <v>46090</v>
      </c>
      <c r="G2494" s="12" t="n">
        <v>46108</v>
      </c>
      <c r="H2494" s="12" t="n">
        <v>46107</v>
      </c>
      <c r="I2494" s="12" t="n">
        <v>46106</v>
      </c>
      <c r="J2494" s="12" t="n">
        <v>46108</v>
      </c>
      <c r="K2494" s="2" t="n">
        <v>877</v>
      </c>
      <c r="L2494" s="2" t="inlineStr">
        <is>
          <t>Air</t>
        </is>
      </c>
      <c r="M2494" s="2" t="inlineStr">
        <is>
          <t>No Delay</t>
        </is>
      </c>
      <c r="N2494" s="4">
        <f>IF(I2494&lt;=H2494,1,0)</f>
        <v/>
      </c>
      <c r="O2494" s="4">
        <f>IF(J2494&lt;=G2494,1,0)</f>
        <v/>
      </c>
      <c r="P2494" s="4">
        <f>MAX(0,I2494-H2494)</f>
        <v/>
      </c>
      <c r="Q2494" s="4">
        <f>MAX(0,J2494-G2494)</f>
        <v/>
      </c>
      <c r="R2494" s="4">
        <f>IF(AND(N2494=1,O2494=1),"On Track",IF(O2494=0,"Customer Delivery Late","Ship Late"))</f>
        <v/>
      </c>
    </row>
    <row r="2495">
      <c r="A2495" s="2" t="inlineStr">
        <is>
          <t>ORD-02494</t>
        </is>
      </c>
      <c r="B2495" s="2" t="inlineStr">
        <is>
          <t>Customer 15</t>
        </is>
      </c>
      <c r="C2495" s="2" t="inlineStr">
        <is>
          <t>Switchgear</t>
        </is>
      </c>
      <c r="D2495" s="2" t="inlineStr">
        <is>
          <t>Plant B</t>
        </is>
      </c>
      <c r="E2495" s="2" t="inlineStr">
        <is>
          <t>South</t>
        </is>
      </c>
      <c r="F2495" s="12" t="n">
        <v>46132</v>
      </c>
      <c r="G2495" s="12" t="n">
        <v>46156</v>
      </c>
      <c r="H2495" s="12" t="n">
        <v>46151</v>
      </c>
      <c r="I2495" s="12" t="n">
        <v>46151</v>
      </c>
      <c r="J2495" s="12" t="n">
        <v>46157</v>
      </c>
      <c r="K2495" s="2" t="n">
        <v>580</v>
      </c>
      <c r="L2495" s="2" t="inlineStr">
        <is>
          <t>Air</t>
        </is>
      </c>
      <c r="M2495" s="2" t="inlineStr">
        <is>
          <t>Capacity Constraint</t>
        </is>
      </c>
      <c r="N2495" s="4">
        <f>IF(I2495&lt;=H2495,1,0)</f>
        <v/>
      </c>
      <c r="O2495" s="4">
        <f>IF(J2495&lt;=G2495,1,0)</f>
        <v/>
      </c>
      <c r="P2495" s="4">
        <f>MAX(0,I2495-H2495)</f>
        <v/>
      </c>
      <c r="Q2495" s="4">
        <f>MAX(0,J2495-G2495)</f>
        <v/>
      </c>
      <c r="R2495" s="4">
        <f>IF(AND(N2495=1,O2495=1),"On Track",IF(O2495=0,"Customer Delivery Late","Ship Late"))</f>
        <v/>
      </c>
    </row>
    <row r="2496">
      <c r="A2496" s="2" t="inlineStr">
        <is>
          <t>ORD-02495</t>
        </is>
      </c>
      <c r="B2496" s="2" t="inlineStr">
        <is>
          <t>Customer 24</t>
        </is>
      </c>
      <c r="C2496" s="2" t="inlineStr">
        <is>
          <t>PLC</t>
        </is>
      </c>
      <c r="D2496" s="2" t="inlineStr">
        <is>
          <t>Plant B</t>
        </is>
      </c>
      <c r="E2496" s="2" t="inlineStr">
        <is>
          <t>North</t>
        </is>
      </c>
      <c r="F2496" s="12" t="n">
        <v>46154</v>
      </c>
      <c r="G2496" s="12" t="n">
        <v>46167</v>
      </c>
      <c r="H2496" s="12" t="n">
        <v>46163</v>
      </c>
      <c r="I2496" s="12" t="n">
        <v>46161</v>
      </c>
      <c r="J2496" s="12" t="n">
        <v>46172</v>
      </c>
      <c r="K2496" s="2" t="n">
        <v>1425</v>
      </c>
      <c r="L2496" s="2" t="inlineStr">
        <is>
          <t>Air</t>
        </is>
      </c>
      <c r="M2496" s="2" t="inlineStr">
        <is>
          <t>Production Delay</t>
        </is>
      </c>
      <c r="N2496" s="4">
        <f>IF(I2496&lt;=H2496,1,0)</f>
        <v/>
      </c>
      <c r="O2496" s="4">
        <f>IF(J2496&lt;=G2496,1,0)</f>
        <v/>
      </c>
      <c r="P2496" s="4">
        <f>MAX(0,I2496-H2496)</f>
        <v/>
      </c>
      <c r="Q2496" s="4">
        <f>MAX(0,J2496-G2496)</f>
        <v/>
      </c>
      <c r="R2496" s="4">
        <f>IF(AND(N2496=1,O2496=1),"On Track",IF(O2496=0,"Customer Delivery Late","Ship Late"))</f>
        <v/>
      </c>
    </row>
    <row r="2497">
      <c r="A2497" s="2" t="inlineStr">
        <is>
          <t>ORD-02496</t>
        </is>
      </c>
      <c r="B2497" s="2" t="inlineStr">
        <is>
          <t>Customer 13</t>
        </is>
      </c>
      <c r="C2497" s="2" t="inlineStr">
        <is>
          <t>PLC</t>
        </is>
      </c>
      <c r="D2497" s="2" t="inlineStr">
        <is>
          <t>Plant C</t>
        </is>
      </c>
      <c r="E2497" s="2" t="inlineStr">
        <is>
          <t>North</t>
        </is>
      </c>
      <c r="F2497" s="12" t="n">
        <v>46177</v>
      </c>
      <c r="G2497" s="12" t="n">
        <v>46195</v>
      </c>
      <c r="H2497" s="12" t="n">
        <v>46193</v>
      </c>
      <c r="I2497" s="12" t="n">
        <v>46192</v>
      </c>
      <c r="J2497" s="12" t="n">
        <v>46195</v>
      </c>
      <c r="K2497" s="2" t="n">
        <v>237</v>
      </c>
      <c r="L2497" s="2" t="inlineStr">
        <is>
          <t>Road</t>
        </is>
      </c>
      <c r="M2497" s="2" t="inlineStr">
        <is>
          <t>No Delay</t>
        </is>
      </c>
      <c r="N2497" s="4">
        <f>IF(I2497&lt;=H2497,1,0)</f>
        <v/>
      </c>
      <c r="O2497" s="4">
        <f>IF(J2497&lt;=G2497,1,0)</f>
        <v/>
      </c>
      <c r="P2497" s="4">
        <f>MAX(0,I2497-H2497)</f>
        <v/>
      </c>
      <c r="Q2497" s="4">
        <f>MAX(0,J2497-G2497)</f>
        <v/>
      </c>
      <c r="R2497" s="4">
        <f>IF(AND(N2497=1,O2497=1),"On Track",IF(O2497=0,"Customer Delivery Late","Ship Late"))</f>
        <v/>
      </c>
    </row>
    <row r="2498">
      <c r="A2498" s="2" t="inlineStr">
        <is>
          <t>ORD-02497</t>
        </is>
      </c>
      <c r="B2498" s="2" t="inlineStr">
        <is>
          <t>Customer 22</t>
        </is>
      </c>
      <c r="C2498" s="2" t="inlineStr">
        <is>
          <t>Drive</t>
        </is>
      </c>
      <c r="D2498" s="2" t="inlineStr">
        <is>
          <t>Plant B</t>
        </is>
      </c>
      <c r="E2498" s="2" t="inlineStr">
        <is>
          <t>North</t>
        </is>
      </c>
      <c r="F2498" s="12" t="n">
        <v>46094</v>
      </c>
      <c r="G2498" s="12" t="n">
        <v>46115</v>
      </c>
      <c r="H2498" s="12" t="n">
        <v>46112</v>
      </c>
      <c r="I2498" s="12" t="n">
        <v>46111</v>
      </c>
      <c r="J2498" s="12" t="n">
        <v>46114</v>
      </c>
      <c r="K2498" s="2" t="n">
        <v>153</v>
      </c>
      <c r="L2498" s="2" t="inlineStr">
        <is>
          <t>Air</t>
        </is>
      </c>
      <c r="M2498" s="2" t="inlineStr">
        <is>
          <t>No Delay</t>
        </is>
      </c>
      <c r="N2498" s="4">
        <f>IF(I2498&lt;=H2498,1,0)</f>
        <v/>
      </c>
      <c r="O2498" s="4">
        <f>IF(J2498&lt;=G2498,1,0)</f>
        <v/>
      </c>
      <c r="P2498" s="4">
        <f>MAX(0,I2498-H2498)</f>
        <v/>
      </c>
      <c r="Q2498" s="4">
        <f>MAX(0,J2498-G2498)</f>
        <v/>
      </c>
      <c r="R2498" s="4">
        <f>IF(AND(N2498=1,O2498=1),"On Track",IF(O2498=0,"Customer Delivery Late","Ship Late"))</f>
        <v/>
      </c>
    </row>
    <row r="2499">
      <c r="A2499" s="2" t="inlineStr">
        <is>
          <t>ORD-02498</t>
        </is>
      </c>
      <c r="B2499" s="2" t="inlineStr">
        <is>
          <t>Customer 26</t>
        </is>
      </c>
      <c r="C2499" s="2" t="inlineStr">
        <is>
          <t>Switchgear</t>
        </is>
      </c>
      <c r="D2499" s="2" t="inlineStr">
        <is>
          <t>Plant A</t>
        </is>
      </c>
      <c r="E2499" s="2" t="inlineStr">
        <is>
          <t>Export</t>
        </is>
      </c>
      <c r="F2499" s="12" t="n">
        <v>46127</v>
      </c>
      <c r="G2499" s="12" t="n">
        <v>46149</v>
      </c>
      <c r="H2499" s="12" t="n">
        <v>46145</v>
      </c>
      <c r="I2499" s="12" t="n">
        <v>46143</v>
      </c>
      <c r="J2499" s="12" t="n">
        <v>46146</v>
      </c>
      <c r="K2499" s="2" t="n">
        <v>696</v>
      </c>
      <c r="L2499" s="2" t="inlineStr">
        <is>
          <t>Sea</t>
        </is>
      </c>
      <c r="M2499" s="2" t="inlineStr">
        <is>
          <t>No Delay</t>
        </is>
      </c>
      <c r="N2499" s="4">
        <f>IF(I2499&lt;=H2499,1,0)</f>
        <v/>
      </c>
      <c r="O2499" s="4">
        <f>IF(J2499&lt;=G2499,1,0)</f>
        <v/>
      </c>
      <c r="P2499" s="4">
        <f>MAX(0,I2499-H2499)</f>
        <v/>
      </c>
      <c r="Q2499" s="4">
        <f>MAX(0,J2499-G2499)</f>
        <v/>
      </c>
      <c r="R2499" s="4">
        <f>IF(AND(N2499=1,O2499=1),"On Track",IF(O2499=0,"Customer Delivery Late","Ship Late"))</f>
        <v/>
      </c>
    </row>
    <row r="2500">
      <c r="A2500" s="2" t="inlineStr">
        <is>
          <t>ORD-02499</t>
        </is>
      </c>
      <c r="B2500" s="2" t="inlineStr">
        <is>
          <t>Customer 23</t>
        </is>
      </c>
      <c r="C2500" s="2" t="inlineStr">
        <is>
          <t>Relay</t>
        </is>
      </c>
      <c r="D2500" s="2" t="inlineStr">
        <is>
          <t>Plant B</t>
        </is>
      </c>
      <c r="E2500" s="2" t="inlineStr">
        <is>
          <t>South</t>
        </is>
      </c>
      <c r="F2500" s="12" t="n">
        <v>46087</v>
      </c>
      <c r="G2500" s="12" t="n">
        <v>46108</v>
      </c>
      <c r="H2500" s="12" t="n">
        <v>46107</v>
      </c>
      <c r="I2500" s="12" t="n">
        <v>46105</v>
      </c>
      <c r="J2500" s="12" t="n">
        <v>46106</v>
      </c>
      <c r="K2500" s="2" t="n">
        <v>504</v>
      </c>
      <c r="L2500" s="2" t="inlineStr">
        <is>
          <t>Road</t>
        </is>
      </c>
      <c r="M2500" s="2" t="inlineStr">
        <is>
          <t>No Delay</t>
        </is>
      </c>
      <c r="N2500" s="4">
        <f>IF(I2500&lt;=H2500,1,0)</f>
        <v/>
      </c>
      <c r="O2500" s="4">
        <f>IF(J2500&lt;=G2500,1,0)</f>
        <v/>
      </c>
      <c r="P2500" s="4">
        <f>MAX(0,I2500-H2500)</f>
        <v/>
      </c>
      <c r="Q2500" s="4">
        <f>MAX(0,J2500-G2500)</f>
        <v/>
      </c>
      <c r="R2500" s="4">
        <f>IF(AND(N2500=1,O2500=1),"On Track",IF(O2500=0,"Customer Delivery Late","Ship Late"))</f>
        <v/>
      </c>
    </row>
    <row r="2501">
      <c r="A2501" s="2" t="inlineStr">
        <is>
          <t>ORD-02500</t>
        </is>
      </c>
      <c r="B2501" s="2" t="inlineStr">
        <is>
          <t>Customer 21</t>
        </is>
      </c>
      <c r="C2501" s="2" t="inlineStr">
        <is>
          <t>Relay</t>
        </is>
      </c>
      <c r="D2501" s="2" t="inlineStr">
        <is>
          <t>Plant B</t>
        </is>
      </c>
      <c r="E2501" s="2" t="inlineStr">
        <is>
          <t>South</t>
        </is>
      </c>
      <c r="F2501" s="12" t="n">
        <v>46036</v>
      </c>
      <c r="G2501" s="12" t="n">
        <v>46047</v>
      </c>
      <c r="H2501" s="12" t="n">
        <v>46043</v>
      </c>
      <c r="I2501" s="12" t="n">
        <v>46041</v>
      </c>
      <c r="J2501" s="12" t="n">
        <v>46044</v>
      </c>
      <c r="K2501" s="2" t="n">
        <v>945</v>
      </c>
      <c r="L2501" s="2" t="inlineStr">
        <is>
          <t>Air</t>
        </is>
      </c>
      <c r="M2501" s="2" t="inlineStr">
        <is>
          <t>No Delay</t>
        </is>
      </c>
      <c r="N2501" s="4">
        <f>IF(I2501&lt;=H2501,1,0)</f>
        <v/>
      </c>
      <c r="O2501" s="4">
        <f>IF(J2501&lt;=G2501,1,0)</f>
        <v/>
      </c>
      <c r="P2501" s="4">
        <f>MAX(0,I2501-H2501)</f>
        <v/>
      </c>
      <c r="Q2501" s="4">
        <f>MAX(0,J2501-G2501)</f>
        <v/>
      </c>
      <c r="R2501" s="4">
        <f>IF(AND(N2501=1,O2501=1),"On Track",IF(O2501=0,"Customer Delivery Late","Ship Late"))</f>
        <v/>
      </c>
    </row>
    <row r="2502">
      <c r="A2502" s="2" t="inlineStr">
        <is>
          <t>ORD-02501</t>
        </is>
      </c>
      <c r="B2502" s="2" t="inlineStr">
        <is>
          <t>Customer 23</t>
        </is>
      </c>
      <c r="C2502" s="2" t="inlineStr">
        <is>
          <t>Breaker</t>
        </is>
      </c>
      <c r="D2502" s="2" t="inlineStr">
        <is>
          <t>Plant B</t>
        </is>
      </c>
      <c r="E2502" s="2" t="inlineStr">
        <is>
          <t>Central</t>
        </is>
      </c>
      <c r="F2502" s="12" t="n">
        <v>46130</v>
      </c>
      <c r="G2502" s="12" t="n">
        <v>46141</v>
      </c>
      <c r="H2502" s="12" t="n">
        <v>46140</v>
      </c>
      <c r="I2502" s="12" t="n">
        <v>46138</v>
      </c>
      <c r="J2502" s="12" t="n">
        <v>46139</v>
      </c>
      <c r="K2502" s="2" t="n">
        <v>1151</v>
      </c>
      <c r="L2502" s="2" t="inlineStr">
        <is>
          <t>Air</t>
        </is>
      </c>
      <c r="M2502" s="2" t="inlineStr">
        <is>
          <t>No Delay</t>
        </is>
      </c>
      <c r="N2502" s="4">
        <f>IF(I2502&lt;=H2502,1,0)</f>
        <v/>
      </c>
      <c r="O2502" s="4">
        <f>IF(J2502&lt;=G2502,1,0)</f>
        <v/>
      </c>
      <c r="P2502" s="4">
        <f>MAX(0,I2502-H2502)</f>
        <v/>
      </c>
      <c r="Q2502" s="4">
        <f>MAX(0,J2502-G2502)</f>
        <v/>
      </c>
      <c r="R2502" s="4">
        <f>IF(AND(N2502=1,O2502=1),"On Track",IF(O2502=0,"Customer Delivery Late","Ship Late"))</f>
        <v/>
      </c>
    </row>
    <row r="2503">
      <c r="A2503" s="2" t="inlineStr">
        <is>
          <t>ORD-02502</t>
        </is>
      </c>
      <c r="B2503" s="2" t="inlineStr">
        <is>
          <t>Customer 17</t>
        </is>
      </c>
      <c r="C2503" s="2" t="inlineStr">
        <is>
          <t>Drive</t>
        </is>
      </c>
      <c r="D2503" s="2" t="inlineStr">
        <is>
          <t>Plant C</t>
        </is>
      </c>
      <c r="E2503" s="2" t="inlineStr">
        <is>
          <t>Export</t>
        </is>
      </c>
      <c r="F2503" s="12" t="n">
        <v>46161</v>
      </c>
      <c r="G2503" s="12" t="n">
        <v>46167</v>
      </c>
      <c r="H2503" s="12" t="n">
        <v>46163</v>
      </c>
      <c r="I2503" s="12" t="n">
        <v>46162</v>
      </c>
      <c r="J2503" s="12" t="n">
        <v>46166</v>
      </c>
      <c r="K2503" s="2" t="n">
        <v>781</v>
      </c>
      <c r="L2503" s="2" t="inlineStr">
        <is>
          <t>Road</t>
        </is>
      </c>
      <c r="M2503" s="2" t="inlineStr">
        <is>
          <t>No Delay</t>
        </is>
      </c>
      <c r="N2503" s="4">
        <f>IF(I2503&lt;=H2503,1,0)</f>
        <v/>
      </c>
      <c r="O2503" s="4">
        <f>IF(J2503&lt;=G2503,1,0)</f>
        <v/>
      </c>
      <c r="P2503" s="4">
        <f>MAX(0,I2503-H2503)</f>
        <v/>
      </c>
      <c r="Q2503" s="4">
        <f>MAX(0,J2503-G2503)</f>
        <v/>
      </c>
      <c r="R2503" s="4">
        <f>IF(AND(N2503=1,O2503=1),"On Track",IF(O2503=0,"Customer Delivery Late","Ship Late"))</f>
        <v/>
      </c>
    </row>
    <row r="2504">
      <c r="A2504" s="2" t="inlineStr">
        <is>
          <t>ORD-02503</t>
        </is>
      </c>
      <c r="B2504" s="2" t="inlineStr">
        <is>
          <t>Customer 06</t>
        </is>
      </c>
      <c r="C2504" s="2" t="inlineStr">
        <is>
          <t>Relay</t>
        </is>
      </c>
      <c r="D2504" s="2" t="inlineStr">
        <is>
          <t>Plant B</t>
        </is>
      </c>
      <c r="E2504" s="2" t="inlineStr">
        <is>
          <t>Central</t>
        </is>
      </c>
      <c r="F2504" s="12" t="n">
        <v>46113</v>
      </c>
      <c r="G2504" s="12" t="n">
        <v>46131</v>
      </c>
      <c r="H2504" s="12" t="n">
        <v>46128</v>
      </c>
      <c r="I2504" s="12" t="n">
        <v>46127</v>
      </c>
      <c r="J2504" s="12" t="n">
        <v>46131</v>
      </c>
      <c r="K2504" s="2" t="n">
        <v>165</v>
      </c>
      <c r="L2504" s="2" t="inlineStr">
        <is>
          <t>Road</t>
        </is>
      </c>
      <c r="M2504" s="2" t="inlineStr">
        <is>
          <t>No Delay</t>
        </is>
      </c>
      <c r="N2504" s="4">
        <f>IF(I2504&lt;=H2504,1,0)</f>
        <v/>
      </c>
      <c r="O2504" s="4">
        <f>IF(J2504&lt;=G2504,1,0)</f>
        <v/>
      </c>
      <c r="P2504" s="4">
        <f>MAX(0,I2504-H2504)</f>
        <v/>
      </c>
      <c r="Q2504" s="4">
        <f>MAX(0,J2504-G2504)</f>
        <v/>
      </c>
      <c r="R2504" s="4">
        <f>IF(AND(N2504=1,O2504=1),"On Track",IF(O2504=0,"Customer Delivery Late","Ship Late"))</f>
        <v/>
      </c>
    </row>
    <row r="2505">
      <c r="A2505" s="2" t="inlineStr">
        <is>
          <t>ORD-02504</t>
        </is>
      </c>
      <c r="B2505" s="2" t="inlineStr">
        <is>
          <t>Customer 20</t>
        </is>
      </c>
      <c r="C2505" s="2" t="inlineStr">
        <is>
          <t>Sensor</t>
        </is>
      </c>
      <c r="D2505" s="2" t="inlineStr">
        <is>
          <t>Plant B</t>
        </is>
      </c>
      <c r="E2505" s="2" t="inlineStr">
        <is>
          <t>South</t>
        </is>
      </c>
      <c r="F2505" s="12" t="n">
        <v>46192</v>
      </c>
      <c r="G2505" s="12" t="n">
        <v>46213</v>
      </c>
      <c r="H2505" s="12" t="n">
        <v>46208</v>
      </c>
      <c r="I2505" s="12" t="n">
        <v>46208</v>
      </c>
      <c r="J2505" s="12" t="n">
        <v>46213</v>
      </c>
      <c r="K2505" s="2" t="n">
        <v>369</v>
      </c>
      <c r="L2505" s="2" t="inlineStr">
        <is>
          <t>Sea</t>
        </is>
      </c>
      <c r="M2505" s="2" t="inlineStr">
        <is>
          <t>No Delay</t>
        </is>
      </c>
      <c r="N2505" s="4">
        <f>IF(I2505&lt;=H2505,1,0)</f>
        <v/>
      </c>
      <c r="O2505" s="4">
        <f>IF(J2505&lt;=G2505,1,0)</f>
        <v/>
      </c>
      <c r="P2505" s="4">
        <f>MAX(0,I2505-H2505)</f>
        <v/>
      </c>
      <c r="Q2505" s="4">
        <f>MAX(0,J2505-G2505)</f>
        <v/>
      </c>
      <c r="R2505" s="4">
        <f>IF(AND(N2505=1,O2505=1),"On Track",IF(O2505=0,"Customer Delivery Late","Ship Late"))</f>
        <v/>
      </c>
    </row>
    <row r="2506">
      <c r="A2506" s="2" t="inlineStr">
        <is>
          <t>ORD-02505</t>
        </is>
      </c>
      <c r="B2506" s="2" t="inlineStr">
        <is>
          <t>Customer 03</t>
        </is>
      </c>
      <c r="C2506" s="2" t="inlineStr">
        <is>
          <t>PLC</t>
        </is>
      </c>
      <c r="D2506" s="2" t="inlineStr">
        <is>
          <t>Plant C</t>
        </is>
      </c>
      <c r="E2506" s="2" t="inlineStr">
        <is>
          <t>Central</t>
        </is>
      </c>
      <c r="F2506" s="12" t="n">
        <v>46151</v>
      </c>
      <c r="G2506" s="12" t="n">
        <v>46161</v>
      </c>
      <c r="H2506" s="12" t="n">
        <v>46156</v>
      </c>
      <c r="I2506" s="12" t="n">
        <v>46164</v>
      </c>
      <c r="J2506" s="12" t="n">
        <v>46169</v>
      </c>
      <c r="K2506" s="2" t="n">
        <v>1273</v>
      </c>
      <c r="L2506" s="2" t="inlineStr">
        <is>
          <t>Sea</t>
        </is>
      </c>
      <c r="M2506" s="2" t="inlineStr">
        <is>
          <t>Production Delay</t>
        </is>
      </c>
      <c r="N2506" s="4">
        <f>IF(I2506&lt;=H2506,1,0)</f>
        <v/>
      </c>
      <c r="O2506" s="4">
        <f>IF(J2506&lt;=G2506,1,0)</f>
        <v/>
      </c>
      <c r="P2506" s="4">
        <f>MAX(0,I2506-H2506)</f>
        <v/>
      </c>
      <c r="Q2506" s="4">
        <f>MAX(0,J2506-G2506)</f>
        <v/>
      </c>
      <c r="R2506" s="4">
        <f>IF(AND(N2506=1,O2506=1),"On Track",IF(O2506=0,"Customer Delivery Late","Ship Late"))</f>
        <v/>
      </c>
    </row>
    <row r="2507">
      <c r="A2507" s="2" t="inlineStr">
        <is>
          <t>ORD-02506</t>
        </is>
      </c>
      <c r="B2507" s="2" t="inlineStr">
        <is>
          <t>Customer 07</t>
        </is>
      </c>
      <c r="C2507" s="2" t="inlineStr">
        <is>
          <t>Power Supply</t>
        </is>
      </c>
      <c r="D2507" s="2" t="inlineStr">
        <is>
          <t>Plant B</t>
        </is>
      </c>
      <c r="E2507" s="2" t="inlineStr">
        <is>
          <t>Export</t>
        </is>
      </c>
      <c r="F2507" s="12" t="n">
        <v>46165</v>
      </c>
      <c r="G2507" s="12" t="n">
        <v>46184</v>
      </c>
      <c r="H2507" s="12" t="n">
        <v>46183</v>
      </c>
      <c r="I2507" s="12" t="n">
        <v>46181</v>
      </c>
      <c r="J2507" s="12" t="n">
        <v>46182</v>
      </c>
      <c r="K2507" s="2" t="n">
        <v>610</v>
      </c>
      <c r="L2507" s="2" t="inlineStr">
        <is>
          <t>Road</t>
        </is>
      </c>
      <c r="M2507" s="2" t="inlineStr">
        <is>
          <t>No Delay</t>
        </is>
      </c>
      <c r="N2507" s="4">
        <f>IF(I2507&lt;=H2507,1,0)</f>
        <v/>
      </c>
      <c r="O2507" s="4">
        <f>IF(J2507&lt;=G2507,1,0)</f>
        <v/>
      </c>
      <c r="P2507" s="4">
        <f>MAX(0,I2507-H2507)</f>
        <v/>
      </c>
      <c r="Q2507" s="4">
        <f>MAX(0,J2507-G2507)</f>
        <v/>
      </c>
      <c r="R2507" s="4">
        <f>IF(AND(N2507=1,O2507=1),"On Track",IF(O2507=0,"Customer Delivery Late","Ship Late"))</f>
        <v/>
      </c>
    </row>
    <row r="2508">
      <c r="A2508" s="2" t="inlineStr">
        <is>
          <t>ORD-02507</t>
        </is>
      </c>
      <c r="B2508" s="2" t="inlineStr">
        <is>
          <t>Customer 17</t>
        </is>
      </c>
      <c r="C2508" s="2" t="inlineStr">
        <is>
          <t>Switchgear</t>
        </is>
      </c>
      <c r="D2508" s="2" t="inlineStr">
        <is>
          <t>Plant C</t>
        </is>
      </c>
      <c r="E2508" s="2" t="inlineStr">
        <is>
          <t>Export</t>
        </is>
      </c>
      <c r="F2508" s="12" t="n">
        <v>46136</v>
      </c>
      <c r="G2508" s="12" t="n">
        <v>46156</v>
      </c>
      <c r="H2508" s="12" t="n">
        <v>46151</v>
      </c>
      <c r="I2508" s="12" t="n">
        <v>46150</v>
      </c>
      <c r="J2508" s="12" t="n">
        <v>46155</v>
      </c>
      <c r="K2508" s="2" t="n">
        <v>69</v>
      </c>
      <c r="L2508" s="2" t="inlineStr">
        <is>
          <t>Sea</t>
        </is>
      </c>
      <c r="M2508" s="2" t="inlineStr">
        <is>
          <t>No Delay</t>
        </is>
      </c>
      <c r="N2508" s="4">
        <f>IF(I2508&lt;=H2508,1,0)</f>
        <v/>
      </c>
      <c r="O2508" s="4">
        <f>IF(J2508&lt;=G2508,1,0)</f>
        <v/>
      </c>
      <c r="P2508" s="4">
        <f>MAX(0,I2508-H2508)</f>
        <v/>
      </c>
      <c r="Q2508" s="4">
        <f>MAX(0,J2508-G2508)</f>
        <v/>
      </c>
      <c r="R2508" s="4">
        <f>IF(AND(N2508=1,O2508=1),"On Track",IF(O2508=0,"Customer Delivery Late","Ship Late"))</f>
        <v/>
      </c>
    </row>
    <row r="2509">
      <c r="A2509" s="2" t="inlineStr">
        <is>
          <t>ORD-02508</t>
        </is>
      </c>
      <c r="B2509" s="2" t="inlineStr">
        <is>
          <t>Customer 09</t>
        </is>
      </c>
      <c r="C2509" s="2" t="inlineStr">
        <is>
          <t>Switchgear</t>
        </is>
      </c>
      <c r="D2509" s="2" t="inlineStr">
        <is>
          <t>Plant A</t>
        </is>
      </c>
      <c r="E2509" s="2" t="inlineStr">
        <is>
          <t>North</t>
        </is>
      </c>
      <c r="F2509" s="12" t="n">
        <v>46085</v>
      </c>
      <c r="G2509" s="12" t="n">
        <v>46094</v>
      </c>
      <c r="H2509" s="12" t="n">
        <v>46093</v>
      </c>
      <c r="I2509" s="12" t="n">
        <v>46092</v>
      </c>
      <c r="J2509" s="12" t="n">
        <v>46094</v>
      </c>
      <c r="K2509" s="2" t="n">
        <v>842</v>
      </c>
      <c r="L2509" s="2" t="inlineStr">
        <is>
          <t>Road</t>
        </is>
      </c>
      <c r="M2509" s="2" t="inlineStr">
        <is>
          <t>No Delay</t>
        </is>
      </c>
      <c r="N2509" s="4">
        <f>IF(I2509&lt;=H2509,1,0)</f>
        <v/>
      </c>
      <c r="O2509" s="4">
        <f>IF(J2509&lt;=G2509,1,0)</f>
        <v/>
      </c>
      <c r="P2509" s="4">
        <f>MAX(0,I2509-H2509)</f>
        <v/>
      </c>
      <c r="Q2509" s="4">
        <f>MAX(0,J2509-G2509)</f>
        <v/>
      </c>
      <c r="R2509" s="4">
        <f>IF(AND(N2509=1,O2509=1),"On Track",IF(O2509=0,"Customer Delivery Late","Ship Late"))</f>
        <v/>
      </c>
    </row>
    <row r="2510">
      <c r="A2510" s="2" t="inlineStr">
        <is>
          <t>ORD-02509</t>
        </is>
      </c>
      <c r="B2510" s="2" t="inlineStr">
        <is>
          <t>Customer 11</t>
        </is>
      </c>
      <c r="C2510" s="2" t="inlineStr">
        <is>
          <t>Power Supply</t>
        </is>
      </c>
      <c r="D2510" s="2" t="inlineStr">
        <is>
          <t>Plant A</t>
        </is>
      </c>
      <c r="E2510" s="2" t="inlineStr">
        <is>
          <t>Central</t>
        </is>
      </c>
      <c r="F2510" s="12" t="n">
        <v>46193</v>
      </c>
      <c r="G2510" s="12" t="n">
        <v>46215</v>
      </c>
      <c r="H2510" s="12" t="n">
        <v>46213</v>
      </c>
      <c r="I2510" s="12" t="n">
        <v>46212</v>
      </c>
      <c r="J2510" s="12" t="n">
        <v>46214</v>
      </c>
      <c r="K2510" s="2" t="n">
        <v>1341</v>
      </c>
      <c r="L2510" s="2" t="inlineStr">
        <is>
          <t>Road</t>
        </is>
      </c>
      <c r="M2510" s="2" t="inlineStr">
        <is>
          <t>No Delay</t>
        </is>
      </c>
      <c r="N2510" s="4">
        <f>IF(I2510&lt;=H2510,1,0)</f>
        <v/>
      </c>
      <c r="O2510" s="4">
        <f>IF(J2510&lt;=G2510,1,0)</f>
        <v/>
      </c>
      <c r="P2510" s="4">
        <f>MAX(0,I2510-H2510)</f>
        <v/>
      </c>
      <c r="Q2510" s="4">
        <f>MAX(0,J2510-G2510)</f>
        <v/>
      </c>
      <c r="R2510" s="4">
        <f>IF(AND(N2510=1,O2510=1),"On Track",IF(O2510=0,"Customer Delivery Late","Ship Late"))</f>
        <v/>
      </c>
    </row>
    <row r="2511">
      <c r="A2511" s="2" t="inlineStr">
        <is>
          <t>ORD-02510</t>
        </is>
      </c>
      <c r="B2511" s="2" t="inlineStr">
        <is>
          <t>Customer 23</t>
        </is>
      </c>
      <c r="C2511" s="2" t="inlineStr">
        <is>
          <t>Switchgear</t>
        </is>
      </c>
      <c r="D2511" s="2" t="inlineStr">
        <is>
          <t>Plant A</t>
        </is>
      </c>
      <c r="E2511" s="2" t="inlineStr">
        <is>
          <t>North</t>
        </is>
      </c>
      <c r="F2511" s="12" t="n">
        <v>46138</v>
      </c>
      <c r="G2511" s="12" t="n">
        <v>46158</v>
      </c>
      <c r="H2511" s="12" t="n">
        <v>46157</v>
      </c>
      <c r="I2511" s="12" t="n">
        <v>46156</v>
      </c>
      <c r="J2511" s="12" t="n">
        <v>46157</v>
      </c>
      <c r="K2511" s="2" t="n">
        <v>267</v>
      </c>
      <c r="L2511" s="2" t="inlineStr">
        <is>
          <t>Air</t>
        </is>
      </c>
      <c r="M2511" s="2" t="inlineStr">
        <is>
          <t>No Delay</t>
        </is>
      </c>
      <c r="N2511" s="4">
        <f>IF(I2511&lt;=H2511,1,0)</f>
        <v/>
      </c>
      <c r="O2511" s="4">
        <f>IF(J2511&lt;=G2511,1,0)</f>
        <v/>
      </c>
      <c r="P2511" s="4">
        <f>MAX(0,I2511-H2511)</f>
        <v/>
      </c>
      <c r="Q2511" s="4">
        <f>MAX(0,J2511-G2511)</f>
        <v/>
      </c>
      <c r="R2511" s="4">
        <f>IF(AND(N2511=1,O2511=1),"On Track",IF(O2511=0,"Customer Delivery Late","Ship Late"))</f>
        <v/>
      </c>
    </row>
    <row r="2512">
      <c r="A2512" s="2" t="inlineStr">
        <is>
          <t>ORD-02511</t>
        </is>
      </c>
      <c r="B2512" s="2" t="inlineStr">
        <is>
          <t>Customer 06</t>
        </is>
      </c>
      <c r="C2512" s="2" t="inlineStr">
        <is>
          <t>Sensor</t>
        </is>
      </c>
      <c r="D2512" s="2" t="inlineStr">
        <is>
          <t>Plant A</t>
        </is>
      </c>
      <c r="E2512" s="2" t="inlineStr">
        <is>
          <t>Central</t>
        </is>
      </c>
      <c r="F2512" s="12" t="n">
        <v>46079</v>
      </c>
      <c r="G2512" s="12" t="n">
        <v>46104</v>
      </c>
      <c r="H2512" s="12" t="n">
        <v>46102</v>
      </c>
      <c r="I2512" s="12" t="n">
        <v>46101</v>
      </c>
      <c r="J2512" s="12" t="n">
        <v>46102</v>
      </c>
      <c r="K2512" s="2" t="n">
        <v>688</v>
      </c>
      <c r="L2512" s="2" t="inlineStr">
        <is>
          <t>Air</t>
        </is>
      </c>
      <c r="M2512" s="2" t="inlineStr">
        <is>
          <t>No Delay</t>
        </is>
      </c>
      <c r="N2512" s="4">
        <f>IF(I2512&lt;=H2512,1,0)</f>
        <v/>
      </c>
      <c r="O2512" s="4">
        <f>IF(J2512&lt;=G2512,1,0)</f>
        <v/>
      </c>
      <c r="P2512" s="4">
        <f>MAX(0,I2512-H2512)</f>
        <v/>
      </c>
      <c r="Q2512" s="4">
        <f>MAX(0,J2512-G2512)</f>
        <v/>
      </c>
      <c r="R2512" s="4">
        <f>IF(AND(N2512=1,O2512=1),"On Track",IF(O2512=0,"Customer Delivery Late","Ship Late"))</f>
        <v/>
      </c>
    </row>
    <row r="2513">
      <c r="A2513" s="2" t="inlineStr">
        <is>
          <t>ORD-02512</t>
        </is>
      </c>
      <c r="B2513" s="2" t="inlineStr">
        <is>
          <t>Customer 21</t>
        </is>
      </c>
      <c r="C2513" s="2" t="inlineStr">
        <is>
          <t>Breaker</t>
        </is>
      </c>
      <c r="D2513" s="2" t="inlineStr">
        <is>
          <t>Plant B</t>
        </is>
      </c>
      <c r="E2513" s="2" t="inlineStr">
        <is>
          <t>North</t>
        </is>
      </c>
      <c r="F2513" s="12" t="n">
        <v>46109</v>
      </c>
      <c r="G2513" s="12" t="n">
        <v>46123</v>
      </c>
      <c r="H2513" s="12" t="n">
        <v>46119</v>
      </c>
      <c r="I2513" s="12" t="n">
        <v>46119</v>
      </c>
      <c r="J2513" s="12" t="n">
        <v>46124</v>
      </c>
      <c r="K2513" s="2" t="n">
        <v>222</v>
      </c>
      <c r="L2513" s="2" t="inlineStr">
        <is>
          <t>Air</t>
        </is>
      </c>
      <c r="M2513" s="2" t="inlineStr">
        <is>
          <t>Documentation Issue</t>
        </is>
      </c>
      <c r="N2513" s="4">
        <f>IF(I2513&lt;=H2513,1,0)</f>
        <v/>
      </c>
      <c r="O2513" s="4">
        <f>IF(J2513&lt;=G2513,1,0)</f>
        <v/>
      </c>
      <c r="P2513" s="4">
        <f>MAX(0,I2513-H2513)</f>
        <v/>
      </c>
      <c r="Q2513" s="4">
        <f>MAX(0,J2513-G2513)</f>
        <v/>
      </c>
      <c r="R2513" s="4">
        <f>IF(AND(N2513=1,O2513=1),"On Track",IF(O2513=0,"Customer Delivery Late","Ship Late"))</f>
        <v/>
      </c>
    </row>
    <row r="2514">
      <c r="A2514" s="2" t="inlineStr">
        <is>
          <t>ORD-02513</t>
        </is>
      </c>
      <c r="B2514" s="2" t="inlineStr">
        <is>
          <t>Customer 26</t>
        </is>
      </c>
      <c r="C2514" s="2" t="inlineStr">
        <is>
          <t>Sensor</t>
        </is>
      </c>
      <c r="D2514" s="2" t="inlineStr">
        <is>
          <t>Plant B</t>
        </is>
      </c>
      <c r="E2514" s="2" t="inlineStr">
        <is>
          <t>Export</t>
        </is>
      </c>
      <c r="F2514" s="12" t="n">
        <v>46145</v>
      </c>
      <c r="G2514" s="12" t="n">
        <v>46167</v>
      </c>
      <c r="H2514" s="12" t="n">
        <v>46162</v>
      </c>
      <c r="I2514" s="12" t="n">
        <v>46160</v>
      </c>
      <c r="J2514" s="12" t="n">
        <v>46166</v>
      </c>
      <c r="K2514" s="2" t="n">
        <v>486</v>
      </c>
      <c r="L2514" s="2" t="inlineStr">
        <is>
          <t>Sea</t>
        </is>
      </c>
      <c r="M2514" s="2" t="inlineStr">
        <is>
          <t>No Delay</t>
        </is>
      </c>
      <c r="N2514" s="4">
        <f>IF(I2514&lt;=H2514,1,0)</f>
        <v/>
      </c>
      <c r="O2514" s="4">
        <f>IF(J2514&lt;=G2514,1,0)</f>
        <v/>
      </c>
      <c r="P2514" s="4">
        <f>MAX(0,I2514-H2514)</f>
        <v/>
      </c>
      <c r="Q2514" s="4">
        <f>MAX(0,J2514-G2514)</f>
        <v/>
      </c>
      <c r="R2514" s="4">
        <f>IF(AND(N2514=1,O2514=1),"On Track",IF(O2514=0,"Customer Delivery Late","Ship Late"))</f>
        <v/>
      </c>
    </row>
    <row r="2515">
      <c r="A2515" s="2" t="inlineStr">
        <is>
          <t>ORD-02514</t>
        </is>
      </c>
      <c r="B2515" s="2" t="inlineStr">
        <is>
          <t>Customer 29</t>
        </is>
      </c>
      <c r="C2515" s="2" t="inlineStr">
        <is>
          <t>Sensor</t>
        </is>
      </c>
      <c r="D2515" s="2" t="inlineStr">
        <is>
          <t>Plant C</t>
        </is>
      </c>
      <c r="E2515" s="2" t="inlineStr">
        <is>
          <t>Export</t>
        </is>
      </c>
      <c r="F2515" s="12" t="n">
        <v>46123</v>
      </c>
      <c r="G2515" s="12" t="n">
        <v>46138</v>
      </c>
      <c r="H2515" s="12" t="n">
        <v>46134</v>
      </c>
      <c r="I2515" s="12" t="n">
        <v>46133</v>
      </c>
      <c r="J2515" s="12" t="n">
        <v>46138</v>
      </c>
      <c r="K2515" s="2" t="n">
        <v>1032</v>
      </c>
      <c r="L2515" s="2" t="inlineStr">
        <is>
          <t>Sea</t>
        </is>
      </c>
      <c r="M2515" s="2" t="inlineStr">
        <is>
          <t>No Delay</t>
        </is>
      </c>
      <c r="N2515" s="4">
        <f>IF(I2515&lt;=H2515,1,0)</f>
        <v/>
      </c>
      <c r="O2515" s="4">
        <f>IF(J2515&lt;=G2515,1,0)</f>
        <v/>
      </c>
      <c r="P2515" s="4">
        <f>MAX(0,I2515-H2515)</f>
        <v/>
      </c>
      <c r="Q2515" s="4">
        <f>MAX(0,J2515-G2515)</f>
        <v/>
      </c>
      <c r="R2515" s="4">
        <f>IF(AND(N2515=1,O2515=1),"On Track",IF(O2515=0,"Customer Delivery Late","Ship Late"))</f>
        <v/>
      </c>
    </row>
    <row r="2516">
      <c r="A2516" s="2" t="inlineStr">
        <is>
          <t>ORD-02515</t>
        </is>
      </c>
      <c r="B2516" s="2" t="inlineStr">
        <is>
          <t>Customer 20</t>
        </is>
      </c>
      <c r="C2516" s="2" t="inlineStr">
        <is>
          <t>Drive</t>
        </is>
      </c>
      <c r="D2516" s="2" t="inlineStr">
        <is>
          <t>Plant B</t>
        </is>
      </c>
      <c r="E2516" s="2" t="inlineStr">
        <is>
          <t>Export</t>
        </is>
      </c>
      <c r="F2516" s="12" t="n">
        <v>46081</v>
      </c>
      <c r="G2516" s="12" t="n">
        <v>46092</v>
      </c>
      <c r="H2516" s="12" t="n">
        <v>46090</v>
      </c>
      <c r="I2516" s="12" t="n">
        <v>46090</v>
      </c>
      <c r="J2516" s="12" t="n">
        <v>46092</v>
      </c>
      <c r="K2516" s="2" t="n">
        <v>1422</v>
      </c>
      <c r="L2516" s="2" t="inlineStr">
        <is>
          <t>Air</t>
        </is>
      </c>
      <c r="M2516" s="2" t="inlineStr">
        <is>
          <t>No Delay</t>
        </is>
      </c>
      <c r="N2516" s="4">
        <f>IF(I2516&lt;=H2516,1,0)</f>
        <v/>
      </c>
      <c r="O2516" s="4">
        <f>IF(J2516&lt;=G2516,1,0)</f>
        <v/>
      </c>
      <c r="P2516" s="4">
        <f>MAX(0,I2516-H2516)</f>
        <v/>
      </c>
      <c r="Q2516" s="4">
        <f>MAX(0,J2516-G2516)</f>
        <v/>
      </c>
      <c r="R2516" s="4">
        <f>IF(AND(N2516=1,O2516=1),"On Track",IF(O2516=0,"Customer Delivery Late","Ship Late"))</f>
        <v/>
      </c>
    </row>
    <row r="2517">
      <c r="A2517" s="2" t="inlineStr">
        <is>
          <t>ORD-02516</t>
        </is>
      </c>
      <c r="B2517" s="2" t="inlineStr">
        <is>
          <t>Customer 19</t>
        </is>
      </c>
      <c r="C2517" s="2" t="inlineStr">
        <is>
          <t>Sensor</t>
        </is>
      </c>
      <c r="D2517" s="2" t="inlineStr">
        <is>
          <t>Plant A</t>
        </is>
      </c>
      <c r="E2517" s="2" t="inlineStr">
        <is>
          <t>Export</t>
        </is>
      </c>
      <c r="F2517" s="12" t="n">
        <v>46030</v>
      </c>
      <c r="G2517" s="12" t="n">
        <v>46035</v>
      </c>
      <c r="H2517" s="12" t="n">
        <v>46031</v>
      </c>
      <c r="I2517" s="12" t="n">
        <v>46029</v>
      </c>
      <c r="J2517" s="12" t="n">
        <v>46033</v>
      </c>
      <c r="K2517" s="2" t="n">
        <v>572</v>
      </c>
      <c r="L2517" s="2" t="inlineStr">
        <is>
          <t>Road</t>
        </is>
      </c>
      <c r="M2517" s="2" t="inlineStr">
        <is>
          <t>No Delay</t>
        </is>
      </c>
      <c r="N2517" s="4">
        <f>IF(I2517&lt;=H2517,1,0)</f>
        <v/>
      </c>
      <c r="O2517" s="4">
        <f>IF(J2517&lt;=G2517,1,0)</f>
        <v/>
      </c>
      <c r="P2517" s="4">
        <f>MAX(0,I2517-H2517)</f>
        <v/>
      </c>
      <c r="Q2517" s="4">
        <f>MAX(0,J2517-G2517)</f>
        <v/>
      </c>
      <c r="R2517" s="4">
        <f>IF(AND(N2517=1,O2517=1),"On Track",IF(O2517=0,"Customer Delivery Late","Ship Late"))</f>
        <v/>
      </c>
    </row>
    <row r="2518">
      <c r="A2518" s="2" t="inlineStr">
        <is>
          <t>ORD-02517</t>
        </is>
      </c>
      <c r="B2518" s="2" t="inlineStr">
        <is>
          <t>Customer 05</t>
        </is>
      </c>
      <c r="C2518" s="2" t="inlineStr">
        <is>
          <t>Breaker</t>
        </is>
      </c>
      <c r="D2518" s="2" t="inlineStr">
        <is>
          <t>Plant A</t>
        </is>
      </c>
      <c r="E2518" s="2" t="inlineStr">
        <is>
          <t>Central</t>
        </is>
      </c>
      <c r="F2518" s="12" t="n">
        <v>46147</v>
      </c>
      <c r="G2518" s="12" t="n">
        <v>46165</v>
      </c>
      <c r="H2518" s="12" t="n">
        <v>46164</v>
      </c>
      <c r="I2518" s="12" t="n">
        <v>46164</v>
      </c>
      <c r="J2518" s="12" t="n">
        <v>46165</v>
      </c>
      <c r="K2518" s="2" t="n">
        <v>1189</v>
      </c>
      <c r="L2518" s="2" t="inlineStr">
        <is>
          <t>Sea</t>
        </is>
      </c>
      <c r="M2518" s="2" t="inlineStr">
        <is>
          <t>No Delay</t>
        </is>
      </c>
      <c r="N2518" s="4">
        <f>IF(I2518&lt;=H2518,1,0)</f>
        <v/>
      </c>
      <c r="O2518" s="4">
        <f>IF(J2518&lt;=G2518,1,0)</f>
        <v/>
      </c>
      <c r="P2518" s="4">
        <f>MAX(0,I2518-H2518)</f>
        <v/>
      </c>
      <c r="Q2518" s="4">
        <f>MAX(0,J2518-G2518)</f>
        <v/>
      </c>
      <c r="R2518" s="4">
        <f>IF(AND(N2518=1,O2518=1),"On Track",IF(O2518=0,"Customer Delivery Late","Ship Late"))</f>
        <v/>
      </c>
    </row>
    <row r="2519">
      <c r="A2519" s="2" t="inlineStr">
        <is>
          <t>ORD-02518</t>
        </is>
      </c>
      <c r="B2519" s="2" t="inlineStr">
        <is>
          <t>Customer 13</t>
        </is>
      </c>
      <c r="C2519" s="2" t="inlineStr">
        <is>
          <t>Relay</t>
        </is>
      </c>
      <c r="D2519" s="2" t="inlineStr">
        <is>
          <t>Plant C</t>
        </is>
      </c>
      <c r="E2519" s="2" t="inlineStr">
        <is>
          <t>Central</t>
        </is>
      </c>
      <c r="F2519" s="12" t="n">
        <v>46030</v>
      </c>
      <c r="G2519" s="12" t="n">
        <v>46038</v>
      </c>
      <c r="H2519" s="12" t="n">
        <v>46036</v>
      </c>
      <c r="I2519" s="12" t="n">
        <v>46036</v>
      </c>
      <c r="J2519" s="12" t="n">
        <v>46037</v>
      </c>
      <c r="K2519" s="2" t="n">
        <v>517</v>
      </c>
      <c r="L2519" s="2" t="inlineStr">
        <is>
          <t>Air</t>
        </is>
      </c>
      <c r="M2519" s="2" t="inlineStr">
        <is>
          <t>No Delay</t>
        </is>
      </c>
      <c r="N2519" s="4">
        <f>IF(I2519&lt;=H2519,1,0)</f>
        <v/>
      </c>
      <c r="O2519" s="4">
        <f>IF(J2519&lt;=G2519,1,0)</f>
        <v/>
      </c>
      <c r="P2519" s="4">
        <f>MAX(0,I2519-H2519)</f>
        <v/>
      </c>
      <c r="Q2519" s="4">
        <f>MAX(0,J2519-G2519)</f>
        <v/>
      </c>
      <c r="R2519" s="4">
        <f>IF(AND(N2519=1,O2519=1),"On Track",IF(O2519=0,"Customer Delivery Late","Ship Late"))</f>
        <v/>
      </c>
    </row>
    <row r="2520">
      <c r="A2520" s="2" t="inlineStr">
        <is>
          <t>ORD-02519</t>
        </is>
      </c>
      <c r="B2520" s="2" t="inlineStr">
        <is>
          <t>Customer 01</t>
        </is>
      </c>
      <c r="C2520" s="2" t="inlineStr">
        <is>
          <t>Contactor</t>
        </is>
      </c>
      <c r="D2520" s="2" t="inlineStr">
        <is>
          <t>Plant B</t>
        </is>
      </c>
      <c r="E2520" s="2" t="inlineStr">
        <is>
          <t>Central</t>
        </is>
      </c>
      <c r="F2520" s="12" t="n">
        <v>46131</v>
      </c>
      <c r="G2520" s="12" t="n">
        <v>46153</v>
      </c>
      <c r="H2520" s="12" t="n">
        <v>46148</v>
      </c>
      <c r="I2520" s="12" t="n">
        <v>46148</v>
      </c>
      <c r="J2520" s="12" t="n">
        <v>46152</v>
      </c>
      <c r="K2520" s="2" t="n">
        <v>433</v>
      </c>
      <c r="L2520" s="2" t="inlineStr">
        <is>
          <t>Air</t>
        </is>
      </c>
      <c r="M2520" s="2" t="inlineStr">
        <is>
          <t>No Delay</t>
        </is>
      </c>
      <c r="N2520" s="4">
        <f>IF(I2520&lt;=H2520,1,0)</f>
        <v/>
      </c>
      <c r="O2520" s="4">
        <f>IF(J2520&lt;=G2520,1,0)</f>
        <v/>
      </c>
      <c r="P2520" s="4">
        <f>MAX(0,I2520-H2520)</f>
        <v/>
      </c>
      <c r="Q2520" s="4">
        <f>MAX(0,J2520-G2520)</f>
        <v/>
      </c>
      <c r="R2520" s="4">
        <f>IF(AND(N2520=1,O2520=1),"On Track",IF(O2520=0,"Customer Delivery Late","Ship Late"))</f>
        <v/>
      </c>
    </row>
    <row r="2521">
      <c r="A2521" s="2" t="inlineStr">
        <is>
          <t>ORD-02520</t>
        </is>
      </c>
      <c r="B2521" s="2" t="inlineStr">
        <is>
          <t>Customer 17</t>
        </is>
      </c>
      <c r="C2521" s="2" t="inlineStr">
        <is>
          <t>Switchgear</t>
        </is>
      </c>
      <c r="D2521" s="2" t="inlineStr">
        <is>
          <t>Plant A</t>
        </is>
      </c>
      <c r="E2521" s="2" t="inlineStr">
        <is>
          <t>South</t>
        </is>
      </c>
      <c r="F2521" s="12" t="n">
        <v>46094</v>
      </c>
      <c r="G2521" s="12" t="n">
        <v>46105</v>
      </c>
      <c r="H2521" s="12" t="n">
        <v>46102</v>
      </c>
      <c r="I2521" s="12" t="n">
        <v>46100</v>
      </c>
      <c r="J2521" s="12" t="n">
        <v>46103</v>
      </c>
      <c r="K2521" s="2" t="n">
        <v>790</v>
      </c>
      <c r="L2521" s="2" t="inlineStr">
        <is>
          <t>Air</t>
        </is>
      </c>
      <c r="M2521" s="2" t="inlineStr">
        <is>
          <t>No Delay</t>
        </is>
      </c>
      <c r="N2521" s="4">
        <f>IF(I2521&lt;=H2521,1,0)</f>
        <v/>
      </c>
      <c r="O2521" s="4">
        <f>IF(J2521&lt;=G2521,1,0)</f>
        <v/>
      </c>
      <c r="P2521" s="4">
        <f>MAX(0,I2521-H2521)</f>
        <v/>
      </c>
      <c r="Q2521" s="4">
        <f>MAX(0,J2521-G2521)</f>
        <v/>
      </c>
      <c r="R2521" s="4">
        <f>IF(AND(N2521=1,O2521=1),"On Track",IF(O2521=0,"Customer Delivery Late","Ship Late"))</f>
        <v/>
      </c>
    </row>
    <row r="2522">
      <c r="A2522" s="2" t="inlineStr">
        <is>
          <t>ORD-02521</t>
        </is>
      </c>
      <c r="B2522" s="2" t="inlineStr">
        <is>
          <t>Customer 11</t>
        </is>
      </c>
      <c r="C2522" s="2" t="inlineStr">
        <is>
          <t>Drive</t>
        </is>
      </c>
      <c r="D2522" s="2" t="inlineStr">
        <is>
          <t>Plant C</t>
        </is>
      </c>
      <c r="E2522" s="2" t="inlineStr">
        <is>
          <t>South</t>
        </is>
      </c>
      <c r="F2522" s="12" t="n">
        <v>46178</v>
      </c>
      <c r="G2522" s="12" t="n">
        <v>46196</v>
      </c>
      <c r="H2522" s="12" t="n">
        <v>46191</v>
      </c>
      <c r="I2522" s="12" t="n">
        <v>46191</v>
      </c>
      <c r="J2522" s="12" t="n">
        <v>46196</v>
      </c>
      <c r="K2522" s="2" t="n">
        <v>763</v>
      </c>
      <c r="L2522" s="2" t="inlineStr">
        <is>
          <t>Road</t>
        </is>
      </c>
      <c r="M2522" s="2" t="inlineStr">
        <is>
          <t>No Delay</t>
        </is>
      </c>
      <c r="N2522" s="4">
        <f>IF(I2522&lt;=H2522,1,0)</f>
        <v/>
      </c>
      <c r="O2522" s="4">
        <f>IF(J2522&lt;=G2522,1,0)</f>
        <v/>
      </c>
      <c r="P2522" s="4">
        <f>MAX(0,I2522-H2522)</f>
        <v/>
      </c>
      <c r="Q2522" s="4">
        <f>MAX(0,J2522-G2522)</f>
        <v/>
      </c>
      <c r="R2522" s="4">
        <f>IF(AND(N2522=1,O2522=1),"On Track",IF(O2522=0,"Customer Delivery Late","Ship Late"))</f>
        <v/>
      </c>
    </row>
    <row r="2523">
      <c r="A2523" s="2" t="inlineStr">
        <is>
          <t>ORD-02522</t>
        </is>
      </c>
      <c r="B2523" s="2" t="inlineStr">
        <is>
          <t>Customer 03</t>
        </is>
      </c>
      <c r="C2523" s="2" t="inlineStr">
        <is>
          <t>Switchgear</t>
        </is>
      </c>
      <c r="D2523" s="2" t="inlineStr">
        <is>
          <t>Plant A</t>
        </is>
      </c>
      <c r="E2523" s="2" t="inlineStr">
        <is>
          <t>South</t>
        </is>
      </c>
      <c r="F2523" s="12" t="n">
        <v>46110</v>
      </c>
      <c r="G2523" s="12" t="n">
        <v>46125</v>
      </c>
      <c r="H2523" s="12" t="n">
        <v>46123</v>
      </c>
      <c r="I2523" s="12" t="n">
        <v>46122</v>
      </c>
      <c r="J2523" s="12" t="n">
        <v>46125</v>
      </c>
      <c r="K2523" s="2" t="n">
        <v>1062</v>
      </c>
      <c r="L2523" s="2" t="inlineStr">
        <is>
          <t>Air</t>
        </is>
      </c>
      <c r="M2523" s="2" t="inlineStr">
        <is>
          <t>No Delay</t>
        </is>
      </c>
      <c r="N2523" s="4">
        <f>IF(I2523&lt;=H2523,1,0)</f>
        <v/>
      </c>
      <c r="O2523" s="4">
        <f>IF(J2523&lt;=G2523,1,0)</f>
        <v/>
      </c>
      <c r="P2523" s="4">
        <f>MAX(0,I2523-H2523)</f>
        <v/>
      </c>
      <c r="Q2523" s="4">
        <f>MAX(0,J2523-G2523)</f>
        <v/>
      </c>
      <c r="R2523" s="4">
        <f>IF(AND(N2523=1,O2523=1),"On Track",IF(O2523=0,"Customer Delivery Late","Ship Late"))</f>
        <v/>
      </c>
    </row>
    <row r="2524">
      <c r="A2524" s="2" t="inlineStr">
        <is>
          <t>ORD-02523</t>
        </is>
      </c>
      <c r="B2524" s="2" t="inlineStr">
        <is>
          <t>Customer 28</t>
        </is>
      </c>
      <c r="C2524" s="2" t="inlineStr">
        <is>
          <t>Drive</t>
        </is>
      </c>
      <c r="D2524" s="2" t="inlineStr">
        <is>
          <t>Plant A</t>
        </is>
      </c>
      <c r="E2524" s="2" t="inlineStr">
        <is>
          <t>North</t>
        </is>
      </c>
      <c r="F2524" s="12" t="n">
        <v>46096</v>
      </c>
      <c r="G2524" s="12" t="n">
        <v>46103</v>
      </c>
      <c r="H2524" s="12" t="n">
        <v>46098</v>
      </c>
      <c r="I2524" s="12" t="n">
        <v>46097</v>
      </c>
      <c r="J2524" s="12" t="n">
        <v>46102</v>
      </c>
      <c r="K2524" s="2" t="n">
        <v>938</v>
      </c>
      <c r="L2524" s="2" t="inlineStr">
        <is>
          <t>Sea</t>
        </is>
      </c>
      <c r="M2524" s="2" t="inlineStr">
        <is>
          <t>No Delay</t>
        </is>
      </c>
      <c r="N2524" s="4">
        <f>IF(I2524&lt;=H2524,1,0)</f>
        <v/>
      </c>
      <c r="O2524" s="4">
        <f>IF(J2524&lt;=G2524,1,0)</f>
        <v/>
      </c>
      <c r="P2524" s="4">
        <f>MAX(0,I2524-H2524)</f>
        <v/>
      </c>
      <c r="Q2524" s="4">
        <f>MAX(0,J2524-G2524)</f>
        <v/>
      </c>
      <c r="R2524" s="4">
        <f>IF(AND(N2524=1,O2524=1),"On Track",IF(O2524=0,"Customer Delivery Late","Ship Late"))</f>
        <v/>
      </c>
    </row>
    <row r="2525">
      <c r="A2525" s="2" t="inlineStr">
        <is>
          <t>ORD-02524</t>
        </is>
      </c>
      <c r="B2525" s="2" t="inlineStr">
        <is>
          <t>Customer 03</t>
        </is>
      </c>
      <c r="C2525" s="2" t="inlineStr">
        <is>
          <t>Relay</t>
        </is>
      </c>
      <c r="D2525" s="2" t="inlineStr">
        <is>
          <t>Plant A</t>
        </is>
      </c>
      <c r="E2525" s="2" t="inlineStr">
        <is>
          <t>South</t>
        </is>
      </c>
      <c r="F2525" s="12" t="n">
        <v>46158</v>
      </c>
      <c r="G2525" s="12" t="n">
        <v>46183</v>
      </c>
      <c r="H2525" s="12" t="n">
        <v>46178</v>
      </c>
      <c r="I2525" s="12" t="n">
        <v>46176</v>
      </c>
      <c r="J2525" s="12" t="n">
        <v>46181</v>
      </c>
      <c r="K2525" s="2" t="n">
        <v>776</v>
      </c>
      <c r="L2525" s="2" t="inlineStr">
        <is>
          <t>Air</t>
        </is>
      </c>
      <c r="M2525" s="2" t="inlineStr">
        <is>
          <t>No Delay</t>
        </is>
      </c>
      <c r="N2525" s="4">
        <f>IF(I2525&lt;=H2525,1,0)</f>
        <v/>
      </c>
      <c r="O2525" s="4">
        <f>IF(J2525&lt;=G2525,1,0)</f>
        <v/>
      </c>
      <c r="P2525" s="4">
        <f>MAX(0,I2525-H2525)</f>
        <v/>
      </c>
      <c r="Q2525" s="4">
        <f>MAX(0,J2525-G2525)</f>
        <v/>
      </c>
      <c r="R2525" s="4">
        <f>IF(AND(N2525=1,O2525=1),"On Track",IF(O2525=0,"Customer Delivery Late","Ship Late"))</f>
        <v/>
      </c>
    </row>
    <row r="2526">
      <c r="A2526" s="2" t="inlineStr">
        <is>
          <t>ORD-02525</t>
        </is>
      </c>
      <c r="B2526" s="2" t="inlineStr">
        <is>
          <t>Customer 13</t>
        </is>
      </c>
      <c r="C2526" s="2" t="inlineStr">
        <is>
          <t>Sensor</t>
        </is>
      </c>
      <c r="D2526" s="2" t="inlineStr">
        <is>
          <t>Plant B</t>
        </is>
      </c>
      <c r="E2526" s="2" t="inlineStr">
        <is>
          <t>Central</t>
        </is>
      </c>
      <c r="F2526" s="12" t="n">
        <v>46098</v>
      </c>
      <c r="G2526" s="12" t="n">
        <v>46112</v>
      </c>
      <c r="H2526" s="12" t="n">
        <v>46109</v>
      </c>
      <c r="I2526" s="12" t="n">
        <v>46107</v>
      </c>
      <c r="J2526" s="12" t="n">
        <v>46110</v>
      </c>
      <c r="K2526" s="2" t="n">
        <v>62</v>
      </c>
      <c r="L2526" s="2" t="inlineStr">
        <is>
          <t>Sea</t>
        </is>
      </c>
      <c r="M2526" s="2" t="inlineStr">
        <is>
          <t>No Delay</t>
        </is>
      </c>
      <c r="N2526" s="4">
        <f>IF(I2526&lt;=H2526,1,0)</f>
        <v/>
      </c>
      <c r="O2526" s="4">
        <f>IF(J2526&lt;=G2526,1,0)</f>
        <v/>
      </c>
      <c r="P2526" s="4">
        <f>MAX(0,I2526-H2526)</f>
        <v/>
      </c>
      <c r="Q2526" s="4">
        <f>MAX(0,J2526-G2526)</f>
        <v/>
      </c>
      <c r="R2526" s="4">
        <f>IF(AND(N2526=1,O2526=1),"On Track",IF(O2526=0,"Customer Delivery Late","Ship Late"))</f>
        <v/>
      </c>
    </row>
    <row r="2527">
      <c r="A2527" s="2" t="inlineStr">
        <is>
          <t>ORD-02526</t>
        </is>
      </c>
      <c r="B2527" s="2" t="inlineStr">
        <is>
          <t>Customer 30</t>
        </is>
      </c>
      <c r="C2527" s="2" t="inlineStr">
        <is>
          <t>Contactor</t>
        </is>
      </c>
      <c r="D2527" s="2" t="inlineStr">
        <is>
          <t>Plant A</t>
        </is>
      </c>
      <c r="E2527" s="2" t="inlineStr">
        <is>
          <t>South</t>
        </is>
      </c>
      <c r="F2527" s="12" t="n">
        <v>46163</v>
      </c>
      <c r="G2527" s="12" t="n">
        <v>46172</v>
      </c>
      <c r="H2527" s="12" t="n">
        <v>46169</v>
      </c>
      <c r="I2527" s="12" t="n">
        <v>46167</v>
      </c>
      <c r="J2527" s="12" t="n">
        <v>46170</v>
      </c>
      <c r="K2527" s="2" t="n">
        <v>595</v>
      </c>
      <c r="L2527" s="2" t="inlineStr">
        <is>
          <t>Road</t>
        </is>
      </c>
      <c r="M2527" s="2" t="inlineStr">
        <is>
          <t>No Delay</t>
        </is>
      </c>
      <c r="N2527" s="4">
        <f>IF(I2527&lt;=H2527,1,0)</f>
        <v/>
      </c>
      <c r="O2527" s="4">
        <f>IF(J2527&lt;=G2527,1,0)</f>
        <v/>
      </c>
      <c r="P2527" s="4">
        <f>MAX(0,I2527-H2527)</f>
        <v/>
      </c>
      <c r="Q2527" s="4">
        <f>MAX(0,J2527-G2527)</f>
        <v/>
      </c>
      <c r="R2527" s="4">
        <f>IF(AND(N2527=1,O2527=1),"On Track",IF(O2527=0,"Customer Delivery Late","Ship Late"))</f>
        <v/>
      </c>
    </row>
    <row r="2528">
      <c r="A2528" s="2" t="inlineStr">
        <is>
          <t>ORD-02527</t>
        </is>
      </c>
      <c r="B2528" s="2" t="inlineStr">
        <is>
          <t>Customer 26</t>
        </is>
      </c>
      <c r="C2528" s="2" t="inlineStr">
        <is>
          <t>Breaker</t>
        </is>
      </c>
      <c r="D2528" s="2" t="inlineStr">
        <is>
          <t>Plant C</t>
        </is>
      </c>
      <c r="E2528" s="2" t="inlineStr">
        <is>
          <t>South</t>
        </is>
      </c>
      <c r="F2528" s="12" t="n">
        <v>46202</v>
      </c>
      <c r="G2528" s="12" t="n">
        <v>46212</v>
      </c>
      <c r="H2528" s="12" t="n">
        <v>46207</v>
      </c>
      <c r="I2528" s="12" t="n">
        <v>46206</v>
      </c>
      <c r="J2528" s="12" t="n">
        <v>46211</v>
      </c>
      <c r="K2528" s="2" t="n">
        <v>194</v>
      </c>
      <c r="L2528" s="2" t="inlineStr">
        <is>
          <t>Road</t>
        </is>
      </c>
      <c r="M2528" s="2" t="inlineStr">
        <is>
          <t>No Delay</t>
        </is>
      </c>
      <c r="N2528" s="4">
        <f>IF(I2528&lt;=H2528,1,0)</f>
        <v/>
      </c>
      <c r="O2528" s="4">
        <f>IF(J2528&lt;=G2528,1,0)</f>
        <v/>
      </c>
      <c r="P2528" s="4">
        <f>MAX(0,I2528-H2528)</f>
        <v/>
      </c>
      <c r="Q2528" s="4">
        <f>MAX(0,J2528-G2528)</f>
        <v/>
      </c>
      <c r="R2528" s="4">
        <f>IF(AND(N2528=1,O2528=1),"On Track",IF(O2528=0,"Customer Delivery Late","Ship Late"))</f>
        <v/>
      </c>
    </row>
    <row r="2529">
      <c r="A2529" s="2" t="inlineStr">
        <is>
          <t>ORD-02528</t>
        </is>
      </c>
      <c r="B2529" s="2" t="inlineStr">
        <is>
          <t>Customer 11</t>
        </is>
      </c>
      <c r="C2529" s="2" t="inlineStr">
        <is>
          <t>Breaker</t>
        </is>
      </c>
      <c r="D2529" s="2" t="inlineStr">
        <is>
          <t>Plant C</t>
        </is>
      </c>
      <c r="E2529" s="2" t="inlineStr">
        <is>
          <t>North</t>
        </is>
      </c>
      <c r="F2529" s="12" t="n">
        <v>46045</v>
      </c>
      <c r="G2529" s="12" t="n">
        <v>46067</v>
      </c>
      <c r="H2529" s="12" t="n">
        <v>46066</v>
      </c>
      <c r="I2529" s="12" t="n">
        <v>46066</v>
      </c>
      <c r="J2529" s="12" t="n">
        <v>46067</v>
      </c>
      <c r="K2529" s="2" t="n">
        <v>588</v>
      </c>
      <c r="L2529" s="2" t="inlineStr">
        <is>
          <t>Air</t>
        </is>
      </c>
      <c r="M2529" s="2" t="inlineStr">
        <is>
          <t>No Delay</t>
        </is>
      </c>
      <c r="N2529" s="4">
        <f>IF(I2529&lt;=H2529,1,0)</f>
        <v/>
      </c>
      <c r="O2529" s="4">
        <f>IF(J2529&lt;=G2529,1,0)</f>
        <v/>
      </c>
      <c r="P2529" s="4">
        <f>MAX(0,I2529-H2529)</f>
        <v/>
      </c>
      <c r="Q2529" s="4">
        <f>MAX(0,J2529-G2529)</f>
        <v/>
      </c>
      <c r="R2529" s="4">
        <f>IF(AND(N2529=1,O2529=1),"On Track",IF(O2529=0,"Customer Delivery Late","Ship Late"))</f>
        <v/>
      </c>
    </row>
    <row r="2530">
      <c r="A2530" s="2" t="inlineStr">
        <is>
          <t>ORD-02529</t>
        </is>
      </c>
      <c r="B2530" s="2" t="inlineStr">
        <is>
          <t>Customer 14</t>
        </is>
      </c>
      <c r="C2530" s="2" t="inlineStr">
        <is>
          <t>Breaker</t>
        </is>
      </c>
      <c r="D2530" s="2" t="inlineStr">
        <is>
          <t>Plant A</t>
        </is>
      </c>
      <c r="E2530" s="2" t="inlineStr">
        <is>
          <t>North</t>
        </is>
      </c>
      <c r="F2530" s="12" t="n">
        <v>46178</v>
      </c>
      <c r="G2530" s="12" t="n">
        <v>46191</v>
      </c>
      <c r="H2530" s="12" t="n">
        <v>46190</v>
      </c>
      <c r="I2530" s="12" t="n">
        <v>46190</v>
      </c>
      <c r="J2530" s="12" t="n">
        <v>46191</v>
      </c>
      <c r="K2530" s="2" t="n">
        <v>243</v>
      </c>
      <c r="L2530" s="2" t="inlineStr">
        <is>
          <t>Road</t>
        </is>
      </c>
      <c r="M2530" s="2" t="inlineStr">
        <is>
          <t>No Delay</t>
        </is>
      </c>
      <c r="N2530" s="4">
        <f>IF(I2530&lt;=H2530,1,0)</f>
        <v/>
      </c>
      <c r="O2530" s="4">
        <f>IF(J2530&lt;=G2530,1,0)</f>
        <v/>
      </c>
      <c r="P2530" s="4">
        <f>MAX(0,I2530-H2530)</f>
        <v/>
      </c>
      <c r="Q2530" s="4">
        <f>MAX(0,J2530-G2530)</f>
        <v/>
      </c>
      <c r="R2530" s="4">
        <f>IF(AND(N2530=1,O2530=1),"On Track",IF(O2530=0,"Customer Delivery Late","Ship Late"))</f>
        <v/>
      </c>
    </row>
    <row r="2531">
      <c r="A2531" s="2" t="inlineStr">
        <is>
          <t>ORD-02530</t>
        </is>
      </c>
      <c r="B2531" s="2" t="inlineStr">
        <is>
          <t>Customer 07</t>
        </is>
      </c>
      <c r="C2531" s="2" t="inlineStr">
        <is>
          <t>Power Supply</t>
        </is>
      </c>
      <c r="D2531" s="2" t="inlineStr">
        <is>
          <t>Plant C</t>
        </is>
      </c>
      <c r="E2531" s="2" t="inlineStr">
        <is>
          <t>Central</t>
        </is>
      </c>
      <c r="F2531" s="12" t="n">
        <v>46100</v>
      </c>
      <c r="G2531" s="12" t="n">
        <v>46112</v>
      </c>
      <c r="H2531" s="12" t="n">
        <v>46109</v>
      </c>
      <c r="I2531" s="12" t="n">
        <v>46109</v>
      </c>
      <c r="J2531" s="12" t="n">
        <v>46112</v>
      </c>
      <c r="K2531" s="2" t="n">
        <v>955</v>
      </c>
      <c r="L2531" s="2" t="inlineStr">
        <is>
          <t>Air</t>
        </is>
      </c>
      <c r="M2531" s="2" t="inlineStr">
        <is>
          <t>No Delay</t>
        </is>
      </c>
      <c r="N2531" s="4">
        <f>IF(I2531&lt;=H2531,1,0)</f>
        <v/>
      </c>
      <c r="O2531" s="4">
        <f>IF(J2531&lt;=G2531,1,0)</f>
        <v/>
      </c>
      <c r="P2531" s="4">
        <f>MAX(0,I2531-H2531)</f>
        <v/>
      </c>
      <c r="Q2531" s="4">
        <f>MAX(0,J2531-G2531)</f>
        <v/>
      </c>
      <c r="R2531" s="4">
        <f>IF(AND(N2531=1,O2531=1),"On Track",IF(O2531=0,"Customer Delivery Late","Ship Late"))</f>
        <v/>
      </c>
    </row>
    <row r="2532">
      <c r="A2532" s="2" t="inlineStr">
        <is>
          <t>ORD-02531</t>
        </is>
      </c>
      <c r="B2532" s="2" t="inlineStr">
        <is>
          <t>Customer 04</t>
        </is>
      </c>
      <c r="C2532" s="2" t="inlineStr">
        <is>
          <t>Relay</t>
        </is>
      </c>
      <c r="D2532" s="2" t="inlineStr">
        <is>
          <t>Plant A</t>
        </is>
      </c>
      <c r="E2532" s="2" t="inlineStr">
        <is>
          <t>Central</t>
        </is>
      </c>
      <c r="F2532" s="12" t="n">
        <v>46162</v>
      </c>
      <c r="G2532" s="12" t="n">
        <v>46180</v>
      </c>
      <c r="H2532" s="12" t="n">
        <v>46179</v>
      </c>
      <c r="I2532" s="12" t="n">
        <v>46177</v>
      </c>
      <c r="J2532" s="12" t="n">
        <v>46178</v>
      </c>
      <c r="K2532" s="2" t="n">
        <v>1278</v>
      </c>
      <c r="L2532" s="2" t="inlineStr">
        <is>
          <t>Road</t>
        </is>
      </c>
      <c r="M2532" s="2" t="inlineStr">
        <is>
          <t>No Delay</t>
        </is>
      </c>
      <c r="N2532" s="4">
        <f>IF(I2532&lt;=H2532,1,0)</f>
        <v/>
      </c>
      <c r="O2532" s="4">
        <f>IF(J2532&lt;=G2532,1,0)</f>
        <v/>
      </c>
      <c r="P2532" s="4">
        <f>MAX(0,I2532-H2532)</f>
        <v/>
      </c>
      <c r="Q2532" s="4">
        <f>MAX(0,J2532-G2532)</f>
        <v/>
      </c>
      <c r="R2532" s="4">
        <f>IF(AND(N2532=1,O2532=1),"On Track",IF(O2532=0,"Customer Delivery Late","Ship Late"))</f>
        <v/>
      </c>
    </row>
    <row r="2533">
      <c r="A2533" s="2" t="inlineStr">
        <is>
          <t>ORD-02532</t>
        </is>
      </c>
      <c r="B2533" s="2" t="inlineStr">
        <is>
          <t>Customer 28</t>
        </is>
      </c>
      <c r="C2533" s="2" t="inlineStr">
        <is>
          <t>Sensor</t>
        </is>
      </c>
      <c r="D2533" s="2" t="inlineStr">
        <is>
          <t>Plant C</t>
        </is>
      </c>
      <c r="E2533" s="2" t="inlineStr">
        <is>
          <t>North</t>
        </is>
      </c>
      <c r="F2533" s="12" t="n">
        <v>46201</v>
      </c>
      <c r="G2533" s="12" t="n">
        <v>46212</v>
      </c>
      <c r="H2533" s="12" t="n">
        <v>46207</v>
      </c>
      <c r="I2533" s="12" t="n">
        <v>46205</v>
      </c>
      <c r="J2533" s="12" t="n">
        <v>46209</v>
      </c>
      <c r="K2533" s="2" t="n">
        <v>343</v>
      </c>
      <c r="L2533" s="2" t="inlineStr">
        <is>
          <t>Sea</t>
        </is>
      </c>
      <c r="M2533" s="2" t="inlineStr">
        <is>
          <t>No Delay</t>
        </is>
      </c>
      <c r="N2533" s="4">
        <f>IF(I2533&lt;=H2533,1,0)</f>
        <v/>
      </c>
      <c r="O2533" s="4">
        <f>IF(J2533&lt;=G2533,1,0)</f>
        <v/>
      </c>
      <c r="P2533" s="4">
        <f>MAX(0,I2533-H2533)</f>
        <v/>
      </c>
      <c r="Q2533" s="4">
        <f>MAX(0,J2533-G2533)</f>
        <v/>
      </c>
      <c r="R2533" s="4">
        <f>IF(AND(N2533=1,O2533=1),"On Track",IF(O2533=0,"Customer Delivery Late","Ship Late"))</f>
        <v/>
      </c>
    </row>
    <row r="2534">
      <c r="A2534" s="2" t="inlineStr">
        <is>
          <t>ORD-02533</t>
        </is>
      </c>
      <c r="B2534" s="2" t="inlineStr">
        <is>
          <t>Customer 10</t>
        </is>
      </c>
      <c r="C2534" s="2" t="inlineStr">
        <is>
          <t>Drive</t>
        </is>
      </c>
      <c r="D2534" s="2" t="inlineStr">
        <is>
          <t>Plant A</t>
        </is>
      </c>
      <c r="E2534" s="2" t="inlineStr">
        <is>
          <t>Central</t>
        </is>
      </c>
      <c r="F2534" s="12" t="n">
        <v>46157</v>
      </c>
      <c r="G2534" s="12" t="n">
        <v>46181</v>
      </c>
      <c r="H2534" s="12" t="n">
        <v>46180</v>
      </c>
      <c r="I2534" s="12" t="n">
        <v>46180</v>
      </c>
      <c r="J2534" s="12" t="n">
        <v>46182</v>
      </c>
      <c r="K2534" s="2" t="n">
        <v>249</v>
      </c>
      <c r="L2534" s="2" t="inlineStr">
        <is>
          <t>Sea</t>
        </is>
      </c>
      <c r="M2534" s="2" t="inlineStr">
        <is>
          <t>Documentation Issue</t>
        </is>
      </c>
      <c r="N2534" s="4">
        <f>IF(I2534&lt;=H2534,1,0)</f>
        <v/>
      </c>
      <c r="O2534" s="4">
        <f>IF(J2534&lt;=G2534,1,0)</f>
        <v/>
      </c>
      <c r="P2534" s="4">
        <f>MAX(0,I2534-H2534)</f>
        <v/>
      </c>
      <c r="Q2534" s="4">
        <f>MAX(0,J2534-G2534)</f>
        <v/>
      </c>
      <c r="R2534" s="4">
        <f>IF(AND(N2534=1,O2534=1),"On Track",IF(O2534=0,"Customer Delivery Late","Ship Late"))</f>
        <v/>
      </c>
    </row>
    <row r="2535">
      <c r="A2535" s="2" t="inlineStr">
        <is>
          <t>ORD-02534</t>
        </is>
      </c>
      <c r="B2535" s="2" t="inlineStr">
        <is>
          <t>Customer 13</t>
        </is>
      </c>
      <c r="C2535" s="2" t="inlineStr">
        <is>
          <t>PLC</t>
        </is>
      </c>
      <c r="D2535" s="2" t="inlineStr">
        <is>
          <t>Plant A</t>
        </is>
      </c>
      <c r="E2535" s="2" t="inlineStr">
        <is>
          <t>Export</t>
        </is>
      </c>
      <c r="F2535" s="12" t="n">
        <v>46050</v>
      </c>
      <c r="G2535" s="12" t="n">
        <v>46073</v>
      </c>
      <c r="H2535" s="12" t="n">
        <v>46068</v>
      </c>
      <c r="I2535" s="12" t="n">
        <v>46066</v>
      </c>
      <c r="J2535" s="12" t="n">
        <v>46071</v>
      </c>
      <c r="K2535" s="2" t="n">
        <v>320</v>
      </c>
      <c r="L2535" s="2" t="inlineStr">
        <is>
          <t>Road</t>
        </is>
      </c>
      <c r="M2535" s="2" t="inlineStr">
        <is>
          <t>No Delay</t>
        </is>
      </c>
      <c r="N2535" s="4">
        <f>IF(I2535&lt;=H2535,1,0)</f>
        <v/>
      </c>
      <c r="O2535" s="4">
        <f>IF(J2535&lt;=G2535,1,0)</f>
        <v/>
      </c>
      <c r="P2535" s="4">
        <f>MAX(0,I2535-H2535)</f>
        <v/>
      </c>
      <c r="Q2535" s="4">
        <f>MAX(0,J2535-G2535)</f>
        <v/>
      </c>
      <c r="R2535" s="4">
        <f>IF(AND(N2535=1,O2535=1),"On Track",IF(O2535=0,"Customer Delivery Late","Ship Late"))</f>
        <v/>
      </c>
    </row>
    <row r="2536">
      <c r="A2536" s="2" t="inlineStr">
        <is>
          <t>ORD-02535</t>
        </is>
      </c>
      <c r="B2536" s="2" t="inlineStr">
        <is>
          <t>Customer 28</t>
        </is>
      </c>
      <c r="C2536" s="2" t="inlineStr">
        <is>
          <t>PLC</t>
        </is>
      </c>
      <c r="D2536" s="2" t="inlineStr">
        <is>
          <t>Plant C</t>
        </is>
      </c>
      <c r="E2536" s="2" t="inlineStr">
        <is>
          <t>North</t>
        </is>
      </c>
      <c r="F2536" s="12" t="n">
        <v>46133</v>
      </c>
      <c r="G2536" s="12" t="n">
        <v>46158</v>
      </c>
      <c r="H2536" s="12" t="n">
        <v>46154</v>
      </c>
      <c r="I2536" s="12" t="n">
        <v>46153</v>
      </c>
      <c r="J2536" s="12" t="n">
        <v>46157</v>
      </c>
      <c r="K2536" s="2" t="n">
        <v>1276</v>
      </c>
      <c r="L2536" s="2" t="inlineStr">
        <is>
          <t>Road</t>
        </is>
      </c>
      <c r="M2536" s="2" t="inlineStr">
        <is>
          <t>No Delay</t>
        </is>
      </c>
      <c r="N2536" s="4">
        <f>IF(I2536&lt;=H2536,1,0)</f>
        <v/>
      </c>
      <c r="O2536" s="4">
        <f>IF(J2536&lt;=G2536,1,0)</f>
        <v/>
      </c>
      <c r="P2536" s="4">
        <f>MAX(0,I2536-H2536)</f>
        <v/>
      </c>
      <c r="Q2536" s="4">
        <f>MAX(0,J2536-G2536)</f>
        <v/>
      </c>
      <c r="R2536" s="4">
        <f>IF(AND(N2536=1,O2536=1),"On Track",IF(O2536=0,"Customer Delivery Late","Ship Late"))</f>
        <v/>
      </c>
    </row>
    <row r="2537">
      <c r="A2537" s="2" t="inlineStr">
        <is>
          <t>ORD-02536</t>
        </is>
      </c>
      <c r="B2537" s="2" t="inlineStr">
        <is>
          <t>Customer 26</t>
        </is>
      </c>
      <c r="C2537" s="2" t="inlineStr">
        <is>
          <t>Relay</t>
        </is>
      </c>
      <c r="D2537" s="2" t="inlineStr">
        <is>
          <t>Plant A</t>
        </is>
      </c>
      <c r="E2537" s="2" t="inlineStr">
        <is>
          <t>Central</t>
        </is>
      </c>
      <c r="F2537" s="12" t="n">
        <v>46152</v>
      </c>
      <c r="G2537" s="12" t="n">
        <v>46172</v>
      </c>
      <c r="H2537" s="12" t="n">
        <v>46169</v>
      </c>
      <c r="I2537" s="12" t="n">
        <v>46167</v>
      </c>
      <c r="J2537" s="12" t="n">
        <v>46170</v>
      </c>
      <c r="K2537" s="2" t="n">
        <v>567</v>
      </c>
      <c r="L2537" s="2" t="inlineStr">
        <is>
          <t>Air</t>
        </is>
      </c>
      <c r="M2537" s="2" t="inlineStr">
        <is>
          <t>No Delay</t>
        </is>
      </c>
      <c r="N2537" s="4">
        <f>IF(I2537&lt;=H2537,1,0)</f>
        <v/>
      </c>
      <c r="O2537" s="4">
        <f>IF(J2537&lt;=G2537,1,0)</f>
        <v/>
      </c>
      <c r="P2537" s="4">
        <f>MAX(0,I2537-H2537)</f>
        <v/>
      </c>
      <c r="Q2537" s="4">
        <f>MAX(0,J2537-G2537)</f>
        <v/>
      </c>
      <c r="R2537" s="4">
        <f>IF(AND(N2537=1,O2537=1),"On Track",IF(O2537=0,"Customer Delivery Late","Ship Late"))</f>
        <v/>
      </c>
    </row>
    <row r="2538">
      <c r="A2538" s="2" t="inlineStr">
        <is>
          <t>ORD-02537</t>
        </is>
      </c>
      <c r="B2538" s="2" t="inlineStr">
        <is>
          <t>Customer 16</t>
        </is>
      </c>
      <c r="C2538" s="2" t="inlineStr">
        <is>
          <t>Power Supply</t>
        </is>
      </c>
      <c r="D2538" s="2" t="inlineStr">
        <is>
          <t>Plant B</t>
        </is>
      </c>
      <c r="E2538" s="2" t="inlineStr">
        <is>
          <t>North</t>
        </is>
      </c>
      <c r="F2538" s="12" t="n">
        <v>46174</v>
      </c>
      <c r="G2538" s="12" t="n">
        <v>46190</v>
      </c>
      <c r="H2538" s="12" t="n">
        <v>46186</v>
      </c>
      <c r="I2538" s="12" t="n">
        <v>46185</v>
      </c>
      <c r="J2538" s="12" t="n">
        <v>46189</v>
      </c>
      <c r="K2538" s="2" t="n">
        <v>1475</v>
      </c>
      <c r="L2538" s="2" t="inlineStr">
        <is>
          <t>Air</t>
        </is>
      </c>
      <c r="M2538" s="2" t="inlineStr">
        <is>
          <t>No Delay</t>
        </is>
      </c>
      <c r="N2538" s="4">
        <f>IF(I2538&lt;=H2538,1,0)</f>
        <v/>
      </c>
      <c r="O2538" s="4">
        <f>IF(J2538&lt;=G2538,1,0)</f>
        <v/>
      </c>
      <c r="P2538" s="4">
        <f>MAX(0,I2538-H2538)</f>
        <v/>
      </c>
      <c r="Q2538" s="4">
        <f>MAX(0,J2538-G2538)</f>
        <v/>
      </c>
      <c r="R2538" s="4">
        <f>IF(AND(N2538=1,O2538=1),"On Track",IF(O2538=0,"Customer Delivery Late","Ship Late"))</f>
        <v/>
      </c>
    </row>
    <row r="2539">
      <c r="A2539" s="2" t="inlineStr">
        <is>
          <t>ORD-02538</t>
        </is>
      </c>
      <c r="B2539" s="2" t="inlineStr">
        <is>
          <t>Customer 27</t>
        </is>
      </c>
      <c r="C2539" s="2" t="inlineStr">
        <is>
          <t>Power Supply</t>
        </is>
      </c>
      <c r="D2539" s="2" t="inlineStr">
        <is>
          <t>Plant C</t>
        </is>
      </c>
      <c r="E2539" s="2" t="inlineStr">
        <is>
          <t>Central</t>
        </is>
      </c>
      <c r="F2539" s="12" t="n">
        <v>46139</v>
      </c>
      <c r="G2539" s="12" t="n">
        <v>46155</v>
      </c>
      <c r="H2539" s="12" t="n">
        <v>46153</v>
      </c>
      <c r="I2539" s="12" t="n">
        <v>46153</v>
      </c>
      <c r="J2539" s="12" t="n">
        <v>46155</v>
      </c>
      <c r="K2539" s="2" t="n">
        <v>250</v>
      </c>
      <c r="L2539" s="2" t="inlineStr">
        <is>
          <t>Air</t>
        </is>
      </c>
      <c r="M2539" s="2" t="inlineStr">
        <is>
          <t>No Delay</t>
        </is>
      </c>
      <c r="N2539" s="4">
        <f>IF(I2539&lt;=H2539,1,0)</f>
        <v/>
      </c>
      <c r="O2539" s="4">
        <f>IF(J2539&lt;=G2539,1,0)</f>
        <v/>
      </c>
      <c r="P2539" s="4">
        <f>MAX(0,I2539-H2539)</f>
        <v/>
      </c>
      <c r="Q2539" s="4">
        <f>MAX(0,J2539-G2539)</f>
        <v/>
      </c>
      <c r="R2539" s="4">
        <f>IF(AND(N2539=1,O2539=1),"On Track",IF(O2539=0,"Customer Delivery Late","Ship Late"))</f>
        <v/>
      </c>
    </row>
    <row r="2540">
      <c r="A2540" s="2" t="inlineStr">
        <is>
          <t>ORD-02539</t>
        </is>
      </c>
      <c r="B2540" s="2" t="inlineStr">
        <is>
          <t>Customer 28</t>
        </is>
      </c>
      <c r="C2540" s="2" t="inlineStr">
        <is>
          <t>Breaker</t>
        </is>
      </c>
      <c r="D2540" s="2" t="inlineStr">
        <is>
          <t>Plant B</t>
        </is>
      </c>
      <c r="E2540" s="2" t="inlineStr">
        <is>
          <t>Export</t>
        </is>
      </c>
      <c r="F2540" s="12" t="n">
        <v>46029</v>
      </c>
      <c r="G2540" s="12" t="n">
        <v>46040</v>
      </c>
      <c r="H2540" s="12" t="n">
        <v>46036</v>
      </c>
      <c r="I2540" s="12" t="n">
        <v>46036</v>
      </c>
      <c r="J2540" s="12" t="n">
        <v>46039</v>
      </c>
      <c r="K2540" s="2" t="n">
        <v>73</v>
      </c>
      <c r="L2540" s="2" t="inlineStr">
        <is>
          <t>Road</t>
        </is>
      </c>
      <c r="M2540" s="2" t="inlineStr">
        <is>
          <t>No Delay</t>
        </is>
      </c>
      <c r="N2540" s="4">
        <f>IF(I2540&lt;=H2540,1,0)</f>
        <v/>
      </c>
      <c r="O2540" s="4">
        <f>IF(J2540&lt;=G2540,1,0)</f>
        <v/>
      </c>
      <c r="P2540" s="4">
        <f>MAX(0,I2540-H2540)</f>
        <v/>
      </c>
      <c r="Q2540" s="4">
        <f>MAX(0,J2540-G2540)</f>
        <v/>
      </c>
      <c r="R2540" s="4">
        <f>IF(AND(N2540=1,O2540=1),"On Track",IF(O2540=0,"Customer Delivery Late","Ship Late"))</f>
        <v/>
      </c>
    </row>
    <row r="2541">
      <c r="A2541" s="2" t="inlineStr">
        <is>
          <t>ORD-02540</t>
        </is>
      </c>
      <c r="B2541" s="2" t="inlineStr">
        <is>
          <t>Customer 15</t>
        </is>
      </c>
      <c r="C2541" s="2" t="inlineStr">
        <is>
          <t>Breaker</t>
        </is>
      </c>
      <c r="D2541" s="2" t="inlineStr">
        <is>
          <t>Plant A</t>
        </is>
      </c>
      <c r="E2541" s="2" t="inlineStr">
        <is>
          <t>South</t>
        </is>
      </c>
      <c r="F2541" s="12" t="n">
        <v>46169</v>
      </c>
      <c r="G2541" s="12" t="n">
        <v>46193</v>
      </c>
      <c r="H2541" s="12" t="n">
        <v>46189</v>
      </c>
      <c r="I2541" s="12" t="n">
        <v>46187</v>
      </c>
      <c r="J2541" s="12" t="n">
        <v>46191</v>
      </c>
      <c r="K2541" s="2" t="n">
        <v>1226</v>
      </c>
      <c r="L2541" s="2" t="inlineStr">
        <is>
          <t>Sea</t>
        </is>
      </c>
      <c r="M2541" s="2" t="inlineStr">
        <is>
          <t>No Delay</t>
        </is>
      </c>
      <c r="N2541" s="4">
        <f>IF(I2541&lt;=H2541,1,0)</f>
        <v/>
      </c>
      <c r="O2541" s="4">
        <f>IF(J2541&lt;=G2541,1,0)</f>
        <v/>
      </c>
      <c r="P2541" s="4">
        <f>MAX(0,I2541-H2541)</f>
        <v/>
      </c>
      <c r="Q2541" s="4">
        <f>MAX(0,J2541-G2541)</f>
        <v/>
      </c>
      <c r="R2541" s="4">
        <f>IF(AND(N2541=1,O2541=1),"On Track",IF(O2541=0,"Customer Delivery Late","Ship Late"))</f>
        <v/>
      </c>
    </row>
    <row r="2542">
      <c r="A2542" s="2" t="inlineStr">
        <is>
          <t>ORD-02541</t>
        </is>
      </c>
      <c r="B2542" s="2" t="inlineStr">
        <is>
          <t>Customer 23</t>
        </is>
      </c>
      <c r="C2542" s="2" t="inlineStr">
        <is>
          <t>Relay</t>
        </is>
      </c>
      <c r="D2542" s="2" t="inlineStr">
        <is>
          <t>Plant A</t>
        </is>
      </c>
      <c r="E2542" s="2" t="inlineStr">
        <is>
          <t>Central</t>
        </is>
      </c>
      <c r="F2542" s="12" t="n">
        <v>46094</v>
      </c>
      <c r="G2542" s="12" t="n">
        <v>46111</v>
      </c>
      <c r="H2542" s="12" t="n">
        <v>46106</v>
      </c>
      <c r="I2542" s="12" t="n">
        <v>46105</v>
      </c>
      <c r="J2542" s="12" t="n">
        <v>46111</v>
      </c>
      <c r="K2542" s="2" t="n">
        <v>1423</v>
      </c>
      <c r="L2542" s="2" t="inlineStr">
        <is>
          <t>Air</t>
        </is>
      </c>
      <c r="M2542" s="2" t="inlineStr">
        <is>
          <t>No Delay</t>
        </is>
      </c>
      <c r="N2542" s="4">
        <f>IF(I2542&lt;=H2542,1,0)</f>
        <v/>
      </c>
      <c r="O2542" s="4">
        <f>IF(J2542&lt;=G2542,1,0)</f>
        <v/>
      </c>
      <c r="P2542" s="4">
        <f>MAX(0,I2542-H2542)</f>
        <v/>
      </c>
      <c r="Q2542" s="4">
        <f>MAX(0,J2542-G2542)</f>
        <v/>
      </c>
      <c r="R2542" s="4">
        <f>IF(AND(N2542=1,O2542=1),"On Track",IF(O2542=0,"Customer Delivery Late","Ship Late"))</f>
        <v/>
      </c>
    </row>
    <row r="2543">
      <c r="A2543" s="2" t="inlineStr">
        <is>
          <t>ORD-02542</t>
        </is>
      </c>
      <c r="B2543" s="2" t="inlineStr">
        <is>
          <t>Customer 19</t>
        </is>
      </c>
      <c r="C2543" s="2" t="inlineStr">
        <is>
          <t>Switchgear</t>
        </is>
      </c>
      <c r="D2543" s="2" t="inlineStr">
        <is>
          <t>Plant A</t>
        </is>
      </c>
      <c r="E2543" s="2" t="inlineStr">
        <is>
          <t>South</t>
        </is>
      </c>
      <c r="F2543" s="12" t="n">
        <v>46038</v>
      </c>
      <c r="G2543" s="12" t="n">
        <v>46043</v>
      </c>
      <c r="H2543" s="12" t="n">
        <v>46039</v>
      </c>
      <c r="I2543" s="12" t="n">
        <v>46039</v>
      </c>
      <c r="J2543" s="12" t="n">
        <v>46044</v>
      </c>
      <c r="K2543" s="2" t="n">
        <v>1353</v>
      </c>
      <c r="L2543" s="2" t="inlineStr">
        <is>
          <t>Road</t>
        </is>
      </c>
      <c r="M2543" s="2" t="inlineStr">
        <is>
          <t>Material Shortage</t>
        </is>
      </c>
      <c r="N2543" s="4">
        <f>IF(I2543&lt;=H2543,1,0)</f>
        <v/>
      </c>
      <c r="O2543" s="4">
        <f>IF(J2543&lt;=G2543,1,0)</f>
        <v/>
      </c>
      <c r="P2543" s="4">
        <f>MAX(0,I2543-H2543)</f>
        <v/>
      </c>
      <c r="Q2543" s="4">
        <f>MAX(0,J2543-G2543)</f>
        <v/>
      </c>
      <c r="R2543" s="4">
        <f>IF(AND(N2543=1,O2543=1),"On Track",IF(O2543=0,"Customer Delivery Late","Ship Late"))</f>
        <v/>
      </c>
    </row>
    <row r="2544">
      <c r="A2544" s="2" t="inlineStr">
        <is>
          <t>ORD-02543</t>
        </is>
      </c>
      <c r="B2544" s="2" t="inlineStr">
        <is>
          <t>Customer 26</t>
        </is>
      </c>
      <c r="C2544" s="2" t="inlineStr">
        <is>
          <t>Power Supply</t>
        </is>
      </c>
      <c r="D2544" s="2" t="inlineStr">
        <is>
          <t>Plant B</t>
        </is>
      </c>
      <c r="E2544" s="2" t="inlineStr">
        <is>
          <t>Export</t>
        </is>
      </c>
      <c r="F2544" s="12" t="n">
        <v>46166</v>
      </c>
      <c r="G2544" s="12" t="n">
        <v>46184</v>
      </c>
      <c r="H2544" s="12" t="n">
        <v>46182</v>
      </c>
      <c r="I2544" s="12" t="n">
        <v>46180</v>
      </c>
      <c r="J2544" s="12" t="n">
        <v>46182</v>
      </c>
      <c r="K2544" s="2" t="n">
        <v>610</v>
      </c>
      <c r="L2544" s="2" t="inlineStr">
        <is>
          <t>Air</t>
        </is>
      </c>
      <c r="M2544" s="2" t="inlineStr">
        <is>
          <t>No Delay</t>
        </is>
      </c>
      <c r="N2544" s="4">
        <f>IF(I2544&lt;=H2544,1,0)</f>
        <v/>
      </c>
      <c r="O2544" s="4">
        <f>IF(J2544&lt;=G2544,1,0)</f>
        <v/>
      </c>
      <c r="P2544" s="4">
        <f>MAX(0,I2544-H2544)</f>
        <v/>
      </c>
      <c r="Q2544" s="4">
        <f>MAX(0,J2544-G2544)</f>
        <v/>
      </c>
      <c r="R2544" s="4">
        <f>IF(AND(N2544=1,O2544=1),"On Track",IF(O2544=0,"Customer Delivery Late","Ship Late"))</f>
        <v/>
      </c>
    </row>
    <row r="2545">
      <c r="A2545" s="2" t="inlineStr">
        <is>
          <t>ORD-02544</t>
        </is>
      </c>
      <c r="B2545" s="2" t="inlineStr">
        <is>
          <t>Customer 20</t>
        </is>
      </c>
      <c r="C2545" s="2" t="inlineStr">
        <is>
          <t>Breaker</t>
        </is>
      </c>
      <c r="D2545" s="2" t="inlineStr">
        <is>
          <t>Plant C</t>
        </is>
      </c>
      <c r="E2545" s="2" t="inlineStr">
        <is>
          <t>Export</t>
        </is>
      </c>
      <c r="F2545" s="12" t="n">
        <v>46201</v>
      </c>
      <c r="G2545" s="12" t="n">
        <v>46223</v>
      </c>
      <c r="H2545" s="12" t="n">
        <v>46218</v>
      </c>
      <c r="I2545" s="12" t="n">
        <v>46218</v>
      </c>
      <c r="J2545" s="12" t="n">
        <v>46223</v>
      </c>
      <c r="K2545" s="2" t="n">
        <v>391</v>
      </c>
      <c r="L2545" s="2" t="inlineStr">
        <is>
          <t>Road</t>
        </is>
      </c>
      <c r="M2545" s="2" t="inlineStr">
        <is>
          <t>No Delay</t>
        </is>
      </c>
      <c r="N2545" s="4">
        <f>IF(I2545&lt;=H2545,1,0)</f>
        <v/>
      </c>
      <c r="O2545" s="4">
        <f>IF(J2545&lt;=G2545,1,0)</f>
        <v/>
      </c>
      <c r="P2545" s="4">
        <f>MAX(0,I2545-H2545)</f>
        <v/>
      </c>
      <c r="Q2545" s="4">
        <f>MAX(0,J2545-G2545)</f>
        <v/>
      </c>
      <c r="R2545" s="4">
        <f>IF(AND(N2545=1,O2545=1),"On Track",IF(O2545=0,"Customer Delivery Late","Ship Late"))</f>
        <v/>
      </c>
    </row>
    <row r="2546">
      <c r="A2546" s="2" t="inlineStr">
        <is>
          <t>ORD-02545</t>
        </is>
      </c>
      <c r="B2546" s="2" t="inlineStr">
        <is>
          <t>Customer 24</t>
        </is>
      </c>
      <c r="C2546" s="2" t="inlineStr">
        <is>
          <t>Sensor</t>
        </is>
      </c>
      <c r="D2546" s="2" t="inlineStr">
        <is>
          <t>Plant B</t>
        </is>
      </c>
      <c r="E2546" s="2" t="inlineStr">
        <is>
          <t>South</t>
        </is>
      </c>
      <c r="F2546" s="12" t="n">
        <v>46157</v>
      </c>
      <c r="G2546" s="12" t="n">
        <v>46172</v>
      </c>
      <c r="H2546" s="12" t="n">
        <v>46167</v>
      </c>
      <c r="I2546" s="12" t="n">
        <v>46165</v>
      </c>
      <c r="J2546" s="12" t="n">
        <v>46171</v>
      </c>
      <c r="K2546" s="2" t="n">
        <v>240</v>
      </c>
      <c r="L2546" s="2" t="inlineStr">
        <is>
          <t>Road</t>
        </is>
      </c>
      <c r="M2546" s="2" t="inlineStr">
        <is>
          <t>No Delay</t>
        </is>
      </c>
      <c r="N2546" s="4">
        <f>IF(I2546&lt;=H2546,1,0)</f>
        <v/>
      </c>
      <c r="O2546" s="4">
        <f>IF(J2546&lt;=G2546,1,0)</f>
        <v/>
      </c>
      <c r="P2546" s="4">
        <f>MAX(0,I2546-H2546)</f>
        <v/>
      </c>
      <c r="Q2546" s="4">
        <f>MAX(0,J2546-G2546)</f>
        <v/>
      </c>
      <c r="R2546" s="4">
        <f>IF(AND(N2546=1,O2546=1),"On Track",IF(O2546=0,"Customer Delivery Late","Ship Late"))</f>
        <v/>
      </c>
    </row>
    <row r="2547">
      <c r="A2547" s="2" t="inlineStr">
        <is>
          <t>ORD-02546</t>
        </is>
      </c>
      <c r="B2547" s="2" t="inlineStr">
        <is>
          <t>Customer 06</t>
        </is>
      </c>
      <c r="C2547" s="2" t="inlineStr">
        <is>
          <t>PLC</t>
        </is>
      </c>
      <c r="D2547" s="2" t="inlineStr">
        <is>
          <t>Plant B</t>
        </is>
      </c>
      <c r="E2547" s="2" t="inlineStr">
        <is>
          <t>Export</t>
        </is>
      </c>
      <c r="F2547" s="12" t="n">
        <v>46181</v>
      </c>
      <c r="G2547" s="12" t="n">
        <v>46189</v>
      </c>
      <c r="H2547" s="12" t="n">
        <v>46184</v>
      </c>
      <c r="I2547" s="12" t="n">
        <v>46182</v>
      </c>
      <c r="J2547" s="12" t="n">
        <v>46187</v>
      </c>
      <c r="K2547" s="2" t="n">
        <v>1121</v>
      </c>
      <c r="L2547" s="2" t="inlineStr">
        <is>
          <t>Sea</t>
        </is>
      </c>
      <c r="M2547" s="2" t="inlineStr">
        <is>
          <t>No Delay</t>
        </is>
      </c>
      <c r="N2547" s="4">
        <f>IF(I2547&lt;=H2547,1,0)</f>
        <v/>
      </c>
      <c r="O2547" s="4">
        <f>IF(J2547&lt;=G2547,1,0)</f>
        <v/>
      </c>
      <c r="P2547" s="4">
        <f>MAX(0,I2547-H2547)</f>
        <v/>
      </c>
      <c r="Q2547" s="4">
        <f>MAX(0,J2547-G2547)</f>
        <v/>
      </c>
      <c r="R2547" s="4">
        <f>IF(AND(N2547=1,O2547=1),"On Track",IF(O2547=0,"Customer Delivery Late","Ship Late"))</f>
        <v/>
      </c>
    </row>
    <row r="2548">
      <c r="A2548" s="2" t="inlineStr">
        <is>
          <t>ORD-02547</t>
        </is>
      </c>
      <c r="B2548" s="2" t="inlineStr">
        <is>
          <t>Customer 18</t>
        </is>
      </c>
      <c r="C2548" s="2" t="inlineStr">
        <is>
          <t>Breaker</t>
        </is>
      </c>
      <c r="D2548" s="2" t="inlineStr">
        <is>
          <t>Plant A</t>
        </is>
      </c>
      <c r="E2548" s="2" t="inlineStr">
        <is>
          <t>South</t>
        </is>
      </c>
      <c r="F2548" s="12" t="n">
        <v>46075</v>
      </c>
      <c r="G2548" s="12" t="n">
        <v>46097</v>
      </c>
      <c r="H2548" s="12" t="n">
        <v>46093</v>
      </c>
      <c r="I2548" s="12" t="n">
        <v>46093</v>
      </c>
      <c r="J2548" s="12" t="n">
        <v>46097</v>
      </c>
      <c r="K2548" s="2" t="n">
        <v>1433</v>
      </c>
      <c r="L2548" s="2" t="inlineStr">
        <is>
          <t>Road</t>
        </is>
      </c>
      <c r="M2548" s="2" t="inlineStr">
        <is>
          <t>No Delay</t>
        </is>
      </c>
      <c r="N2548" s="4">
        <f>IF(I2548&lt;=H2548,1,0)</f>
        <v/>
      </c>
      <c r="O2548" s="4">
        <f>IF(J2548&lt;=G2548,1,0)</f>
        <v/>
      </c>
      <c r="P2548" s="4">
        <f>MAX(0,I2548-H2548)</f>
        <v/>
      </c>
      <c r="Q2548" s="4">
        <f>MAX(0,J2548-G2548)</f>
        <v/>
      </c>
      <c r="R2548" s="4">
        <f>IF(AND(N2548=1,O2548=1),"On Track",IF(O2548=0,"Customer Delivery Late","Ship Late"))</f>
        <v/>
      </c>
    </row>
    <row r="2549">
      <c r="A2549" s="2" t="inlineStr">
        <is>
          <t>ORD-02548</t>
        </is>
      </c>
      <c r="B2549" s="2" t="inlineStr">
        <is>
          <t>Customer 09</t>
        </is>
      </c>
      <c r="C2549" s="2" t="inlineStr">
        <is>
          <t>Power Supply</t>
        </is>
      </c>
      <c r="D2549" s="2" t="inlineStr">
        <is>
          <t>Plant C</t>
        </is>
      </c>
      <c r="E2549" s="2" t="inlineStr">
        <is>
          <t>Export</t>
        </is>
      </c>
      <c r="F2549" s="12" t="n">
        <v>46128</v>
      </c>
      <c r="G2549" s="12" t="n">
        <v>46141</v>
      </c>
      <c r="H2549" s="12" t="n">
        <v>46137</v>
      </c>
      <c r="I2549" s="12" t="n">
        <v>46136</v>
      </c>
      <c r="J2549" s="12" t="n">
        <v>46140</v>
      </c>
      <c r="K2549" s="2" t="n">
        <v>1467</v>
      </c>
      <c r="L2549" s="2" t="inlineStr">
        <is>
          <t>Air</t>
        </is>
      </c>
      <c r="M2549" s="2" t="inlineStr">
        <is>
          <t>No Delay</t>
        </is>
      </c>
      <c r="N2549" s="4">
        <f>IF(I2549&lt;=H2549,1,0)</f>
        <v/>
      </c>
      <c r="O2549" s="4">
        <f>IF(J2549&lt;=G2549,1,0)</f>
        <v/>
      </c>
      <c r="P2549" s="4">
        <f>MAX(0,I2549-H2549)</f>
        <v/>
      </c>
      <c r="Q2549" s="4">
        <f>MAX(0,J2549-G2549)</f>
        <v/>
      </c>
      <c r="R2549" s="4">
        <f>IF(AND(N2549=1,O2549=1),"On Track",IF(O2549=0,"Customer Delivery Late","Ship Late"))</f>
        <v/>
      </c>
    </row>
    <row r="2550">
      <c r="A2550" s="2" t="inlineStr">
        <is>
          <t>ORD-02549</t>
        </is>
      </c>
      <c r="B2550" s="2" t="inlineStr">
        <is>
          <t>Customer 04</t>
        </is>
      </c>
      <c r="C2550" s="2" t="inlineStr">
        <is>
          <t>Switchgear</t>
        </is>
      </c>
      <c r="D2550" s="2" t="inlineStr">
        <is>
          <t>Plant B</t>
        </is>
      </c>
      <c r="E2550" s="2" t="inlineStr">
        <is>
          <t>South</t>
        </is>
      </c>
      <c r="F2550" s="12" t="n">
        <v>46048</v>
      </c>
      <c r="G2550" s="12" t="n">
        <v>46065</v>
      </c>
      <c r="H2550" s="12" t="n">
        <v>46063</v>
      </c>
      <c r="I2550" s="12" t="n">
        <v>46061</v>
      </c>
      <c r="J2550" s="12" t="n">
        <v>46062</v>
      </c>
      <c r="K2550" s="2" t="n">
        <v>355</v>
      </c>
      <c r="L2550" s="2" t="inlineStr">
        <is>
          <t>Sea</t>
        </is>
      </c>
      <c r="M2550" s="2" t="inlineStr">
        <is>
          <t>No Delay</t>
        </is>
      </c>
      <c r="N2550" s="4">
        <f>IF(I2550&lt;=H2550,1,0)</f>
        <v/>
      </c>
      <c r="O2550" s="4">
        <f>IF(J2550&lt;=G2550,1,0)</f>
        <v/>
      </c>
      <c r="P2550" s="4">
        <f>MAX(0,I2550-H2550)</f>
        <v/>
      </c>
      <c r="Q2550" s="4">
        <f>MAX(0,J2550-G2550)</f>
        <v/>
      </c>
      <c r="R2550" s="4">
        <f>IF(AND(N2550=1,O2550=1),"On Track",IF(O2550=0,"Customer Delivery Late","Ship Late"))</f>
        <v/>
      </c>
    </row>
    <row r="2551">
      <c r="A2551" s="2" t="inlineStr">
        <is>
          <t>ORD-02550</t>
        </is>
      </c>
      <c r="B2551" s="2" t="inlineStr">
        <is>
          <t>Customer 17</t>
        </is>
      </c>
      <c r="C2551" s="2" t="inlineStr">
        <is>
          <t>Contactor</t>
        </is>
      </c>
      <c r="D2551" s="2" t="inlineStr">
        <is>
          <t>Plant A</t>
        </is>
      </c>
      <c r="E2551" s="2" t="inlineStr">
        <is>
          <t>South</t>
        </is>
      </c>
      <c r="F2551" s="12" t="n">
        <v>46136</v>
      </c>
      <c r="G2551" s="12" t="n">
        <v>46156</v>
      </c>
      <c r="H2551" s="12" t="n">
        <v>46152</v>
      </c>
      <c r="I2551" s="12" t="n">
        <v>46151</v>
      </c>
      <c r="J2551" s="12" t="n">
        <v>46156</v>
      </c>
      <c r="K2551" s="2" t="n">
        <v>528</v>
      </c>
      <c r="L2551" s="2" t="inlineStr">
        <is>
          <t>Road</t>
        </is>
      </c>
      <c r="M2551" s="2" t="inlineStr">
        <is>
          <t>No Delay</t>
        </is>
      </c>
      <c r="N2551" s="4">
        <f>IF(I2551&lt;=H2551,1,0)</f>
        <v/>
      </c>
      <c r="O2551" s="4">
        <f>IF(J2551&lt;=G2551,1,0)</f>
        <v/>
      </c>
      <c r="P2551" s="4">
        <f>MAX(0,I2551-H2551)</f>
        <v/>
      </c>
      <c r="Q2551" s="4">
        <f>MAX(0,J2551-G2551)</f>
        <v/>
      </c>
      <c r="R2551" s="4">
        <f>IF(AND(N2551=1,O2551=1),"On Track",IF(O2551=0,"Customer Delivery Late","Ship Late"))</f>
        <v/>
      </c>
    </row>
    <row r="2552">
      <c r="A2552" s="2" t="inlineStr">
        <is>
          <t>ORD-02551</t>
        </is>
      </c>
      <c r="B2552" s="2" t="inlineStr">
        <is>
          <t>Customer 29</t>
        </is>
      </c>
      <c r="C2552" s="2" t="inlineStr">
        <is>
          <t>Contactor</t>
        </is>
      </c>
      <c r="D2552" s="2" t="inlineStr">
        <is>
          <t>Plant A</t>
        </is>
      </c>
      <c r="E2552" s="2" t="inlineStr">
        <is>
          <t>Export</t>
        </is>
      </c>
      <c r="F2552" s="12" t="n">
        <v>46117</v>
      </c>
      <c r="G2552" s="12" t="n">
        <v>46136</v>
      </c>
      <c r="H2552" s="12" t="n">
        <v>46134</v>
      </c>
      <c r="I2552" s="12" t="n">
        <v>46134</v>
      </c>
      <c r="J2552" s="12" t="n">
        <v>46136</v>
      </c>
      <c r="K2552" s="2" t="n">
        <v>1113</v>
      </c>
      <c r="L2552" s="2" t="inlineStr">
        <is>
          <t>Air</t>
        </is>
      </c>
      <c r="M2552" s="2" t="inlineStr">
        <is>
          <t>No Delay</t>
        </is>
      </c>
      <c r="N2552" s="4">
        <f>IF(I2552&lt;=H2552,1,0)</f>
        <v/>
      </c>
      <c r="O2552" s="4">
        <f>IF(J2552&lt;=G2552,1,0)</f>
        <v/>
      </c>
      <c r="P2552" s="4">
        <f>MAX(0,I2552-H2552)</f>
        <v/>
      </c>
      <c r="Q2552" s="4">
        <f>MAX(0,J2552-G2552)</f>
        <v/>
      </c>
      <c r="R2552" s="4">
        <f>IF(AND(N2552=1,O2552=1),"On Track",IF(O2552=0,"Customer Delivery Late","Ship Late"))</f>
        <v/>
      </c>
    </row>
    <row r="2553">
      <c r="A2553" s="2" t="inlineStr">
        <is>
          <t>ORD-02552</t>
        </is>
      </c>
      <c r="B2553" s="2" t="inlineStr">
        <is>
          <t>Customer 17</t>
        </is>
      </c>
      <c r="C2553" s="2" t="inlineStr">
        <is>
          <t>Relay</t>
        </is>
      </c>
      <c r="D2553" s="2" t="inlineStr">
        <is>
          <t>Plant B</t>
        </is>
      </c>
      <c r="E2553" s="2" t="inlineStr">
        <is>
          <t>North</t>
        </is>
      </c>
      <c r="F2553" s="12" t="n">
        <v>46053</v>
      </c>
      <c r="G2553" s="12" t="n">
        <v>46061</v>
      </c>
      <c r="H2553" s="12" t="n">
        <v>46058</v>
      </c>
      <c r="I2553" s="12" t="n">
        <v>46056</v>
      </c>
      <c r="J2553" s="12" t="n">
        <v>46059</v>
      </c>
      <c r="K2553" s="2" t="n">
        <v>691</v>
      </c>
      <c r="L2553" s="2" t="inlineStr">
        <is>
          <t>Air</t>
        </is>
      </c>
      <c r="M2553" s="2" t="inlineStr">
        <is>
          <t>No Delay</t>
        </is>
      </c>
      <c r="N2553" s="4">
        <f>IF(I2553&lt;=H2553,1,0)</f>
        <v/>
      </c>
      <c r="O2553" s="4">
        <f>IF(J2553&lt;=G2553,1,0)</f>
        <v/>
      </c>
      <c r="P2553" s="4">
        <f>MAX(0,I2553-H2553)</f>
        <v/>
      </c>
      <c r="Q2553" s="4">
        <f>MAX(0,J2553-G2553)</f>
        <v/>
      </c>
      <c r="R2553" s="4">
        <f>IF(AND(N2553=1,O2553=1),"On Track",IF(O2553=0,"Customer Delivery Late","Ship Late"))</f>
        <v/>
      </c>
    </row>
    <row r="2554">
      <c r="A2554" s="2" t="inlineStr">
        <is>
          <t>ORD-02553</t>
        </is>
      </c>
      <c r="B2554" s="2" t="inlineStr">
        <is>
          <t>Customer 17</t>
        </is>
      </c>
      <c r="C2554" s="2" t="inlineStr">
        <is>
          <t>PLC</t>
        </is>
      </c>
      <c r="D2554" s="2" t="inlineStr">
        <is>
          <t>Plant B</t>
        </is>
      </c>
      <c r="E2554" s="2" t="inlineStr">
        <is>
          <t>South</t>
        </is>
      </c>
      <c r="F2554" s="12" t="n">
        <v>46109</v>
      </c>
      <c r="G2554" s="12" t="n">
        <v>46134</v>
      </c>
      <c r="H2554" s="12" t="n">
        <v>46131</v>
      </c>
      <c r="I2554" s="12" t="n">
        <v>46130</v>
      </c>
      <c r="J2554" s="12" t="n">
        <v>46133</v>
      </c>
      <c r="K2554" s="2" t="n">
        <v>484</v>
      </c>
      <c r="L2554" s="2" t="inlineStr">
        <is>
          <t>Air</t>
        </is>
      </c>
      <c r="M2554" s="2" t="inlineStr">
        <is>
          <t>No Delay</t>
        </is>
      </c>
      <c r="N2554" s="4">
        <f>IF(I2554&lt;=H2554,1,0)</f>
        <v/>
      </c>
      <c r="O2554" s="4">
        <f>IF(J2554&lt;=G2554,1,0)</f>
        <v/>
      </c>
      <c r="P2554" s="4">
        <f>MAX(0,I2554-H2554)</f>
        <v/>
      </c>
      <c r="Q2554" s="4">
        <f>MAX(0,J2554-G2554)</f>
        <v/>
      </c>
      <c r="R2554" s="4">
        <f>IF(AND(N2554=1,O2554=1),"On Track",IF(O2554=0,"Customer Delivery Late","Ship Late"))</f>
        <v/>
      </c>
    </row>
    <row r="2555">
      <c r="A2555" s="2" t="inlineStr">
        <is>
          <t>ORD-02554</t>
        </is>
      </c>
      <c r="B2555" s="2" t="inlineStr">
        <is>
          <t>Customer 11</t>
        </is>
      </c>
      <c r="C2555" s="2" t="inlineStr">
        <is>
          <t>Sensor</t>
        </is>
      </c>
      <c r="D2555" s="2" t="inlineStr">
        <is>
          <t>Plant B</t>
        </is>
      </c>
      <c r="E2555" s="2" t="inlineStr">
        <is>
          <t>South</t>
        </is>
      </c>
      <c r="F2555" s="12" t="n">
        <v>46138</v>
      </c>
      <c r="G2555" s="12" t="n">
        <v>46145</v>
      </c>
      <c r="H2555" s="12" t="n">
        <v>46142</v>
      </c>
      <c r="I2555" s="12" t="n">
        <v>46140</v>
      </c>
      <c r="J2555" s="12" t="n">
        <v>46143</v>
      </c>
      <c r="K2555" s="2" t="n">
        <v>1391</v>
      </c>
      <c r="L2555" s="2" t="inlineStr">
        <is>
          <t>Air</t>
        </is>
      </c>
      <c r="M2555" s="2" t="inlineStr">
        <is>
          <t>No Delay</t>
        </is>
      </c>
      <c r="N2555" s="4">
        <f>IF(I2555&lt;=H2555,1,0)</f>
        <v/>
      </c>
      <c r="O2555" s="4">
        <f>IF(J2555&lt;=G2555,1,0)</f>
        <v/>
      </c>
      <c r="P2555" s="4">
        <f>MAX(0,I2555-H2555)</f>
        <v/>
      </c>
      <c r="Q2555" s="4">
        <f>MAX(0,J2555-G2555)</f>
        <v/>
      </c>
      <c r="R2555" s="4">
        <f>IF(AND(N2555=1,O2555=1),"On Track",IF(O2555=0,"Customer Delivery Late","Ship Late"))</f>
        <v/>
      </c>
    </row>
    <row r="2556">
      <c r="A2556" s="2" t="inlineStr">
        <is>
          <t>ORD-02555</t>
        </is>
      </c>
      <c r="B2556" s="2" t="inlineStr">
        <is>
          <t>Customer 14</t>
        </is>
      </c>
      <c r="C2556" s="2" t="inlineStr">
        <is>
          <t>Relay</t>
        </is>
      </c>
      <c r="D2556" s="2" t="inlineStr">
        <is>
          <t>Plant A</t>
        </is>
      </c>
      <c r="E2556" s="2" t="inlineStr">
        <is>
          <t>Export</t>
        </is>
      </c>
      <c r="F2556" s="12" t="n">
        <v>46131</v>
      </c>
      <c r="G2556" s="12" t="n">
        <v>46136</v>
      </c>
      <c r="H2556" s="12" t="n">
        <v>46135</v>
      </c>
      <c r="I2556" s="12" t="n">
        <v>46133</v>
      </c>
      <c r="J2556" s="12" t="n">
        <v>46134</v>
      </c>
      <c r="K2556" s="2" t="n">
        <v>316</v>
      </c>
      <c r="L2556" s="2" t="inlineStr">
        <is>
          <t>Road</t>
        </is>
      </c>
      <c r="M2556" s="2" t="inlineStr">
        <is>
          <t>No Delay</t>
        </is>
      </c>
      <c r="N2556" s="4">
        <f>IF(I2556&lt;=H2556,1,0)</f>
        <v/>
      </c>
      <c r="O2556" s="4">
        <f>IF(J2556&lt;=G2556,1,0)</f>
        <v/>
      </c>
      <c r="P2556" s="4">
        <f>MAX(0,I2556-H2556)</f>
        <v/>
      </c>
      <c r="Q2556" s="4">
        <f>MAX(0,J2556-G2556)</f>
        <v/>
      </c>
      <c r="R2556" s="4">
        <f>IF(AND(N2556=1,O2556=1),"On Track",IF(O2556=0,"Customer Delivery Late","Ship Late"))</f>
        <v/>
      </c>
    </row>
    <row r="2557">
      <c r="A2557" s="2" t="inlineStr">
        <is>
          <t>ORD-02556</t>
        </is>
      </c>
      <c r="B2557" s="2" t="inlineStr">
        <is>
          <t>Customer 24</t>
        </is>
      </c>
      <c r="C2557" s="2" t="inlineStr">
        <is>
          <t>Switchgear</t>
        </is>
      </c>
      <c r="D2557" s="2" t="inlineStr">
        <is>
          <t>Plant C</t>
        </is>
      </c>
      <c r="E2557" s="2" t="inlineStr">
        <is>
          <t>Central</t>
        </is>
      </c>
      <c r="F2557" s="12" t="n">
        <v>46156</v>
      </c>
      <c r="G2557" s="12" t="n">
        <v>46173</v>
      </c>
      <c r="H2557" s="12" t="n">
        <v>46168</v>
      </c>
      <c r="I2557" s="12" t="n">
        <v>46167</v>
      </c>
      <c r="J2557" s="12" t="n">
        <v>46171</v>
      </c>
      <c r="K2557" s="2" t="n">
        <v>809</v>
      </c>
      <c r="L2557" s="2" t="inlineStr">
        <is>
          <t>Sea</t>
        </is>
      </c>
      <c r="M2557" s="2" t="inlineStr">
        <is>
          <t>No Delay</t>
        </is>
      </c>
      <c r="N2557" s="4">
        <f>IF(I2557&lt;=H2557,1,0)</f>
        <v/>
      </c>
      <c r="O2557" s="4">
        <f>IF(J2557&lt;=G2557,1,0)</f>
        <v/>
      </c>
      <c r="P2557" s="4">
        <f>MAX(0,I2557-H2557)</f>
        <v/>
      </c>
      <c r="Q2557" s="4">
        <f>MAX(0,J2557-G2557)</f>
        <v/>
      </c>
      <c r="R2557" s="4">
        <f>IF(AND(N2557=1,O2557=1),"On Track",IF(O2557=0,"Customer Delivery Late","Ship Late"))</f>
        <v/>
      </c>
    </row>
    <row r="2558">
      <c r="A2558" s="2" t="inlineStr">
        <is>
          <t>ORD-02557</t>
        </is>
      </c>
      <c r="B2558" s="2" t="inlineStr">
        <is>
          <t>Customer 26</t>
        </is>
      </c>
      <c r="C2558" s="2" t="inlineStr">
        <is>
          <t>PLC</t>
        </is>
      </c>
      <c r="D2558" s="2" t="inlineStr">
        <is>
          <t>Plant B</t>
        </is>
      </c>
      <c r="E2558" s="2" t="inlineStr">
        <is>
          <t>North</t>
        </is>
      </c>
      <c r="F2558" s="12" t="n">
        <v>46082</v>
      </c>
      <c r="G2558" s="12" t="n">
        <v>46104</v>
      </c>
      <c r="H2558" s="12" t="n">
        <v>46101</v>
      </c>
      <c r="I2558" s="12" t="n">
        <v>46099</v>
      </c>
      <c r="J2558" s="12" t="n">
        <v>46102</v>
      </c>
      <c r="K2558" s="2" t="n">
        <v>1476</v>
      </c>
      <c r="L2558" s="2" t="inlineStr">
        <is>
          <t>Sea</t>
        </is>
      </c>
      <c r="M2558" s="2" t="inlineStr">
        <is>
          <t>No Delay</t>
        </is>
      </c>
      <c r="N2558" s="4">
        <f>IF(I2558&lt;=H2558,1,0)</f>
        <v/>
      </c>
      <c r="O2558" s="4">
        <f>IF(J2558&lt;=G2558,1,0)</f>
        <v/>
      </c>
      <c r="P2558" s="4">
        <f>MAX(0,I2558-H2558)</f>
        <v/>
      </c>
      <c r="Q2558" s="4">
        <f>MAX(0,J2558-G2558)</f>
        <v/>
      </c>
      <c r="R2558" s="4">
        <f>IF(AND(N2558=1,O2558=1),"On Track",IF(O2558=0,"Customer Delivery Late","Ship Late"))</f>
        <v/>
      </c>
    </row>
    <row r="2559">
      <c r="A2559" s="2" t="inlineStr">
        <is>
          <t>ORD-02558</t>
        </is>
      </c>
      <c r="B2559" s="2" t="inlineStr">
        <is>
          <t>Customer 07</t>
        </is>
      </c>
      <c r="C2559" s="2" t="inlineStr">
        <is>
          <t>Power Supply</t>
        </is>
      </c>
      <c r="D2559" s="2" t="inlineStr">
        <is>
          <t>Plant C</t>
        </is>
      </c>
      <c r="E2559" s="2" t="inlineStr">
        <is>
          <t>South</t>
        </is>
      </c>
      <c r="F2559" s="12" t="n">
        <v>46169</v>
      </c>
      <c r="G2559" s="12" t="n">
        <v>46176</v>
      </c>
      <c r="H2559" s="12" t="n">
        <v>46172</v>
      </c>
      <c r="I2559" s="12" t="n">
        <v>46171</v>
      </c>
      <c r="J2559" s="12" t="n">
        <v>46176</v>
      </c>
      <c r="K2559" s="2" t="n">
        <v>49</v>
      </c>
      <c r="L2559" s="2" t="inlineStr">
        <is>
          <t>Road</t>
        </is>
      </c>
      <c r="M2559" s="2" t="inlineStr">
        <is>
          <t>No Delay</t>
        </is>
      </c>
      <c r="N2559" s="4">
        <f>IF(I2559&lt;=H2559,1,0)</f>
        <v/>
      </c>
      <c r="O2559" s="4">
        <f>IF(J2559&lt;=G2559,1,0)</f>
        <v/>
      </c>
      <c r="P2559" s="4">
        <f>MAX(0,I2559-H2559)</f>
        <v/>
      </c>
      <c r="Q2559" s="4">
        <f>MAX(0,J2559-G2559)</f>
        <v/>
      </c>
      <c r="R2559" s="4">
        <f>IF(AND(N2559=1,O2559=1),"On Track",IF(O2559=0,"Customer Delivery Late","Ship Late"))</f>
        <v/>
      </c>
    </row>
    <row r="2560">
      <c r="A2560" s="2" t="inlineStr">
        <is>
          <t>ORD-02559</t>
        </is>
      </c>
      <c r="B2560" s="2" t="inlineStr">
        <is>
          <t>Customer 23</t>
        </is>
      </c>
      <c r="C2560" s="2" t="inlineStr">
        <is>
          <t>Power Supply</t>
        </is>
      </c>
      <c r="D2560" s="2" t="inlineStr">
        <is>
          <t>Plant A</t>
        </is>
      </c>
      <c r="E2560" s="2" t="inlineStr">
        <is>
          <t>Export</t>
        </is>
      </c>
      <c r="F2560" s="12" t="n">
        <v>46093</v>
      </c>
      <c r="G2560" s="12" t="n">
        <v>46114</v>
      </c>
      <c r="H2560" s="12" t="n">
        <v>46111</v>
      </c>
      <c r="I2560" s="12" t="n">
        <v>46109</v>
      </c>
      <c r="J2560" s="12" t="n">
        <v>46112</v>
      </c>
      <c r="K2560" s="2" t="n">
        <v>1178</v>
      </c>
      <c r="L2560" s="2" t="inlineStr">
        <is>
          <t>Air</t>
        </is>
      </c>
      <c r="M2560" s="2" t="inlineStr">
        <is>
          <t>No Delay</t>
        </is>
      </c>
      <c r="N2560" s="4">
        <f>IF(I2560&lt;=H2560,1,0)</f>
        <v/>
      </c>
      <c r="O2560" s="4">
        <f>IF(J2560&lt;=G2560,1,0)</f>
        <v/>
      </c>
      <c r="P2560" s="4">
        <f>MAX(0,I2560-H2560)</f>
        <v/>
      </c>
      <c r="Q2560" s="4">
        <f>MAX(0,J2560-G2560)</f>
        <v/>
      </c>
      <c r="R2560" s="4">
        <f>IF(AND(N2560=1,O2560=1),"On Track",IF(O2560=0,"Customer Delivery Late","Ship Late"))</f>
        <v/>
      </c>
    </row>
    <row r="2561">
      <c r="A2561" s="2" t="inlineStr">
        <is>
          <t>ORD-02560</t>
        </is>
      </c>
      <c r="B2561" s="2" t="inlineStr">
        <is>
          <t>Customer 12</t>
        </is>
      </c>
      <c r="C2561" s="2" t="inlineStr">
        <is>
          <t>Sensor</t>
        </is>
      </c>
      <c r="D2561" s="2" t="inlineStr">
        <is>
          <t>Plant B</t>
        </is>
      </c>
      <c r="E2561" s="2" t="inlineStr">
        <is>
          <t>Export</t>
        </is>
      </c>
      <c r="F2561" s="12" t="n">
        <v>46192</v>
      </c>
      <c r="G2561" s="12" t="n">
        <v>46215</v>
      </c>
      <c r="H2561" s="12" t="n">
        <v>46212</v>
      </c>
      <c r="I2561" s="12" t="n">
        <v>46210</v>
      </c>
      <c r="J2561" s="12" t="n">
        <v>46213</v>
      </c>
      <c r="K2561" s="2" t="n">
        <v>886</v>
      </c>
      <c r="L2561" s="2" t="inlineStr">
        <is>
          <t>Sea</t>
        </is>
      </c>
      <c r="M2561" s="2" t="inlineStr">
        <is>
          <t>No Delay</t>
        </is>
      </c>
      <c r="N2561" s="4">
        <f>IF(I2561&lt;=H2561,1,0)</f>
        <v/>
      </c>
      <c r="O2561" s="4">
        <f>IF(J2561&lt;=G2561,1,0)</f>
        <v/>
      </c>
      <c r="P2561" s="4">
        <f>MAX(0,I2561-H2561)</f>
        <v/>
      </c>
      <c r="Q2561" s="4">
        <f>MAX(0,J2561-G2561)</f>
        <v/>
      </c>
      <c r="R2561" s="4">
        <f>IF(AND(N2561=1,O2561=1),"On Track",IF(O2561=0,"Customer Delivery Late","Ship Late"))</f>
        <v/>
      </c>
    </row>
    <row r="2562">
      <c r="A2562" s="2" t="inlineStr">
        <is>
          <t>ORD-02561</t>
        </is>
      </c>
      <c r="B2562" s="2" t="inlineStr">
        <is>
          <t>Customer 05</t>
        </is>
      </c>
      <c r="C2562" s="2" t="inlineStr">
        <is>
          <t>Switchgear</t>
        </is>
      </c>
      <c r="D2562" s="2" t="inlineStr">
        <is>
          <t>Plant B</t>
        </is>
      </c>
      <c r="E2562" s="2" t="inlineStr">
        <is>
          <t>Central</t>
        </is>
      </c>
      <c r="F2562" s="12" t="n">
        <v>46107</v>
      </c>
      <c r="G2562" s="12" t="n">
        <v>46121</v>
      </c>
      <c r="H2562" s="12" t="n">
        <v>46119</v>
      </c>
      <c r="I2562" s="12" t="n">
        <v>46119</v>
      </c>
      <c r="J2562" s="12" t="n">
        <v>46121</v>
      </c>
      <c r="K2562" s="2" t="n">
        <v>1035</v>
      </c>
      <c r="L2562" s="2" t="inlineStr">
        <is>
          <t>Road</t>
        </is>
      </c>
      <c r="M2562" s="2" t="inlineStr">
        <is>
          <t>No Delay</t>
        </is>
      </c>
      <c r="N2562" s="4">
        <f>IF(I2562&lt;=H2562,1,0)</f>
        <v/>
      </c>
      <c r="O2562" s="4">
        <f>IF(J2562&lt;=G2562,1,0)</f>
        <v/>
      </c>
      <c r="P2562" s="4">
        <f>MAX(0,I2562-H2562)</f>
        <v/>
      </c>
      <c r="Q2562" s="4">
        <f>MAX(0,J2562-G2562)</f>
        <v/>
      </c>
      <c r="R2562" s="4">
        <f>IF(AND(N2562=1,O2562=1),"On Track",IF(O2562=0,"Customer Delivery Late","Ship Late"))</f>
        <v/>
      </c>
    </row>
    <row r="2563">
      <c r="A2563" s="2" t="inlineStr">
        <is>
          <t>ORD-02562</t>
        </is>
      </c>
      <c r="B2563" s="2" t="inlineStr">
        <is>
          <t>Customer 19</t>
        </is>
      </c>
      <c r="C2563" s="2" t="inlineStr">
        <is>
          <t>Sensor</t>
        </is>
      </c>
      <c r="D2563" s="2" t="inlineStr">
        <is>
          <t>Plant C</t>
        </is>
      </c>
      <c r="E2563" s="2" t="inlineStr">
        <is>
          <t>South</t>
        </is>
      </c>
      <c r="F2563" s="12" t="n">
        <v>46026</v>
      </c>
      <c r="G2563" s="12" t="n">
        <v>46034</v>
      </c>
      <c r="H2563" s="12" t="n">
        <v>46030</v>
      </c>
      <c r="I2563" s="12" t="n">
        <v>46032</v>
      </c>
      <c r="J2563" s="12" t="n">
        <v>46036</v>
      </c>
      <c r="K2563" s="2" t="n">
        <v>1208</v>
      </c>
      <c r="L2563" s="2" t="inlineStr">
        <is>
          <t>Road</t>
        </is>
      </c>
      <c r="M2563" s="2" t="inlineStr">
        <is>
          <t>Documentation Issue</t>
        </is>
      </c>
      <c r="N2563" s="4">
        <f>IF(I2563&lt;=H2563,1,0)</f>
        <v/>
      </c>
      <c r="O2563" s="4">
        <f>IF(J2563&lt;=G2563,1,0)</f>
        <v/>
      </c>
      <c r="P2563" s="4">
        <f>MAX(0,I2563-H2563)</f>
        <v/>
      </c>
      <c r="Q2563" s="4">
        <f>MAX(0,J2563-G2563)</f>
        <v/>
      </c>
      <c r="R2563" s="4">
        <f>IF(AND(N2563=1,O2563=1),"On Track",IF(O2563=0,"Customer Delivery Late","Ship Late"))</f>
        <v/>
      </c>
    </row>
    <row r="2564">
      <c r="A2564" s="2" t="inlineStr">
        <is>
          <t>ORD-02563</t>
        </is>
      </c>
      <c r="B2564" s="2" t="inlineStr">
        <is>
          <t>Customer 14</t>
        </is>
      </c>
      <c r="C2564" s="2" t="inlineStr">
        <is>
          <t>Sensor</t>
        </is>
      </c>
      <c r="D2564" s="2" t="inlineStr">
        <is>
          <t>Plant C</t>
        </is>
      </c>
      <c r="E2564" s="2" t="inlineStr">
        <is>
          <t>Export</t>
        </is>
      </c>
      <c r="F2564" s="12" t="n">
        <v>46082</v>
      </c>
      <c r="G2564" s="12" t="n">
        <v>46097</v>
      </c>
      <c r="H2564" s="12" t="n">
        <v>46096</v>
      </c>
      <c r="I2564" s="12" t="n">
        <v>46096</v>
      </c>
      <c r="J2564" s="12" t="n">
        <v>46098</v>
      </c>
      <c r="K2564" s="2" t="n">
        <v>1481</v>
      </c>
      <c r="L2564" s="2" t="inlineStr">
        <is>
          <t>Road</t>
        </is>
      </c>
      <c r="M2564" s="2" t="inlineStr">
        <is>
          <t>Production Delay</t>
        </is>
      </c>
      <c r="N2564" s="4">
        <f>IF(I2564&lt;=H2564,1,0)</f>
        <v/>
      </c>
      <c r="O2564" s="4">
        <f>IF(J2564&lt;=G2564,1,0)</f>
        <v/>
      </c>
      <c r="P2564" s="4">
        <f>MAX(0,I2564-H2564)</f>
        <v/>
      </c>
      <c r="Q2564" s="4">
        <f>MAX(0,J2564-G2564)</f>
        <v/>
      </c>
      <c r="R2564" s="4">
        <f>IF(AND(N2564=1,O2564=1),"On Track",IF(O2564=0,"Customer Delivery Late","Ship Late"))</f>
        <v/>
      </c>
    </row>
    <row r="2565">
      <c r="A2565" s="2" t="inlineStr">
        <is>
          <t>ORD-02564</t>
        </is>
      </c>
      <c r="B2565" s="2" t="inlineStr">
        <is>
          <t>Customer 04</t>
        </is>
      </c>
      <c r="C2565" s="2" t="inlineStr">
        <is>
          <t>Relay</t>
        </is>
      </c>
      <c r="D2565" s="2" t="inlineStr">
        <is>
          <t>Plant C</t>
        </is>
      </c>
      <c r="E2565" s="2" t="inlineStr">
        <is>
          <t>South</t>
        </is>
      </c>
      <c r="F2565" s="12" t="n">
        <v>46198</v>
      </c>
      <c r="G2565" s="12" t="n">
        <v>46204</v>
      </c>
      <c r="H2565" s="12" t="n">
        <v>46203</v>
      </c>
      <c r="I2565" s="12" t="n">
        <v>46201</v>
      </c>
      <c r="J2565" s="12" t="n">
        <v>46203</v>
      </c>
      <c r="K2565" s="2" t="n">
        <v>1313</v>
      </c>
      <c r="L2565" s="2" t="inlineStr">
        <is>
          <t>Sea</t>
        </is>
      </c>
      <c r="M2565" s="2" t="inlineStr">
        <is>
          <t>No Delay</t>
        </is>
      </c>
      <c r="N2565" s="4">
        <f>IF(I2565&lt;=H2565,1,0)</f>
        <v/>
      </c>
      <c r="O2565" s="4">
        <f>IF(J2565&lt;=G2565,1,0)</f>
        <v/>
      </c>
      <c r="P2565" s="4">
        <f>MAX(0,I2565-H2565)</f>
        <v/>
      </c>
      <c r="Q2565" s="4">
        <f>MAX(0,J2565-G2565)</f>
        <v/>
      </c>
      <c r="R2565" s="4">
        <f>IF(AND(N2565=1,O2565=1),"On Track",IF(O2565=0,"Customer Delivery Late","Ship Late"))</f>
        <v/>
      </c>
    </row>
    <row r="2566">
      <c r="A2566" s="2" t="inlineStr">
        <is>
          <t>ORD-02565</t>
        </is>
      </c>
      <c r="B2566" s="2" t="inlineStr">
        <is>
          <t>Customer 28</t>
        </is>
      </c>
      <c r="C2566" s="2" t="inlineStr">
        <is>
          <t>Sensor</t>
        </is>
      </c>
      <c r="D2566" s="2" t="inlineStr">
        <is>
          <t>Plant C</t>
        </is>
      </c>
      <c r="E2566" s="2" t="inlineStr">
        <is>
          <t>South</t>
        </is>
      </c>
      <c r="F2566" s="12" t="n">
        <v>46109</v>
      </c>
      <c r="G2566" s="12" t="n">
        <v>46128</v>
      </c>
      <c r="H2566" s="12" t="n">
        <v>46124</v>
      </c>
      <c r="I2566" s="12" t="n">
        <v>46124</v>
      </c>
      <c r="J2566" s="12" t="n">
        <v>46127</v>
      </c>
      <c r="K2566" s="2" t="n">
        <v>194</v>
      </c>
      <c r="L2566" s="2" t="inlineStr">
        <is>
          <t>Sea</t>
        </is>
      </c>
      <c r="M2566" s="2" t="inlineStr">
        <is>
          <t>No Delay</t>
        </is>
      </c>
      <c r="N2566" s="4">
        <f>IF(I2566&lt;=H2566,1,0)</f>
        <v/>
      </c>
      <c r="O2566" s="4">
        <f>IF(J2566&lt;=G2566,1,0)</f>
        <v/>
      </c>
      <c r="P2566" s="4">
        <f>MAX(0,I2566-H2566)</f>
        <v/>
      </c>
      <c r="Q2566" s="4">
        <f>MAX(0,J2566-G2566)</f>
        <v/>
      </c>
      <c r="R2566" s="4">
        <f>IF(AND(N2566=1,O2566=1),"On Track",IF(O2566=0,"Customer Delivery Late","Ship Late"))</f>
        <v/>
      </c>
    </row>
    <row r="2567">
      <c r="A2567" s="2" t="inlineStr">
        <is>
          <t>ORD-02566</t>
        </is>
      </c>
      <c r="B2567" s="2" t="inlineStr">
        <is>
          <t>Customer 07</t>
        </is>
      </c>
      <c r="C2567" s="2" t="inlineStr">
        <is>
          <t>Switchgear</t>
        </is>
      </c>
      <c r="D2567" s="2" t="inlineStr">
        <is>
          <t>Plant A</t>
        </is>
      </c>
      <c r="E2567" s="2" t="inlineStr">
        <is>
          <t>Export</t>
        </is>
      </c>
      <c r="F2567" s="12" t="n">
        <v>46096</v>
      </c>
      <c r="G2567" s="12" t="n">
        <v>46106</v>
      </c>
      <c r="H2567" s="12" t="n">
        <v>46104</v>
      </c>
      <c r="I2567" s="12" t="n">
        <v>46103</v>
      </c>
      <c r="J2567" s="12" t="n">
        <v>46106</v>
      </c>
      <c r="K2567" s="2" t="n">
        <v>1470</v>
      </c>
      <c r="L2567" s="2" t="inlineStr">
        <is>
          <t>Air</t>
        </is>
      </c>
      <c r="M2567" s="2" t="inlineStr">
        <is>
          <t>No Delay</t>
        </is>
      </c>
      <c r="N2567" s="4">
        <f>IF(I2567&lt;=H2567,1,0)</f>
        <v/>
      </c>
      <c r="O2567" s="4">
        <f>IF(J2567&lt;=G2567,1,0)</f>
        <v/>
      </c>
      <c r="P2567" s="4">
        <f>MAX(0,I2567-H2567)</f>
        <v/>
      </c>
      <c r="Q2567" s="4">
        <f>MAX(0,J2567-G2567)</f>
        <v/>
      </c>
      <c r="R2567" s="4">
        <f>IF(AND(N2567=1,O2567=1),"On Track",IF(O2567=0,"Customer Delivery Late","Ship Late"))</f>
        <v/>
      </c>
    </row>
    <row r="2568">
      <c r="A2568" s="2" t="inlineStr">
        <is>
          <t>ORD-02567</t>
        </is>
      </c>
      <c r="B2568" s="2" t="inlineStr">
        <is>
          <t>Customer 29</t>
        </is>
      </c>
      <c r="C2568" s="2" t="inlineStr">
        <is>
          <t>Drive</t>
        </is>
      </c>
      <c r="D2568" s="2" t="inlineStr">
        <is>
          <t>Plant B</t>
        </is>
      </c>
      <c r="E2568" s="2" t="inlineStr">
        <is>
          <t>South</t>
        </is>
      </c>
      <c r="F2568" s="12" t="n">
        <v>46126</v>
      </c>
      <c r="G2568" s="12" t="n">
        <v>46146</v>
      </c>
      <c r="H2568" s="12" t="n">
        <v>46141</v>
      </c>
      <c r="I2568" s="12" t="n">
        <v>46143</v>
      </c>
      <c r="J2568" s="12" t="n">
        <v>46147</v>
      </c>
      <c r="K2568" s="2" t="n">
        <v>1315</v>
      </c>
      <c r="L2568" s="2" t="inlineStr">
        <is>
          <t>Air</t>
        </is>
      </c>
      <c r="M2568" s="2" t="inlineStr">
        <is>
          <t>Documentation Issue</t>
        </is>
      </c>
      <c r="N2568" s="4">
        <f>IF(I2568&lt;=H2568,1,0)</f>
        <v/>
      </c>
      <c r="O2568" s="4">
        <f>IF(J2568&lt;=G2568,1,0)</f>
        <v/>
      </c>
      <c r="P2568" s="4">
        <f>MAX(0,I2568-H2568)</f>
        <v/>
      </c>
      <c r="Q2568" s="4">
        <f>MAX(0,J2568-G2568)</f>
        <v/>
      </c>
      <c r="R2568" s="4">
        <f>IF(AND(N2568=1,O2568=1),"On Track",IF(O2568=0,"Customer Delivery Late","Ship Late"))</f>
        <v/>
      </c>
    </row>
    <row r="2569">
      <c r="A2569" s="2" t="inlineStr">
        <is>
          <t>ORD-02568</t>
        </is>
      </c>
      <c r="B2569" s="2" t="inlineStr">
        <is>
          <t>Customer 28</t>
        </is>
      </c>
      <c r="C2569" s="2" t="inlineStr">
        <is>
          <t>Switchgear</t>
        </is>
      </c>
      <c r="D2569" s="2" t="inlineStr">
        <is>
          <t>Plant A</t>
        </is>
      </c>
      <c r="E2569" s="2" t="inlineStr">
        <is>
          <t>South</t>
        </is>
      </c>
      <c r="F2569" s="12" t="n">
        <v>46143</v>
      </c>
      <c r="G2569" s="12" t="n">
        <v>46151</v>
      </c>
      <c r="H2569" s="12" t="n">
        <v>46150</v>
      </c>
      <c r="I2569" s="12" t="n">
        <v>46150</v>
      </c>
      <c r="J2569" s="12" t="n">
        <v>46151</v>
      </c>
      <c r="K2569" s="2" t="n">
        <v>159</v>
      </c>
      <c r="L2569" s="2" t="inlineStr">
        <is>
          <t>Sea</t>
        </is>
      </c>
      <c r="M2569" s="2" t="inlineStr">
        <is>
          <t>No Delay</t>
        </is>
      </c>
      <c r="N2569" s="4">
        <f>IF(I2569&lt;=H2569,1,0)</f>
        <v/>
      </c>
      <c r="O2569" s="4">
        <f>IF(J2569&lt;=G2569,1,0)</f>
        <v/>
      </c>
      <c r="P2569" s="4">
        <f>MAX(0,I2569-H2569)</f>
        <v/>
      </c>
      <c r="Q2569" s="4">
        <f>MAX(0,J2569-G2569)</f>
        <v/>
      </c>
      <c r="R2569" s="4">
        <f>IF(AND(N2569=1,O2569=1),"On Track",IF(O2569=0,"Customer Delivery Late","Ship Late"))</f>
        <v/>
      </c>
    </row>
    <row r="2570">
      <c r="A2570" s="2" t="inlineStr">
        <is>
          <t>ORD-02569</t>
        </is>
      </c>
      <c r="B2570" s="2" t="inlineStr">
        <is>
          <t>Customer 13</t>
        </is>
      </c>
      <c r="C2570" s="2" t="inlineStr">
        <is>
          <t>Sensor</t>
        </is>
      </c>
      <c r="D2570" s="2" t="inlineStr">
        <is>
          <t>Plant B</t>
        </is>
      </c>
      <c r="E2570" s="2" t="inlineStr">
        <is>
          <t>Export</t>
        </is>
      </c>
      <c r="F2570" s="12" t="n">
        <v>46023</v>
      </c>
      <c r="G2570" s="12" t="n">
        <v>46043</v>
      </c>
      <c r="H2570" s="12" t="n">
        <v>46038</v>
      </c>
      <c r="I2570" s="12" t="n">
        <v>46037</v>
      </c>
      <c r="J2570" s="12" t="n">
        <v>46041</v>
      </c>
      <c r="K2570" s="2" t="n">
        <v>1469</v>
      </c>
      <c r="L2570" s="2" t="inlineStr">
        <is>
          <t>Sea</t>
        </is>
      </c>
      <c r="M2570" s="2" t="inlineStr">
        <is>
          <t>No Delay</t>
        </is>
      </c>
      <c r="N2570" s="4">
        <f>IF(I2570&lt;=H2570,1,0)</f>
        <v/>
      </c>
      <c r="O2570" s="4">
        <f>IF(J2570&lt;=G2570,1,0)</f>
        <v/>
      </c>
      <c r="P2570" s="4">
        <f>MAX(0,I2570-H2570)</f>
        <v/>
      </c>
      <c r="Q2570" s="4">
        <f>MAX(0,J2570-G2570)</f>
        <v/>
      </c>
      <c r="R2570" s="4">
        <f>IF(AND(N2570=1,O2570=1),"On Track",IF(O2570=0,"Customer Delivery Late","Ship Late"))</f>
        <v/>
      </c>
    </row>
    <row r="2571">
      <c r="A2571" s="2" t="inlineStr">
        <is>
          <t>ORD-02570</t>
        </is>
      </c>
      <c r="B2571" s="2" t="inlineStr">
        <is>
          <t>Customer 26</t>
        </is>
      </c>
      <c r="C2571" s="2" t="inlineStr">
        <is>
          <t>Sensor</t>
        </is>
      </c>
      <c r="D2571" s="2" t="inlineStr">
        <is>
          <t>Plant A</t>
        </is>
      </c>
      <c r="E2571" s="2" t="inlineStr">
        <is>
          <t>South</t>
        </is>
      </c>
      <c r="F2571" s="12" t="n">
        <v>46043</v>
      </c>
      <c r="G2571" s="12" t="n">
        <v>46051</v>
      </c>
      <c r="H2571" s="12" t="n">
        <v>46046</v>
      </c>
      <c r="I2571" s="12" t="n">
        <v>46044</v>
      </c>
      <c r="J2571" s="12" t="n">
        <v>46050</v>
      </c>
      <c r="K2571" s="2" t="n">
        <v>1012</v>
      </c>
      <c r="L2571" s="2" t="inlineStr">
        <is>
          <t>Road</t>
        </is>
      </c>
      <c r="M2571" s="2" t="inlineStr">
        <is>
          <t>No Delay</t>
        </is>
      </c>
      <c r="N2571" s="4">
        <f>IF(I2571&lt;=H2571,1,0)</f>
        <v/>
      </c>
      <c r="O2571" s="4">
        <f>IF(J2571&lt;=G2571,1,0)</f>
        <v/>
      </c>
      <c r="P2571" s="4">
        <f>MAX(0,I2571-H2571)</f>
        <v/>
      </c>
      <c r="Q2571" s="4">
        <f>MAX(0,J2571-G2571)</f>
        <v/>
      </c>
      <c r="R2571" s="4">
        <f>IF(AND(N2571=1,O2571=1),"On Track",IF(O2571=0,"Customer Delivery Late","Ship Late"))</f>
        <v/>
      </c>
    </row>
    <row r="2572">
      <c r="A2572" s="2" t="inlineStr">
        <is>
          <t>ORD-02571</t>
        </is>
      </c>
      <c r="B2572" s="2" t="inlineStr">
        <is>
          <t>Customer 24</t>
        </is>
      </c>
      <c r="C2572" s="2" t="inlineStr">
        <is>
          <t>Switchgear</t>
        </is>
      </c>
      <c r="D2572" s="2" t="inlineStr">
        <is>
          <t>Plant B</t>
        </is>
      </c>
      <c r="E2572" s="2" t="inlineStr">
        <is>
          <t>Export</t>
        </is>
      </c>
      <c r="F2572" s="12" t="n">
        <v>46194</v>
      </c>
      <c r="G2572" s="12" t="n">
        <v>46215</v>
      </c>
      <c r="H2572" s="12" t="n">
        <v>46210</v>
      </c>
      <c r="I2572" s="12" t="n">
        <v>46209</v>
      </c>
      <c r="J2572" s="12" t="n">
        <v>46214</v>
      </c>
      <c r="K2572" s="2" t="n">
        <v>948</v>
      </c>
      <c r="L2572" s="2" t="inlineStr">
        <is>
          <t>Road</t>
        </is>
      </c>
      <c r="M2572" s="2" t="inlineStr">
        <is>
          <t>No Delay</t>
        </is>
      </c>
      <c r="N2572" s="4">
        <f>IF(I2572&lt;=H2572,1,0)</f>
        <v/>
      </c>
      <c r="O2572" s="4">
        <f>IF(J2572&lt;=G2572,1,0)</f>
        <v/>
      </c>
      <c r="P2572" s="4">
        <f>MAX(0,I2572-H2572)</f>
        <v/>
      </c>
      <c r="Q2572" s="4">
        <f>MAX(0,J2572-G2572)</f>
        <v/>
      </c>
      <c r="R2572" s="4">
        <f>IF(AND(N2572=1,O2572=1),"On Track",IF(O2572=0,"Customer Delivery Late","Ship Late"))</f>
        <v/>
      </c>
    </row>
    <row r="2573">
      <c r="A2573" s="2" t="inlineStr">
        <is>
          <t>ORD-02572</t>
        </is>
      </c>
      <c r="B2573" s="2" t="inlineStr">
        <is>
          <t>Customer 11</t>
        </is>
      </c>
      <c r="C2573" s="2" t="inlineStr">
        <is>
          <t>Contactor</t>
        </is>
      </c>
      <c r="D2573" s="2" t="inlineStr">
        <is>
          <t>Plant A</t>
        </is>
      </c>
      <c r="E2573" s="2" t="inlineStr">
        <is>
          <t>North</t>
        </is>
      </c>
      <c r="F2573" s="12" t="n">
        <v>46037</v>
      </c>
      <c r="G2573" s="12" t="n">
        <v>46057</v>
      </c>
      <c r="H2573" s="12" t="n">
        <v>46052</v>
      </c>
      <c r="I2573" s="12" t="n">
        <v>46050</v>
      </c>
      <c r="J2573" s="12" t="n">
        <v>46055</v>
      </c>
      <c r="K2573" s="2" t="n">
        <v>1340</v>
      </c>
      <c r="L2573" s="2" t="inlineStr">
        <is>
          <t>Sea</t>
        </is>
      </c>
      <c r="M2573" s="2" t="inlineStr">
        <is>
          <t>No Delay</t>
        </is>
      </c>
      <c r="N2573" s="4">
        <f>IF(I2573&lt;=H2573,1,0)</f>
        <v/>
      </c>
      <c r="O2573" s="4">
        <f>IF(J2573&lt;=G2573,1,0)</f>
        <v/>
      </c>
      <c r="P2573" s="4">
        <f>MAX(0,I2573-H2573)</f>
        <v/>
      </c>
      <c r="Q2573" s="4">
        <f>MAX(0,J2573-G2573)</f>
        <v/>
      </c>
      <c r="R2573" s="4">
        <f>IF(AND(N2573=1,O2573=1),"On Track",IF(O2573=0,"Customer Delivery Late","Ship Late"))</f>
        <v/>
      </c>
    </row>
    <row r="2574">
      <c r="A2574" s="2" t="inlineStr">
        <is>
          <t>ORD-02573</t>
        </is>
      </c>
      <c r="B2574" s="2" t="inlineStr">
        <is>
          <t>Customer 02</t>
        </is>
      </c>
      <c r="C2574" s="2" t="inlineStr">
        <is>
          <t>Power Supply</t>
        </is>
      </c>
      <c r="D2574" s="2" t="inlineStr">
        <is>
          <t>Plant C</t>
        </is>
      </c>
      <c r="E2574" s="2" t="inlineStr">
        <is>
          <t>Export</t>
        </is>
      </c>
      <c r="F2574" s="12" t="n">
        <v>46165</v>
      </c>
      <c r="G2574" s="12" t="n">
        <v>46170</v>
      </c>
      <c r="H2574" s="12" t="n">
        <v>46165</v>
      </c>
      <c r="I2574" s="12" t="n">
        <v>46168</v>
      </c>
      <c r="J2574" s="12" t="n">
        <v>46173</v>
      </c>
      <c r="K2574" s="2" t="n">
        <v>853</v>
      </c>
      <c r="L2574" s="2" t="inlineStr">
        <is>
          <t>Sea</t>
        </is>
      </c>
      <c r="M2574" s="2" t="inlineStr">
        <is>
          <t>Capacity Constraint</t>
        </is>
      </c>
      <c r="N2574" s="4">
        <f>IF(I2574&lt;=H2574,1,0)</f>
        <v/>
      </c>
      <c r="O2574" s="4">
        <f>IF(J2574&lt;=G2574,1,0)</f>
        <v/>
      </c>
      <c r="P2574" s="4">
        <f>MAX(0,I2574-H2574)</f>
        <v/>
      </c>
      <c r="Q2574" s="4">
        <f>MAX(0,J2574-G2574)</f>
        <v/>
      </c>
      <c r="R2574" s="4">
        <f>IF(AND(N2574=1,O2574=1),"On Track",IF(O2574=0,"Customer Delivery Late","Ship Late"))</f>
        <v/>
      </c>
    </row>
    <row r="2575">
      <c r="A2575" s="2" t="inlineStr">
        <is>
          <t>ORD-02574</t>
        </is>
      </c>
      <c r="B2575" s="2" t="inlineStr">
        <is>
          <t>Customer 21</t>
        </is>
      </c>
      <c r="C2575" s="2" t="inlineStr">
        <is>
          <t>Drive</t>
        </is>
      </c>
      <c r="D2575" s="2" t="inlineStr">
        <is>
          <t>Plant B</t>
        </is>
      </c>
      <c r="E2575" s="2" t="inlineStr">
        <is>
          <t>North</t>
        </is>
      </c>
      <c r="F2575" s="12" t="n">
        <v>46027</v>
      </c>
      <c r="G2575" s="12" t="n">
        <v>46036</v>
      </c>
      <c r="H2575" s="12" t="n">
        <v>46031</v>
      </c>
      <c r="I2575" s="12" t="n">
        <v>46031</v>
      </c>
      <c r="J2575" s="12" t="n">
        <v>46037</v>
      </c>
      <c r="K2575" s="2" t="n">
        <v>849</v>
      </c>
      <c r="L2575" s="2" t="inlineStr">
        <is>
          <t>Air</t>
        </is>
      </c>
      <c r="M2575" s="2" t="inlineStr">
        <is>
          <t>Capacity Constraint</t>
        </is>
      </c>
      <c r="N2575" s="4">
        <f>IF(I2575&lt;=H2575,1,0)</f>
        <v/>
      </c>
      <c r="O2575" s="4">
        <f>IF(J2575&lt;=G2575,1,0)</f>
        <v/>
      </c>
      <c r="P2575" s="4">
        <f>MAX(0,I2575-H2575)</f>
        <v/>
      </c>
      <c r="Q2575" s="4">
        <f>MAX(0,J2575-G2575)</f>
        <v/>
      </c>
      <c r="R2575" s="4">
        <f>IF(AND(N2575=1,O2575=1),"On Track",IF(O2575=0,"Customer Delivery Late","Ship Late"))</f>
        <v/>
      </c>
    </row>
    <row r="2576">
      <c r="A2576" s="2" t="inlineStr">
        <is>
          <t>ORD-02575</t>
        </is>
      </c>
      <c r="B2576" s="2" t="inlineStr">
        <is>
          <t>Customer 16</t>
        </is>
      </c>
      <c r="C2576" s="2" t="inlineStr">
        <is>
          <t>Breaker</t>
        </is>
      </c>
      <c r="D2576" s="2" t="inlineStr">
        <is>
          <t>Plant C</t>
        </is>
      </c>
      <c r="E2576" s="2" t="inlineStr">
        <is>
          <t>North</t>
        </is>
      </c>
      <c r="F2576" s="12" t="n">
        <v>46126</v>
      </c>
      <c r="G2576" s="12" t="n">
        <v>46147</v>
      </c>
      <c r="H2576" s="12" t="n">
        <v>46145</v>
      </c>
      <c r="I2576" s="12" t="n">
        <v>46146</v>
      </c>
      <c r="J2576" s="12" t="n">
        <v>46148</v>
      </c>
      <c r="K2576" s="2" t="n">
        <v>925</v>
      </c>
      <c r="L2576" s="2" t="inlineStr">
        <is>
          <t>Road</t>
        </is>
      </c>
      <c r="M2576" s="2" t="inlineStr">
        <is>
          <t>Customer Change</t>
        </is>
      </c>
      <c r="N2576" s="4">
        <f>IF(I2576&lt;=H2576,1,0)</f>
        <v/>
      </c>
      <c r="O2576" s="4">
        <f>IF(J2576&lt;=G2576,1,0)</f>
        <v/>
      </c>
      <c r="P2576" s="4">
        <f>MAX(0,I2576-H2576)</f>
        <v/>
      </c>
      <c r="Q2576" s="4">
        <f>MAX(0,J2576-G2576)</f>
        <v/>
      </c>
      <c r="R2576" s="4">
        <f>IF(AND(N2576=1,O2576=1),"On Track",IF(O2576=0,"Customer Delivery Late","Ship Late"))</f>
        <v/>
      </c>
    </row>
    <row r="2577">
      <c r="A2577" s="2" t="inlineStr">
        <is>
          <t>ORD-02576</t>
        </is>
      </c>
      <c r="B2577" s="2" t="inlineStr">
        <is>
          <t>Customer 19</t>
        </is>
      </c>
      <c r="C2577" s="2" t="inlineStr">
        <is>
          <t>PLC</t>
        </is>
      </c>
      <c r="D2577" s="2" t="inlineStr">
        <is>
          <t>Plant A</t>
        </is>
      </c>
      <c r="E2577" s="2" t="inlineStr">
        <is>
          <t>North</t>
        </is>
      </c>
      <c r="F2577" s="12" t="n">
        <v>46085</v>
      </c>
      <c r="G2577" s="12" t="n">
        <v>46105</v>
      </c>
      <c r="H2577" s="12" t="n">
        <v>46100</v>
      </c>
      <c r="I2577" s="12" t="n">
        <v>46100</v>
      </c>
      <c r="J2577" s="12" t="n">
        <v>46105</v>
      </c>
      <c r="K2577" s="2" t="n">
        <v>1031</v>
      </c>
      <c r="L2577" s="2" t="inlineStr">
        <is>
          <t>Sea</t>
        </is>
      </c>
      <c r="M2577" s="2" t="inlineStr">
        <is>
          <t>No Delay</t>
        </is>
      </c>
      <c r="N2577" s="4">
        <f>IF(I2577&lt;=H2577,1,0)</f>
        <v/>
      </c>
      <c r="O2577" s="4">
        <f>IF(J2577&lt;=G2577,1,0)</f>
        <v/>
      </c>
      <c r="P2577" s="4">
        <f>MAX(0,I2577-H2577)</f>
        <v/>
      </c>
      <c r="Q2577" s="4">
        <f>MAX(0,J2577-G2577)</f>
        <v/>
      </c>
      <c r="R2577" s="4">
        <f>IF(AND(N2577=1,O2577=1),"On Track",IF(O2577=0,"Customer Delivery Late","Ship Late"))</f>
        <v/>
      </c>
    </row>
    <row r="2578">
      <c r="A2578" s="2" t="inlineStr">
        <is>
          <t>ORD-02577</t>
        </is>
      </c>
      <c r="B2578" s="2" t="inlineStr">
        <is>
          <t>Customer 23</t>
        </is>
      </c>
      <c r="C2578" s="2" t="inlineStr">
        <is>
          <t>Power Supply</t>
        </is>
      </c>
      <c r="D2578" s="2" t="inlineStr">
        <is>
          <t>Plant B</t>
        </is>
      </c>
      <c r="E2578" s="2" t="inlineStr">
        <is>
          <t>South</t>
        </is>
      </c>
      <c r="F2578" s="12" t="n">
        <v>46031</v>
      </c>
      <c r="G2578" s="12" t="n">
        <v>46054</v>
      </c>
      <c r="H2578" s="12" t="n">
        <v>46049</v>
      </c>
      <c r="I2578" s="12" t="n">
        <v>46049</v>
      </c>
      <c r="J2578" s="12" t="n">
        <v>46055</v>
      </c>
      <c r="K2578" s="2" t="n">
        <v>1117</v>
      </c>
      <c r="L2578" s="2" t="inlineStr">
        <is>
          <t>Air</t>
        </is>
      </c>
      <c r="M2578" s="2" t="inlineStr">
        <is>
          <t>Customer Change</t>
        </is>
      </c>
      <c r="N2578" s="4">
        <f>IF(I2578&lt;=H2578,1,0)</f>
        <v/>
      </c>
      <c r="O2578" s="4">
        <f>IF(J2578&lt;=G2578,1,0)</f>
        <v/>
      </c>
      <c r="P2578" s="4">
        <f>MAX(0,I2578-H2578)</f>
        <v/>
      </c>
      <c r="Q2578" s="4">
        <f>MAX(0,J2578-G2578)</f>
        <v/>
      </c>
      <c r="R2578" s="4">
        <f>IF(AND(N2578=1,O2578=1),"On Track",IF(O2578=0,"Customer Delivery Late","Ship Late"))</f>
        <v/>
      </c>
    </row>
    <row r="2579">
      <c r="A2579" s="2" t="inlineStr">
        <is>
          <t>ORD-02578</t>
        </is>
      </c>
      <c r="B2579" s="2" t="inlineStr">
        <is>
          <t>Customer 09</t>
        </is>
      </c>
      <c r="C2579" s="2" t="inlineStr">
        <is>
          <t>Drive</t>
        </is>
      </c>
      <c r="D2579" s="2" t="inlineStr">
        <is>
          <t>Plant B</t>
        </is>
      </c>
      <c r="E2579" s="2" t="inlineStr">
        <is>
          <t>South</t>
        </is>
      </c>
      <c r="F2579" s="12" t="n">
        <v>46127</v>
      </c>
      <c r="G2579" s="12" t="n">
        <v>46137</v>
      </c>
      <c r="H2579" s="12" t="n">
        <v>46132</v>
      </c>
      <c r="I2579" s="12" t="n">
        <v>46130</v>
      </c>
      <c r="J2579" s="12" t="n">
        <v>46135</v>
      </c>
      <c r="K2579" s="2" t="n">
        <v>914</v>
      </c>
      <c r="L2579" s="2" t="inlineStr">
        <is>
          <t>Road</t>
        </is>
      </c>
      <c r="M2579" s="2" t="inlineStr">
        <is>
          <t>No Delay</t>
        </is>
      </c>
      <c r="N2579" s="4">
        <f>IF(I2579&lt;=H2579,1,0)</f>
        <v/>
      </c>
      <c r="O2579" s="4">
        <f>IF(J2579&lt;=G2579,1,0)</f>
        <v/>
      </c>
      <c r="P2579" s="4">
        <f>MAX(0,I2579-H2579)</f>
        <v/>
      </c>
      <c r="Q2579" s="4">
        <f>MAX(0,J2579-G2579)</f>
        <v/>
      </c>
      <c r="R2579" s="4">
        <f>IF(AND(N2579=1,O2579=1),"On Track",IF(O2579=0,"Customer Delivery Late","Ship Late"))</f>
        <v/>
      </c>
    </row>
    <row r="2580">
      <c r="A2580" s="2" t="inlineStr">
        <is>
          <t>ORD-02579</t>
        </is>
      </c>
      <c r="B2580" s="2" t="inlineStr">
        <is>
          <t>Customer 17</t>
        </is>
      </c>
      <c r="C2580" s="2" t="inlineStr">
        <is>
          <t>Contactor</t>
        </is>
      </c>
      <c r="D2580" s="2" t="inlineStr">
        <is>
          <t>Plant B</t>
        </is>
      </c>
      <c r="E2580" s="2" t="inlineStr">
        <is>
          <t>South</t>
        </is>
      </c>
      <c r="F2580" s="12" t="n">
        <v>46132</v>
      </c>
      <c r="G2580" s="12" t="n">
        <v>46152</v>
      </c>
      <c r="H2580" s="12" t="n">
        <v>46148</v>
      </c>
      <c r="I2580" s="12" t="n">
        <v>46147</v>
      </c>
      <c r="J2580" s="12" t="n">
        <v>46152</v>
      </c>
      <c r="K2580" s="2" t="n">
        <v>1030</v>
      </c>
      <c r="L2580" s="2" t="inlineStr">
        <is>
          <t>Air</t>
        </is>
      </c>
      <c r="M2580" s="2" t="inlineStr">
        <is>
          <t>No Delay</t>
        </is>
      </c>
      <c r="N2580" s="4">
        <f>IF(I2580&lt;=H2580,1,0)</f>
        <v/>
      </c>
      <c r="O2580" s="4">
        <f>IF(J2580&lt;=G2580,1,0)</f>
        <v/>
      </c>
      <c r="P2580" s="4">
        <f>MAX(0,I2580-H2580)</f>
        <v/>
      </c>
      <c r="Q2580" s="4">
        <f>MAX(0,J2580-G2580)</f>
        <v/>
      </c>
      <c r="R2580" s="4">
        <f>IF(AND(N2580=1,O2580=1),"On Track",IF(O2580=0,"Customer Delivery Late","Ship Late"))</f>
        <v/>
      </c>
    </row>
    <row r="2581">
      <c r="A2581" s="2" t="inlineStr">
        <is>
          <t>ORD-02580</t>
        </is>
      </c>
      <c r="B2581" s="2" t="inlineStr">
        <is>
          <t>Customer 05</t>
        </is>
      </c>
      <c r="C2581" s="2" t="inlineStr">
        <is>
          <t>Relay</t>
        </is>
      </c>
      <c r="D2581" s="2" t="inlineStr">
        <is>
          <t>Plant A</t>
        </is>
      </c>
      <c r="E2581" s="2" t="inlineStr">
        <is>
          <t>Central</t>
        </is>
      </c>
      <c r="F2581" s="12" t="n">
        <v>46170</v>
      </c>
      <c r="G2581" s="12" t="n">
        <v>46186</v>
      </c>
      <c r="H2581" s="12" t="n">
        <v>46185</v>
      </c>
      <c r="I2581" s="12" t="n">
        <v>46183</v>
      </c>
      <c r="J2581" s="12" t="n">
        <v>46184</v>
      </c>
      <c r="K2581" s="2" t="n">
        <v>905</v>
      </c>
      <c r="L2581" s="2" t="inlineStr">
        <is>
          <t>Road</t>
        </is>
      </c>
      <c r="M2581" s="2" t="inlineStr">
        <is>
          <t>No Delay</t>
        </is>
      </c>
      <c r="N2581" s="4">
        <f>IF(I2581&lt;=H2581,1,0)</f>
        <v/>
      </c>
      <c r="O2581" s="4">
        <f>IF(J2581&lt;=G2581,1,0)</f>
        <v/>
      </c>
      <c r="P2581" s="4">
        <f>MAX(0,I2581-H2581)</f>
        <v/>
      </c>
      <c r="Q2581" s="4">
        <f>MAX(0,J2581-G2581)</f>
        <v/>
      </c>
      <c r="R2581" s="4">
        <f>IF(AND(N2581=1,O2581=1),"On Track",IF(O2581=0,"Customer Delivery Late","Ship Late"))</f>
        <v/>
      </c>
    </row>
    <row r="2582">
      <c r="A2582" s="2" t="inlineStr">
        <is>
          <t>ORD-02581</t>
        </is>
      </c>
      <c r="B2582" s="2" t="inlineStr">
        <is>
          <t>Customer 30</t>
        </is>
      </c>
      <c r="C2582" s="2" t="inlineStr">
        <is>
          <t>Drive</t>
        </is>
      </c>
      <c r="D2582" s="2" t="inlineStr">
        <is>
          <t>Plant B</t>
        </is>
      </c>
      <c r="E2582" s="2" t="inlineStr">
        <is>
          <t>Central</t>
        </is>
      </c>
      <c r="F2582" s="12" t="n">
        <v>46124</v>
      </c>
      <c r="G2582" s="12" t="n">
        <v>46148</v>
      </c>
      <c r="H2582" s="12" t="n">
        <v>46146</v>
      </c>
      <c r="I2582" s="12" t="n">
        <v>46144</v>
      </c>
      <c r="J2582" s="12" t="n">
        <v>46146</v>
      </c>
      <c r="K2582" s="2" t="n">
        <v>504</v>
      </c>
      <c r="L2582" s="2" t="inlineStr">
        <is>
          <t>Road</t>
        </is>
      </c>
      <c r="M2582" s="2" t="inlineStr">
        <is>
          <t>No Delay</t>
        </is>
      </c>
      <c r="N2582" s="4">
        <f>IF(I2582&lt;=H2582,1,0)</f>
        <v/>
      </c>
      <c r="O2582" s="4">
        <f>IF(J2582&lt;=G2582,1,0)</f>
        <v/>
      </c>
      <c r="P2582" s="4">
        <f>MAX(0,I2582-H2582)</f>
        <v/>
      </c>
      <c r="Q2582" s="4">
        <f>MAX(0,J2582-G2582)</f>
        <v/>
      </c>
      <c r="R2582" s="4">
        <f>IF(AND(N2582=1,O2582=1),"On Track",IF(O2582=0,"Customer Delivery Late","Ship Late"))</f>
        <v/>
      </c>
    </row>
    <row r="2583">
      <c r="A2583" s="2" t="inlineStr">
        <is>
          <t>ORD-02582</t>
        </is>
      </c>
      <c r="B2583" s="2" t="inlineStr">
        <is>
          <t>Customer 03</t>
        </is>
      </c>
      <c r="C2583" s="2" t="inlineStr">
        <is>
          <t>Power Supply</t>
        </is>
      </c>
      <c r="D2583" s="2" t="inlineStr">
        <is>
          <t>Plant C</t>
        </is>
      </c>
      <c r="E2583" s="2" t="inlineStr">
        <is>
          <t>South</t>
        </is>
      </c>
      <c r="F2583" s="12" t="n">
        <v>46179</v>
      </c>
      <c r="G2583" s="12" t="n">
        <v>46185</v>
      </c>
      <c r="H2583" s="12" t="n">
        <v>46181</v>
      </c>
      <c r="I2583" s="12" t="n">
        <v>46180</v>
      </c>
      <c r="J2583" s="12" t="n">
        <v>46184</v>
      </c>
      <c r="K2583" s="2" t="n">
        <v>310</v>
      </c>
      <c r="L2583" s="2" t="inlineStr">
        <is>
          <t>Sea</t>
        </is>
      </c>
      <c r="M2583" s="2" t="inlineStr">
        <is>
          <t>No Delay</t>
        </is>
      </c>
      <c r="N2583" s="4">
        <f>IF(I2583&lt;=H2583,1,0)</f>
        <v/>
      </c>
      <c r="O2583" s="4">
        <f>IF(J2583&lt;=G2583,1,0)</f>
        <v/>
      </c>
      <c r="P2583" s="4">
        <f>MAX(0,I2583-H2583)</f>
        <v/>
      </c>
      <c r="Q2583" s="4">
        <f>MAX(0,J2583-G2583)</f>
        <v/>
      </c>
      <c r="R2583" s="4">
        <f>IF(AND(N2583=1,O2583=1),"On Track",IF(O2583=0,"Customer Delivery Late","Ship Late"))</f>
        <v/>
      </c>
    </row>
    <row r="2584">
      <c r="A2584" s="2" t="inlineStr">
        <is>
          <t>ORD-02583</t>
        </is>
      </c>
      <c r="B2584" s="2" t="inlineStr">
        <is>
          <t>Customer 23</t>
        </is>
      </c>
      <c r="C2584" s="2" t="inlineStr">
        <is>
          <t>PLC</t>
        </is>
      </c>
      <c r="D2584" s="2" t="inlineStr">
        <is>
          <t>Plant B</t>
        </is>
      </c>
      <c r="E2584" s="2" t="inlineStr">
        <is>
          <t>North</t>
        </is>
      </c>
      <c r="F2584" s="12" t="n">
        <v>46061</v>
      </c>
      <c r="G2584" s="12" t="n">
        <v>46074</v>
      </c>
      <c r="H2584" s="12" t="n">
        <v>46070</v>
      </c>
      <c r="I2584" s="12" t="n">
        <v>46069</v>
      </c>
      <c r="J2584" s="12" t="n">
        <v>46072</v>
      </c>
      <c r="K2584" s="2" t="n">
        <v>136</v>
      </c>
      <c r="L2584" s="2" t="inlineStr">
        <is>
          <t>Sea</t>
        </is>
      </c>
      <c r="M2584" s="2" t="inlineStr">
        <is>
          <t>No Delay</t>
        </is>
      </c>
      <c r="N2584" s="4">
        <f>IF(I2584&lt;=H2584,1,0)</f>
        <v/>
      </c>
      <c r="O2584" s="4">
        <f>IF(J2584&lt;=G2584,1,0)</f>
        <v/>
      </c>
      <c r="P2584" s="4">
        <f>MAX(0,I2584-H2584)</f>
        <v/>
      </c>
      <c r="Q2584" s="4">
        <f>MAX(0,J2584-G2584)</f>
        <v/>
      </c>
      <c r="R2584" s="4">
        <f>IF(AND(N2584=1,O2584=1),"On Track",IF(O2584=0,"Customer Delivery Late","Ship Late"))</f>
        <v/>
      </c>
    </row>
    <row r="2585">
      <c r="A2585" s="2" t="inlineStr">
        <is>
          <t>ORD-02584</t>
        </is>
      </c>
      <c r="B2585" s="2" t="inlineStr">
        <is>
          <t>Customer 14</t>
        </is>
      </c>
      <c r="C2585" s="2" t="inlineStr">
        <is>
          <t>PLC</t>
        </is>
      </c>
      <c r="D2585" s="2" t="inlineStr">
        <is>
          <t>Plant A</t>
        </is>
      </c>
      <c r="E2585" s="2" t="inlineStr">
        <is>
          <t>South</t>
        </is>
      </c>
      <c r="F2585" s="12" t="n">
        <v>46114</v>
      </c>
      <c r="G2585" s="12" t="n">
        <v>46125</v>
      </c>
      <c r="H2585" s="12" t="n">
        <v>46121</v>
      </c>
      <c r="I2585" s="12" t="n">
        <v>46120</v>
      </c>
      <c r="J2585" s="12" t="n">
        <v>46124</v>
      </c>
      <c r="K2585" s="2" t="n">
        <v>275</v>
      </c>
      <c r="L2585" s="2" t="inlineStr">
        <is>
          <t>Road</t>
        </is>
      </c>
      <c r="M2585" s="2" t="inlineStr">
        <is>
          <t>No Delay</t>
        </is>
      </c>
      <c r="N2585" s="4">
        <f>IF(I2585&lt;=H2585,1,0)</f>
        <v/>
      </c>
      <c r="O2585" s="4">
        <f>IF(J2585&lt;=G2585,1,0)</f>
        <v/>
      </c>
      <c r="P2585" s="4">
        <f>MAX(0,I2585-H2585)</f>
        <v/>
      </c>
      <c r="Q2585" s="4">
        <f>MAX(0,J2585-G2585)</f>
        <v/>
      </c>
      <c r="R2585" s="4">
        <f>IF(AND(N2585=1,O2585=1),"On Track",IF(O2585=0,"Customer Delivery Late","Ship Late"))</f>
        <v/>
      </c>
    </row>
    <row r="2586">
      <c r="A2586" s="2" t="inlineStr">
        <is>
          <t>ORD-02585</t>
        </is>
      </c>
      <c r="B2586" s="2" t="inlineStr">
        <is>
          <t>Customer 26</t>
        </is>
      </c>
      <c r="C2586" s="2" t="inlineStr">
        <is>
          <t>PLC</t>
        </is>
      </c>
      <c r="D2586" s="2" t="inlineStr">
        <is>
          <t>Plant B</t>
        </is>
      </c>
      <c r="E2586" s="2" t="inlineStr">
        <is>
          <t>Central</t>
        </is>
      </c>
      <c r="F2586" s="12" t="n">
        <v>46159</v>
      </c>
      <c r="G2586" s="12" t="n">
        <v>46175</v>
      </c>
      <c r="H2586" s="12" t="n">
        <v>46171</v>
      </c>
      <c r="I2586" s="12" t="n">
        <v>46171</v>
      </c>
      <c r="J2586" s="12" t="n">
        <v>46175</v>
      </c>
      <c r="K2586" s="2" t="n">
        <v>391</v>
      </c>
      <c r="L2586" s="2" t="inlineStr">
        <is>
          <t>Air</t>
        </is>
      </c>
      <c r="M2586" s="2" t="inlineStr">
        <is>
          <t>No Delay</t>
        </is>
      </c>
      <c r="N2586" s="4">
        <f>IF(I2586&lt;=H2586,1,0)</f>
        <v/>
      </c>
      <c r="O2586" s="4">
        <f>IF(J2586&lt;=G2586,1,0)</f>
        <v/>
      </c>
      <c r="P2586" s="4">
        <f>MAX(0,I2586-H2586)</f>
        <v/>
      </c>
      <c r="Q2586" s="4">
        <f>MAX(0,J2586-G2586)</f>
        <v/>
      </c>
      <c r="R2586" s="4">
        <f>IF(AND(N2586=1,O2586=1),"On Track",IF(O2586=0,"Customer Delivery Late","Ship Late"))</f>
        <v/>
      </c>
    </row>
    <row r="2587">
      <c r="A2587" s="2" t="inlineStr">
        <is>
          <t>ORD-02586</t>
        </is>
      </c>
      <c r="B2587" s="2" t="inlineStr">
        <is>
          <t>Customer 05</t>
        </is>
      </c>
      <c r="C2587" s="2" t="inlineStr">
        <is>
          <t>PLC</t>
        </is>
      </c>
      <c r="D2587" s="2" t="inlineStr">
        <is>
          <t>Plant B</t>
        </is>
      </c>
      <c r="E2587" s="2" t="inlineStr">
        <is>
          <t>North</t>
        </is>
      </c>
      <c r="F2587" s="12" t="n">
        <v>46171</v>
      </c>
      <c r="G2587" s="12" t="n">
        <v>46182</v>
      </c>
      <c r="H2587" s="12" t="n">
        <v>46181</v>
      </c>
      <c r="I2587" s="12" t="n">
        <v>46179</v>
      </c>
      <c r="J2587" s="12" t="n">
        <v>46187</v>
      </c>
      <c r="K2587" s="2" t="n">
        <v>428</v>
      </c>
      <c r="L2587" s="2" t="inlineStr">
        <is>
          <t>Sea</t>
        </is>
      </c>
      <c r="M2587" s="2" t="inlineStr">
        <is>
          <t>Carrier Delay</t>
        </is>
      </c>
      <c r="N2587" s="4">
        <f>IF(I2587&lt;=H2587,1,0)</f>
        <v/>
      </c>
      <c r="O2587" s="4">
        <f>IF(J2587&lt;=G2587,1,0)</f>
        <v/>
      </c>
      <c r="P2587" s="4">
        <f>MAX(0,I2587-H2587)</f>
        <v/>
      </c>
      <c r="Q2587" s="4">
        <f>MAX(0,J2587-G2587)</f>
        <v/>
      </c>
      <c r="R2587" s="4">
        <f>IF(AND(N2587=1,O2587=1),"On Track",IF(O2587=0,"Customer Delivery Late","Ship Late"))</f>
        <v/>
      </c>
    </row>
    <row r="2588">
      <c r="A2588" s="2" t="inlineStr">
        <is>
          <t>ORD-02587</t>
        </is>
      </c>
      <c r="B2588" s="2" t="inlineStr">
        <is>
          <t>Customer 18</t>
        </is>
      </c>
      <c r="C2588" s="2" t="inlineStr">
        <is>
          <t>PLC</t>
        </is>
      </c>
      <c r="D2588" s="2" t="inlineStr">
        <is>
          <t>Plant C</t>
        </is>
      </c>
      <c r="E2588" s="2" t="inlineStr">
        <is>
          <t>South</t>
        </is>
      </c>
      <c r="F2588" s="12" t="n">
        <v>46137</v>
      </c>
      <c r="G2588" s="12" t="n">
        <v>46142</v>
      </c>
      <c r="H2588" s="12" t="n">
        <v>46139</v>
      </c>
      <c r="I2588" s="12" t="n">
        <v>46137</v>
      </c>
      <c r="J2588" s="12" t="n">
        <v>46139</v>
      </c>
      <c r="K2588" s="2" t="n">
        <v>761</v>
      </c>
      <c r="L2588" s="2" t="inlineStr">
        <is>
          <t>Air</t>
        </is>
      </c>
      <c r="M2588" s="2" t="inlineStr">
        <is>
          <t>No Delay</t>
        </is>
      </c>
      <c r="N2588" s="4">
        <f>IF(I2588&lt;=H2588,1,0)</f>
        <v/>
      </c>
      <c r="O2588" s="4">
        <f>IF(J2588&lt;=G2588,1,0)</f>
        <v/>
      </c>
      <c r="P2588" s="4">
        <f>MAX(0,I2588-H2588)</f>
        <v/>
      </c>
      <c r="Q2588" s="4">
        <f>MAX(0,J2588-G2588)</f>
        <v/>
      </c>
      <c r="R2588" s="4">
        <f>IF(AND(N2588=1,O2588=1),"On Track",IF(O2588=0,"Customer Delivery Late","Ship Late"))</f>
        <v/>
      </c>
    </row>
    <row r="2589">
      <c r="A2589" s="2" t="inlineStr">
        <is>
          <t>ORD-02588</t>
        </is>
      </c>
      <c r="B2589" s="2" t="inlineStr">
        <is>
          <t>Customer 15</t>
        </is>
      </c>
      <c r="C2589" s="2" t="inlineStr">
        <is>
          <t>Contactor</t>
        </is>
      </c>
      <c r="D2589" s="2" t="inlineStr">
        <is>
          <t>Plant C</t>
        </is>
      </c>
      <c r="E2589" s="2" t="inlineStr">
        <is>
          <t>South</t>
        </is>
      </c>
      <c r="F2589" s="12" t="n">
        <v>46185</v>
      </c>
      <c r="G2589" s="12" t="n">
        <v>46192</v>
      </c>
      <c r="H2589" s="12" t="n">
        <v>46190</v>
      </c>
      <c r="I2589" s="12" t="n">
        <v>46189</v>
      </c>
      <c r="J2589" s="12" t="n">
        <v>46191</v>
      </c>
      <c r="K2589" s="2" t="n">
        <v>1417</v>
      </c>
      <c r="L2589" s="2" t="inlineStr">
        <is>
          <t>Sea</t>
        </is>
      </c>
      <c r="M2589" s="2" t="inlineStr">
        <is>
          <t>No Delay</t>
        </is>
      </c>
      <c r="N2589" s="4">
        <f>IF(I2589&lt;=H2589,1,0)</f>
        <v/>
      </c>
      <c r="O2589" s="4">
        <f>IF(J2589&lt;=G2589,1,0)</f>
        <v/>
      </c>
      <c r="P2589" s="4">
        <f>MAX(0,I2589-H2589)</f>
        <v/>
      </c>
      <c r="Q2589" s="4">
        <f>MAX(0,J2589-G2589)</f>
        <v/>
      </c>
      <c r="R2589" s="4">
        <f>IF(AND(N2589=1,O2589=1),"On Track",IF(O2589=0,"Customer Delivery Late","Ship Late"))</f>
        <v/>
      </c>
    </row>
    <row r="2590">
      <c r="A2590" s="2" t="inlineStr">
        <is>
          <t>ORD-02589</t>
        </is>
      </c>
      <c r="B2590" s="2" t="inlineStr">
        <is>
          <t>Customer 28</t>
        </is>
      </c>
      <c r="C2590" s="2" t="inlineStr">
        <is>
          <t>Drive</t>
        </is>
      </c>
      <c r="D2590" s="2" t="inlineStr">
        <is>
          <t>Plant B</t>
        </is>
      </c>
      <c r="E2590" s="2" t="inlineStr">
        <is>
          <t>South</t>
        </is>
      </c>
      <c r="F2590" s="12" t="n">
        <v>46052</v>
      </c>
      <c r="G2590" s="12" t="n">
        <v>46072</v>
      </c>
      <c r="H2590" s="12" t="n">
        <v>46068</v>
      </c>
      <c r="I2590" s="12" t="n">
        <v>46067</v>
      </c>
      <c r="J2590" s="12" t="n">
        <v>46071</v>
      </c>
      <c r="K2590" s="2" t="n">
        <v>1500</v>
      </c>
      <c r="L2590" s="2" t="inlineStr">
        <is>
          <t>Sea</t>
        </is>
      </c>
      <c r="M2590" s="2" t="inlineStr">
        <is>
          <t>No Delay</t>
        </is>
      </c>
      <c r="N2590" s="4">
        <f>IF(I2590&lt;=H2590,1,0)</f>
        <v/>
      </c>
      <c r="O2590" s="4">
        <f>IF(J2590&lt;=G2590,1,0)</f>
        <v/>
      </c>
      <c r="P2590" s="4">
        <f>MAX(0,I2590-H2590)</f>
        <v/>
      </c>
      <c r="Q2590" s="4">
        <f>MAX(0,J2590-G2590)</f>
        <v/>
      </c>
      <c r="R2590" s="4">
        <f>IF(AND(N2590=1,O2590=1),"On Track",IF(O2590=0,"Customer Delivery Late","Ship Late"))</f>
        <v/>
      </c>
    </row>
    <row r="2591">
      <c r="A2591" s="2" t="inlineStr">
        <is>
          <t>ORD-02590</t>
        </is>
      </c>
      <c r="B2591" s="2" t="inlineStr">
        <is>
          <t>Customer 06</t>
        </is>
      </c>
      <c r="C2591" s="2" t="inlineStr">
        <is>
          <t>Power Supply</t>
        </is>
      </c>
      <c r="D2591" s="2" t="inlineStr">
        <is>
          <t>Plant B</t>
        </is>
      </c>
      <c r="E2591" s="2" t="inlineStr">
        <is>
          <t>North</t>
        </is>
      </c>
      <c r="F2591" s="12" t="n">
        <v>46059</v>
      </c>
      <c r="G2591" s="12" t="n">
        <v>46067</v>
      </c>
      <c r="H2591" s="12" t="n">
        <v>46064</v>
      </c>
      <c r="I2591" s="12" t="n">
        <v>46064</v>
      </c>
      <c r="J2591" s="12" t="n">
        <v>46067</v>
      </c>
      <c r="K2591" s="2" t="n">
        <v>671</v>
      </c>
      <c r="L2591" s="2" t="inlineStr">
        <is>
          <t>Road</t>
        </is>
      </c>
      <c r="M2591" s="2" t="inlineStr">
        <is>
          <t>No Delay</t>
        </is>
      </c>
      <c r="N2591" s="4">
        <f>IF(I2591&lt;=H2591,1,0)</f>
        <v/>
      </c>
      <c r="O2591" s="4">
        <f>IF(J2591&lt;=G2591,1,0)</f>
        <v/>
      </c>
      <c r="P2591" s="4">
        <f>MAX(0,I2591-H2591)</f>
        <v/>
      </c>
      <c r="Q2591" s="4">
        <f>MAX(0,J2591-G2591)</f>
        <v/>
      </c>
      <c r="R2591" s="4">
        <f>IF(AND(N2591=1,O2591=1),"On Track",IF(O2591=0,"Customer Delivery Late","Ship Late"))</f>
        <v/>
      </c>
    </row>
    <row r="2592">
      <c r="A2592" s="2" t="inlineStr">
        <is>
          <t>ORD-02591</t>
        </is>
      </c>
      <c r="B2592" s="2" t="inlineStr">
        <is>
          <t>Customer 07</t>
        </is>
      </c>
      <c r="C2592" s="2" t="inlineStr">
        <is>
          <t>Sensor</t>
        </is>
      </c>
      <c r="D2592" s="2" t="inlineStr">
        <is>
          <t>Plant C</t>
        </is>
      </c>
      <c r="E2592" s="2" t="inlineStr">
        <is>
          <t>Central</t>
        </is>
      </c>
      <c r="F2592" s="12" t="n">
        <v>46060</v>
      </c>
      <c r="G2592" s="12" t="n">
        <v>46085</v>
      </c>
      <c r="H2592" s="12" t="n">
        <v>46081</v>
      </c>
      <c r="I2592" s="12" t="n">
        <v>46081</v>
      </c>
      <c r="J2592" s="12" t="n">
        <v>46086</v>
      </c>
      <c r="K2592" s="2" t="n">
        <v>1087</v>
      </c>
      <c r="L2592" s="2" t="inlineStr">
        <is>
          <t>Sea</t>
        </is>
      </c>
      <c r="M2592" s="2" t="inlineStr">
        <is>
          <t>Capacity Constraint</t>
        </is>
      </c>
      <c r="N2592" s="4">
        <f>IF(I2592&lt;=H2592,1,0)</f>
        <v/>
      </c>
      <c r="O2592" s="4">
        <f>IF(J2592&lt;=G2592,1,0)</f>
        <v/>
      </c>
      <c r="P2592" s="4">
        <f>MAX(0,I2592-H2592)</f>
        <v/>
      </c>
      <c r="Q2592" s="4">
        <f>MAX(0,J2592-G2592)</f>
        <v/>
      </c>
      <c r="R2592" s="4">
        <f>IF(AND(N2592=1,O2592=1),"On Track",IF(O2592=0,"Customer Delivery Late","Ship Late"))</f>
        <v/>
      </c>
    </row>
    <row r="2593">
      <c r="A2593" s="2" t="inlineStr">
        <is>
          <t>ORD-02592</t>
        </is>
      </c>
      <c r="B2593" s="2" t="inlineStr">
        <is>
          <t>Customer 30</t>
        </is>
      </c>
      <c r="C2593" s="2" t="inlineStr">
        <is>
          <t>PLC</t>
        </is>
      </c>
      <c r="D2593" s="2" t="inlineStr">
        <is>
          <t>Plant C</t>
        </is>
      </c>
      <c r="E2593" s="2" t="inlineStr">
        <is>
          <t>Central</t>
        </is>
      </c>
      <c r="F2593" s="12" t="n">
        <v>46077</v>
      </c>
      <c r="G2593" s="12" t="n">
        <v>46102</v>
      </c>
      <c r="H2593" s="12" t="n">
        <v>46097</v>
      </c>
      <c r="I2593" s="12" t="n">
        <v>46097</v>
      </c>
      <c r="J2593" s="12" t="n">
        <v>46103</v>
      </c>
      <c r="K2593" s="2" t="n">
        <v>174</v>
      </c>
      <c r="L2593" s="2" t="inlineStr">
        <is>
          <t>Sea</t>
        </is>
      </c>
      <c r="M2593" s="2" t="inlineStr">
        <is>
          <t>Documentation Issue</t>
        </is>
      </c>
      <c r="N2593" s="4">
        <f>IF(I2593&lt;=H2593,1,0)</f>
        <v/>
      </c>
      <c r="O2593" s="4">
        <f>IF(J2593&lt;=G2593,1,0)</f>
        <v/>
      </c>
      <c r="P2593" s="4">
        <f>MAX(0,I2593-H2593)</f>
        <v/>
      </c>
      <c r="Q2593" s="4">
        <f>MAX(0,J2593-G2593)</f>
        <v/>
      </c>
      <c r="R2593" s="4">
        <f>IF(AND(N2593=1,O2593=1),"On Track",IF(O2593=0,"Customer Delivery Late","Ship Late"))</f>
        <v/>
      </c>
    </row>
    <row r="2594">
      <c r="A2594" s="2" t="inlineStr">
        <is>
          <t>ORD-02593</t>
        </is>
      </c>
      <c r="B2594" s="2" t="inlineStr">
        <is>
          <t>Customer 12</t>
        </is>
      </c>
      <c r="C2594" s="2" t="inlineStr">
        <is>
          <t>Drive</t>
        </is>
      </c>
      <c r="D2594" s="2" t="inlineStr">
        <is>
          <t>Plant A</t>
        </is>
      </c>
      <c r="E2594" s="2" t="inlineStr">
        <is>
          <t>North</t>
        </is>
      </c>
      <c r="F2594" s="12" t="n">
        <v>46118</v>
      </c>
      <c r="G2594" s="12" t="n">
        <v>46123</v>
      </c>
      <c r="H2594" s="12" t="n">
        <v>46121</v>
      </c>
      <c r="I2594" s="12" t="n">
        <v>46121</v>
      </c>
      <c r="J2594" s="12" t="n">
        <v>46124</v>
      </c>
      <c r="K2594" s="2" t="n">
        <v>271</v>
      </c>
      <c r="L2594" s="2" t="inlineStr">
        <is>
          <t>Air</t>
        </is>
      </c>
      <c r="M2594" s="2" t="inlineStr">
        <is>
          <t>Documentation Issue</t>
        </is>
      </c>
      <c r="N2594" s="4">
        <f>IF(I2594&lt;=H2594,1,0)</f>
        <v/>
      </c>
      <c r="O2594" s="4">
        <f>IF(J2594&lt;=G2594,1,0)</f>
        <v/>
      </c>
      <c r="P2594" s="4">
        <f>MAX(0,I2594-H2594)</f>
        <v/>
      </c>
      <c r="Q2594" s="4">
        <f>MAX(0,J2594-G2594)</f>
        <v/>
      </c>
      <c r="R2594" s="4">
        <f>IF(AND(N2594=1,O2594=1),"On Track",IF(O2594=0,"Customer Delivery Late","Ship Late"))</f>
        <v/>
      </c>
    </row>
    <row r="2595">
      <c r="A2595" s="2" t="inlineStr">
        <is>
          <t>ORD-02594</t>
        </is>
      </c>
      <c r="B2595" s="2" t="inlineStr">
        <is>
          <t>Customer 15</t>
        </is>
      </c>
      <c r="C2595" s="2" t="inlineStr">
        <is>
          <t>PLC</t>
        </is>
      </c>
      <c r="D2595" s="2" t="inlineStr">
        <is>
          <t>Plant B</t>
        </is>
      </c>
      <c r="E2595" s="2" t="inlineStr">
        <is>
          <t>Export</t>
        </is>
      </c>
      <c r="F2595" s="12" t="n">
        <v>46025</v>
      </c>
      <c r="G2595" s="12" t="n">
        <v>46042</v>
      </c>
      <c r="H2595" s="12" t="n">
        <v>46038</v>
      </c>
      <c r="I2595" s="12" t="n">
        <v>46038</v>
      </c>
      <c r="J2595" s="12" t="n">
        <v>46041</v>
      </c>
      <c r="K2595" s="2" t="n">
        <v>865</v>
      </c>
      <c r="L2595" s="2" t="inlineStr">
        <is>
          <t>Air</t>
        </is>
      </c>
      <c r="M2595" s="2" t="inlineStr">
        <is>
          <t>No Delay</t>
        </is>
      </c>
      <c r="N2595" s="4">
        <f>IF(I2595&lt;=H2595,1,0)</f>
        <v/>
      </c>
      <c r="O2595" s="4">
        <f>IF(J2595&lt;=G2595,1,0)</f>
        <v/>
      </c>
      <c r="P2595" s="4">
        <f>MAX(0,I2595-H2595)</f>
        <v/>
      </c>
      <c r="Q2595" s="4">
        <f>MAX(0,J2595-G2595)</f>
        <v/>
      </c>
      <c r="R2595" s="4">
        <f>IF(AND(N2595=1,O2595=1),"On Track",IF(O2595=0,"Customer Delivery Late","Ship Late"))</f>
        <v/>
      </c>
    </row>
    <row r="2596">
      <c r="A2596" s="2" t="inlineStr">
        <is>
          <t>ORD-02595</t>
        </is>
      </c>
      <c r="B2596" s="2" t="inlineStr">
        <is>
          <t>Customer 19</t>
        </is>
      </c>
      <c r="C2596" s="2" t="inlineStr">
        <is>
          <t>Drive</t>
        </is>
      </c>
      <c r="D2596" s="2" t="inlineStr">
        <is>
          <t>Plant C</t>
        </is>
      </c>
      <c r="E2596" s="2" t="inlineStr">
        <is>
          <t>North</t>
        </is>
      </c>
      <c r="F2596" s="12" t="n">
        <v>46046</v>
      </c>
      <c r="G2596" s="12" t="n">
        <v>46060</v>
      </c>
      <c r="H2596" s="12" t="n">
        <v>46055</v>
      </c>
      <c r="I2596" s="12" t="n">
        <v>46055</v>
      </c>
      <c r="J2596" s="12" t="n">
        <v>46060</v>
      </c>
      <c r="K2596" s="2" t="n">
        <v>11</v>
      </c>
      <c r="L2596" s="2" t="inlineStr">
        <is>
          <t>Road</t>
        </is>
      </c>
      <c r="M2596" s="2" t="inlineStr">
        <is>
          <t>No Delay</t>
        </is>
      </c>
      <c r="N2596" s="4">
        <f>IF(I2596&lt;=H2596,1,0)</f>
        <v/>
      </c>
      <c r="O2596" s="4">
        <f>IF(J2596&lt;=G2596,1,0)</f>
        <v/>
      </c>
      <c r="P2596" s="4">
        <f>MAX(0,I2596-H2596)</f>
        <v/>
      </c>
      <c r="Q2596" s="4">
        <f>MAX(0,J2596-G2596)</f>
        <v/>
      </c>
      <c r="R2596" s="4">
        <f>IF(AND(N2596=1,O2596=1),"On Track",IF(O2596=0,"Customer Delivery Late","Ship Late"))</f>
        <v/>
      </c>
    </row>
    <row r="2597">
      <c r="A2597" s="2" t="inlineStr">
        <is>
          <t>ORD-02596</t>
        </is>
      </c>
      <c r="B2597" s="2" t="inlineStr">
        <is>
          <t>Customer 11</t>
        </is>
      </c>
      <c r="C2597" s="2" t="inlineStr">
        <is>
          <t>Drive</t>
        </is>
      </c>
      <c r="D2597" s="2" t="inlineStr">
        <is>
          <t>Plant C</t>
        </is>
      </c>
      <c r="E2597" s="2" t="inlineStr">
        <is>
          <t>Export</t>
        </is>
      </c>
      <c r="F2597" s="12" t="n">
        <v>46158</v>
      </c>
      <c r="G2597" s="12" t="n">
        <v>46173</v>
      </c>
      <c r="H2597" s="12" t="n">
        <v>46171</v>
      </c>
      <c r="I2597" s="12" t="n">
        <v>46170</v>
      </c>
      <c r="J2597" s="12" t="n">
        <v>46172</v>
      </c>
      <c r="K2597" s="2" t="n">
        <v>505</v>
      </c>
      <c r="L2597" s="2" t="inlineStr">
        <is>
          <t>Sea</t>
        </is>
      </c>
      <c r="M2597" s="2" t="inlineStr">
        <is>
          <t>No Delay</t>
        </is>
      </c>
      <c r="N2597" s="4">
        <f>IF(I2597&lt;=H2597,1,0)</f>
        <v/>
      </c>
      <c r="O2597" s="4">
        <f>IF(J2597&lt;=G2597,1,0)</f>
        <v/>
      </c>
      <c r="P2597" s="4">
        <f>MAX(0,I2597-H2597)</f>
        <v/>
      </c>
      <c r="Q2597" s="4">
        <f>MAX(0,J2597-G2597)</f>
        <v/>
      </c>
      <c r="R2597" s="4">
        <f>IF(AND(N2597=1,O2597=1),"On Track",IF(O2597=0,"Customer Delivery Late","Ship Late"))</f>
        <v/>
      </c>
    </row>
    <row r="2598">
      <c r="A2598" s="2" t="inlineStr">
        <is>
          <t>ORD-02597</t>
        </is>
      </c>
      <c r="B2598" s="2" t="inlineStr">
        <is>
          <t>Customer 20</t>
        </is>
      </c>
      <c r="C2598" s="2" t="inlineStr">
        <is>
          <t>Drive</t>
        </is>
      </c>
      <c r="D2598" s="2" t="inlineStr">
        <is>
          <t>Plant C</t>
        </is>
      </c>
      <c r="E2598" s="2" t="inlineStr">
        <is>
          <t>South</t>
        </is>
      </c>
      <c r="F2598" s="12" t="n">
        <v>46136</v>
      </c>
      <c r="G2598" s="12" t="n">
        <v>46150</v>
      </c>
      <c r="H2598" s="12" t="n">
        <v>46148</v>
      </c>
      <c r="I2598" s="12" t="n">
        <v>46147</v>
      </c>
      <c r="J2598" s="12" t="n">
        <v>46150</v>
      </c>
      <c r="K2598" s="2" t="n">
        <v>24</v>
      </c>
      <c r="L2598" s="2" t="inlineStr">
        <is>
          <t>Road</t>
        </is>
      </c>
      <c r="M2598" s="2" t="inlineStr">
        <is>
          <t>No Delay</t>
        </is>
      </c>
      <c r="N2598" s="4">
        <f>IF(I2598&lt;=H2598,1,0)</f>
        <v/>
      </c>
      <c r="O2598" s="4">
        <f>IF(J2598&lt;=G2598,1,0)</f>
        <v/>
      </c>
      <c r="P2598" s="4">
        <f>MAX(0,I2598-H2598)</f>
        <v/>
      </c>
      <c r="Q2598" s="4">
        <f>MAX(0,J2598-G2598)</f>
        <v/>
      </c>
      <c r="R2598" s="4">
        <f>IF(AND(N2598=1,O2598=1),"On Track",IF(O2598=0,"Customer Delivery Late","Ship Late"))</f>
        <v/>
      </c>
    </row>
    <row r="2599">
      <c r="A2599" s="2" t="inlineStr">
        <is>
          <t>ORD-02598</t>
        </is>
      </c>
      <c r="B2599" s="2" t="inlineStr">
        <is>
          <t>Customer 25</t>
        </is>
      </c>
      <c r="C2599" s="2" t="inlineStr">
        <is>
          <t>Drive</t>
        </is>
      </c>
      <c r="D2599" s="2" t="inlineStr">
        <is>
          <t>Plant A</t>
        </is>
      </c>
      <c r="E2599" s="2" t="inlineStr">
        <is>
          <t>North</t>
        </is>
      </c>
      <c r="F2599" s="12" t="n">
        <v>46165</v>
      </c>
      <c r="G2599" s="12" t="n">
        <v>46188</v>
      </c>
      <c r="H2599" s="12" t="n">
        <v>46185</v>
      </c>
      <c r="I2599" s="12" t="n">
        <v>46185</v>
      </c>
      <c r="J2599" s="12" t="n">
        <v>46188</v>
      </c>
      <c r="K2599" s="2" t="n">
        <v>972</v>
      </c>
      <c r="L2599" s="2" t="inlineStr">
        <is>
          <t>Road</t>
        </is>
      </c>
      <c r="M2599" s="2" t="inlineStr">
        <is>
          <t>No Delay</t>
        </is>
      </c>
      <c r="N2599" s="4">
        <f>IF(I2599&lt;=H2599,1,0)</f>
        <v/>
      </c>
      <c r="O2599" s="4">
        <f>IF(J2599&lt;=G2599,1,0)</f>
        <v/>
      </c>
      <c r="P2599" s="4">
        <f>MAX(0,I2599-H2599)</f>
        <v/>
      </c>
      <c r="Q2599" s="4">
        <f>MAX(0,J2599-G2599)</f>
        <v/>
      </c>
      <c r="R2599" s="4">
        <f>IF(AND(N2599=1,O2599=1),"On Track",IF(O2599=0,"Customer Delivery Late","Ship Late"))</f>
        <v/>
      </c>
    </row>
    <row r="2600">
      <c r="A2600" s="2" t="inlineStr">
        <is>
          <t>ORD-02599</t>
        </is>
      </c>
      <c r="B2600" s="2" t="inlineStr">
        <is>
          <t>Customer 24</t>
        </is>
      </c>
      <c r="C2600" s="2" t="inlineStr">
        <is>
          <t>Switchgear</t>
        </is>
      </c>
      <c r="D2600" s="2" t="inlineStr">
        <is>
          <t>Plant A</t>
        </is>
      </c>
      <c r="E2600" s="2" t="inlineStr">
        <is>
          <t>Export</t>
        </is>
      </c>
      <c r="F2600" s="12" t="n">
        <v>46154</v>
      </c>
      <c r="G2600" s="12" t="n">
        <v>46174</v>
      </c>
      <c r="H2600" s="12" t="n">
        <v>46172</v>
      </c>
      <c r="I2600" s="12" t="n">
        <v>46170</v>
      </c>
      <c r="J2600" s="12" t="n">
        <v>46171</v>
      </c>
      <c r="K2600" s="2" t="n">
        <v>1385</v>
      </c>
      <c r="L2600" s="2" t="inlineStr">
        <is>
          <t>Air</t>
        </is>
      </c>
      <c r="M2600" s="2" t="inlineStr">
        <is>
          <t>No Delay</t>
        </is>
      </c>
      <c r="N2600" s="4">
        <f>IF(I2600&lt;=H2600,1,0)</f>
        <v/>
      </c>
      <c r="O2600" s="4">
        <f>IF(J2600&lt;=G2600,1,0)</f>
        <v/>
      </c>
      <c r="P2600" s="4">
        <f>MAX(0,I2600-H2600)</f>
        <v/>
      </c>
      <c r="Q2600" s="4">
        <f>MAX(0,J2600-G2600)</f>
        <v/>
      </c>
      <c r="R2600" s="4">
        <f>IF(AND(N2600=1,O2600=1),"On Track",IF(O2600=0,"Customer Delivery Late","Ship Late"))</f>
        <v/>
      </c>
    </row>
    <row r="2601">
      <c r="A2601" s="2" t="inlineStr">
        <is>
          <t>ORD-02600</t>
        </is>
      </c>
      <c r="B2601" s="2" t="inlineStr">
        <is>
          <t>Customer 27</t>
        </is>
      </c>
      <c r="C2601" s="2" t="inlineStr">
        <is>
          <t>Relay</t>
        </is>
      </c>
      <c r="D2601" s="2" t="inlineStr">
        <is>
          <t>Plant A</t>
        </is>
      </c>
      <c r="E2601" s="2" t="inlineStr">
        <is>
          <t>Central</t>
        </is>
      </c>
      <c r="F2601" s="12" t="n">
        <v>46079</v>
      </c>
      <c r="G2601" s="12" t="n">
        <v>46089</v>
      </c>
      <c r="H2601" s="12" t="n">
        <v>46086</v>
      </c>
      <c r="I2601" s="12" t="n">
        <v>46086</v>
      </c>
      <c r="J2601" s="12" t="n">
        <v>46089</v>
      </c>
      <c r="K2601" s="2" t="n">
        <v>593</v>
      </c>
      <c r="L2601" s="2" t="inlineStr">
        <is>
          <t>Sea</t>
        </is>
      </c>
      <c r="M2601" s="2" t="inlineStr">
        <is>
          <t>No Delay</t>
        </is>
      </c>
      <c r="N2601" s="4">
        <f>IF(I2601&lt;=H2601,1,0)</f>
        <v/>
      </c>
      <c r="O2601" s="4">
        <f>IF(J2601&lt;=G2601,1,0)</f>
        <v/>
      </c>
      <c r="P2601" s="4">
        <f>MAX(0,I2601-H2601)</f>
        <v/>
      </c>
      <c r="Q2601" s="4">
        <f>MAX(0,J2601-G2601)</f>
        <v/>
      </c>
      <c r="R2601" s="4">
        <f>IF(AND(N2601=1,O2601=1),"On Track",IF(O2601=0,"Customer Delivery Late","Ship Late"))</f>
        <v/>
      </c>
    </row>
    <row r="2602">
      <c r="A2602" s="2" t="inlineStr">
        <is>
          <t>ORD-02601</t>
        </is>
      </c>
      <c r="B2602" s="2" t="inlineStr">
        <is>
          <t>Customer 04</t>
        </is>
      </c>
      <c r="C2602" s="2" t="inlineStr">
        <is>
          <t>Breaker</t>
        </is>
      </c>
      <c r="D2602" s="2" t="inlineStr">
        <is>
          <t>Plant C</t>
        </is>
      </c>
      <c r="E2602" s="2" t="inlineStr">
        <is>
          <t>North</t>
        </is>
      </c>
      <c r="F2602" s="12" t="n">
        <v>46138</v>
      </c>
      <c r="G2602" s="12" t="n">
        <v>46151</v>
      </c>
      <c r="H2602" s="12" t="n">
        <v>46146</v>
      </c>
      <c r="I2602" s="12" t="n">
        <v>46144</v>
      </c>
      <c r="J2602" s="12" t="n">
        <v>46152</v>
      </c>
      <c r="K2602" s="2" t="n">
        <v>629</v>
      </c>
      <c r="L2602" s="2" t="inlineStr">
        <is>
          <t>Sea</t>
        </is>
      </c>
      <c r="M2602" s="2" t="inlineStr">
        <is>
          <t>Capacity Constraint</t>
        </is>
      </c>
      <c r="N2602" s="4">
        <f>IF(I2602&lt;=H2602,1,0)</f>
        <v/>
      </c>
      <c r="O2602" s="4">
        <f>IF(J2602&lt;=G2602,1,0)</f>
        <v/>
      </c>
      <c r="P2602" s="4">
        <f>MAX(0,I2602-H2602)</f>
        <v/>
      </c>
      <c r="Q2602" s="4">
        <f>MAX(0,J2602-G2602)</f>
        <v/>
      </c>
      <c r="R2602" s="4">
        <f>IF(AND(N2602=1,O2602=1),"On Track",IF(O2602=0,"Customer Delivery Late","Ship Late"))</f>
        <v/>
      </c>
    </row>
    <row r="2603">
      <c r="A2603" s="2" t="inlineStr">
        <is>
          <t>ORD-02602</t>
        </is>
      </c>
      <c r="B2603" s="2" t="inlineStr">
        <is>
          <t>Customer 28</t>
        </is>
      </c>
      <c r="C2603" s="2" t="inlineStr">
        <is>
          <t>Relay</t>
        </is>
      </c>
      <c r="D2603" s="2" t="inlineStr">
        <is>
          <t>Plant B</t>
        </is>
      </c>
      <c r="E2603" s="2" t="inlineStr">
        <is>
          <t>South</t>
        </is>
      </c>
      <c r="F2603" s="12" t="n">
        <v>46155</v>
      </c>
      <c r="G2603" s="12" t="n">
        <v>46173</v>
      </c>
      <c r="H2603" s="12" t="n">
        <v>46169</v>
      </c>
      <c r="I2603" s="12" t="n">
        <v>46169</v>
      </c>
      <c r="J2603" s="12" t="n">
        <v>46173</v>
      </c>
      <c r="K2603" s="2" t="n">
        <v>633</v>
      </c>
      <c r="L2603" s="2" t="inlineStr">
        <is>
          <t>Air</t>
        </is>
      </c>
      <c r="M2603" s="2" t="inlineStr">
        <is>
          <t>No Delay</t>
        </is>
      </c>
      <c r="N2603" s="4">
        <f>IF(I2603&lt;=H2603,1,0)</f>
        <v/>
      </c>
      <c r="O2603" s="4">
        <f>IF(J2603&lt;=G2603,1,0)</f>
        <v/>
      </c>
      <c r="P2603" s="4">
        <f>MAX(0,I2603-H2603)</f>
        <v/>
      </c>
      <c r="Q2603" s="4">
        <f>MAX(0,J2603-G2603)</f>
        <v/>
      </c>
      <c r="R2603" s="4">
        <f>IF(AND(N2603=1,O2603=1),"On Track",IF(O2603=0,"Customer Delivery Late","Ship Late"))</f>
        <v/>
      </c>
    </row>
    <row r="2604">
      <c r="A2604" s="2" t="inlineStr">
        <is>
          <t>ORD-02603</t>
        </is>
      </c>
      <c r="B2604" s="2" t="inlineStr">
        <is>
          <t>Customer 03</t>
        </is>
      </c>
      <c r="C2604" s="2" t="inlineStr">
        <is>
          <t>Switchgear</t>
        </is>
      </c>
      <c r="D2604" s="2" t="inlineStr">
        <is>
          <t>Plant B</t>
        </is>
      </c>
      <c r="E2604" s="2" t="inlineStr">
        <is>
          <t>North</t>
        </is>
      </c>
      <c r="F2604" s="12" t="n">
        <v>46165</v>
      </c>
      <c r="G2604" s="12" t="n">
        <v>46188</v>
      </c>
      <c r="H2604" s="12" t="n">
        <v>46186</v>
      </c>
      <c r="I2604" s="12" t="n">
        <v>46186</v>
      </c>
      <c r="J2604" s="12" t="n">
        <v>46189</v>
      </c>
      <c r="K2604" s="2" t="n">
        <v>1272</v>
      </c>
      <c r="L2604" s="2" t="inlineStr">
        <is>
          <t>Sea</t>
        </is>
      </c>
      <c r="M2604" s="2" t="inlineStr">
        <is>
          <t>Carrier Delay</t>
        </is>
      </c>
      <c r="N2604" s="4">
        <f>IF(I2604&lt;=H2604,1,0)</f>
        <v/>
      </c>
      <c r="O2604" s="4">
        <f>IF(J2604&lt;=G2604,1,0)</f>
        <v/>
      </c>
      <c r="P2604" s="4">
        <f>MAX(0,I2604-H2604)</f>
        <v/>
      </c>
      <c r="Q2604" s="4">
        <f>MAX(0,J2604-G2604)</f>
        <v/>
      </c>
      <c r="R2604" s="4">
        <f>IF(AND(N2604=1,O2604=1),"On Track",IF(O2604=0,"Customer Delivery Late","Ship Late"))</f>
        <v/>
      </c>
    </row>
    <row r="2605">
      <c r="A2605" s="2" t="inlineStr">
        <is>
          <t>ORD-02604</t>
        </is>
      </c>
      <c r="B2605" s="2" t="inlineStr">
        <is>
          <t>Customer 18</t>
        </is>
      </c>
      <c r="C2605" s="2" t="inlineStr">
        <is>
          <t>Contactor</t>
        </is>
      </c>
      <c r="D2605" s="2" t="inlineStr">
        <is>
          <t>Plant A</t>
        </is>
      </c>
      <c r="E2605" s="2" t="inlineStr">
        <is>
          <t>South</t>
        </is>
      </c>
      <c r="F2605" s="12" t="n">
        <v>46028</v>
      </c>
      <c r="G2605" s="12" t="n">
        <v>46052</v>
      </c>
      <c r="H2605" s="12" t="n">
        <v>46050</v>
      </c>
      <c r="I2605" s="12" t="n">
        <v>46049</v>
      </c>
      <c r="J2605" s="12" t="n">
        <v>46051</v>
      </c>
      <c r="K2605" s="2" t="n">
        <v>726</v>
      </c>
      <c r="L2605" s="2" t="inlineStr">
        <is>
          <t>Air</t>
        </is>
      </c>
      <c r="M2605" s="2" t="inlineStr">
        <is>
          <t>No Delay</t>
        </is>
      </c>
      <c r="N2605" s="4">
        <f>IF(I2605&lt;=H2605,1,0)</f>
        <v/>
      </c>
      <c r="O2605" s="4">
        <f>IF(J2605&lt;=G2605,1,0)</f>
        <v/>
      </c>
      <c r="P2605" s="4">
        <f>MAX(0,I2605-H2605)</f>
        <v/>
      </c>
      <c r="Q2605" s="4">
        <f>MAX(0,J2605-G2605)</f>
        <v/>
      </c>
      <c r="R2605" s="4">
        <f>IF(AND(N2605=1,O2605=1),"On Track",IF(O2605=0,"Customer Delivery Late","Ship Late"))</f>
        <v/>
      </c>
    </row>
    <row r="2606">
      <c r="A2606" s="2" t="inlineStr">
        <is>
          <t>ORD-02605</t>
        </is>
      </c>
      <c r="B2606" s="2" t="inlineStr">
        <is>
          <t>Customer 26</t>
        </is>
      </c>
      <c r="C2606" s="2" t="inlineStr">
        <is>
          <t>PLC</t>
        </is>
      </c>
      <c r="D2606" s="2" t="inlineStr">
        <is>
          <t>Plant C</t>
        </is>
      </c>
      <c r="E2606" s="2" t="inlineStr">
        <is>
          <t>Central</t>
        </is>
      </c>
      <c r="F2606" s="12" t="n">
        <v>46086</v>
      </c>
      <c r="G2606" s="12" t="n">
        <v>46099</v>
      </c>
      <c r="H2606" s="12" t="n">
        <v>46095</v>
      </c>
      <c r="I2606" s="12" t="n">
        <v>46095</v>
      </c>
      <c r="J2606" s="12" t="n">
        <v>46099</v>
      </c>
      <c r="K2606" s="2" t="n">
        <v>1115</v>
      </c>
      <c r="L2606" s="2" t="inlineStr">
        <is>
          <t>Air</t>
        </is>
      </c>
      <c r="M2606" s="2" t="inlineStr">
        <is>
          <t>No Delay</t>
        </is>
      </c>
      <c r="N2606" s="4">
        <f>IF(I2606&lt;=H2606,1,0)</f>
        <v/>
      </c>
      <c r="O2606" s="4">
        <f>IF(J2606&lt;=G2606,1,0)</f>
        <v/>
      </c>
      <c r="P2606" s="4">
        <f>MAX(0,I2606-H2606)</f>
        <v/>
      </c>
      <c r="Q2606" s="4">
        <f>MAX(0,J2606-G2606)</f>
        <v/>
      </c>
      <c r="R2606" s="4">
        <f>IF(AND(N2606=1,O2606=1),"On Track",IF(O2606=0,"Customer Delivery Late","Ship Late"))</f>
        <v/>
      </c>
    </row>
    <row r="2607">
      <c r="A2607" s="2" t="inlineStr">
        <is>
          <t>ORD-02606</t>
        </is>
      </c>
      <c r="B2607" s="2" t="inlineStr">
        <is>
          <t>Customer 12</t>
        </is>
      </c>
      <c r="C2607" s="2" t="inlineStr">
        <is>
          <t>Contactor</t>
        </is>
      </c>
      <c r="D2607" s="2" t="inlineStr">
        <is>
          <t>Plant C</t>
        </is>
      </c>
      <c r="E2607" s="2" t="inlineStr">
        <is>
          <t>Central</t>
        </is>
      </c>
      <c r="F2607" s="12" t="n">
        <v>46163</v>
      </c>
      <c r="G2607" s="12" t="n">
        <v>46169</v>
      </c>
      <c r="H2607" s="12" t="n">
        <v>46166</v>
      </c>
      <c r="I2607" s="12" t="n">
        <v>46166</v>
      </c>
      <c r="J2607" s="12" t="n">
        <v>46169</v>
      </c>
      <c r="K2607" s="2" t="n">
        <v>916</v>
      </c>
      <c r="L2607" s="2" t="inlineStr">
        <is>
          <t>Sea</t>
        </is>
      </c>
      <c r="M2607" s="2" t="inlineStr">
        <is>
          <t>No Delay</t>
        </is>
      </c>
      <c r="N2607" s="4">
        <f>IF(I2607&lt;=H2607,1,0)</f>
        <v/>
      </c>
      <c r="O2607" s="4">
        <f>IF(J2607&lt;=G2607,1,0)</f>
        <v/>
      </c>
      <c r="P2607" s="4">
        <f>MAX(0,I2607-H2607)</f>
        <v/>
      </c>
      <c r="Q2607" s="4">
        <f>MAX(0,J2607-G2607)</f>
        <v/>
      </c>
      <c r="R2607" s="4">
        <f>IF(AND(N2607=1,O2607=1),"On Track",IF(O2607=0,"Customer Delivery Late","Ship Late"))</f>
        <v/>
      </c>
    </row>
    <row r="2608">
      <c r="A2608" s="2" t="inlineStr">
        <is>
          <t>ORD-02607</t>
        </is>
      </c>
      <c r="B2608" s="2" t="inlineStr">
        <is>
          <t>Customer 27</t>
        </is>
      </c>
      <c r="C2608" s="2" t="inlineStr">
        <is>
          <t>Sensor</t>
        </is>
      </c>
      <c r="D2608" s="2" t="inlineStr">
        <is>
          <t>Plant B</t>
        </is>
      </c>
      <c r="E2608" s="2" t="inlineStr">
        <is>
          <t>North</t>
        </is>
      </c>
      <c r="F2608" s="12" t="n">
        <v>46100</v>
      </c>
      <c r="G2608" s="12" t="n">
        <v>46119</v>
      </c>
      <c r="H2608" s="12" t="n">
        <v>46115</v>
      </c>
      <c r="I2608" s="12" t="n">
        <v>46115</v>
      </c>
      <c r="J2608" s="12" t="n">
        <v>46119</v>
      </c>
      <c r="K2608" s="2" t="n">
        <v>1251</v>
      </c>
      <c r="L2608" s="2" t="inlineStr">
        <is>
          <t>Air</t>
        </is>
      </c>
      <c r="M2608" s="2" t="inlineStr">
        <is>
          <t>No Delay</t>
        </is>
      </c>
      <c r="N2608" s="4">
        <f>IF(I2608&lt;=H2608,1,0)</f>
        <v/>
      </c>
      <c r="O2608" s="4">
        <f>IF(J2608&lt;=G2608,1,0)</f>
        <v/>
      </c>
      <c r="P2608" s="4">
        <f>MAX(0,I2608-H2608)</f>
        <v/>
      </c>
      <c r="Q2608" s="4">
        <f>MAX(0,J2608-G2608)</f>
        <v/>
      </c>
      <c r="R2608" s="4">
        <f>IF(AND(N2608=1,O2608=1),"On Track",IF(O2608=0,"Customer Delivery Late","Ship Late"))</f>
        <v/>
      </c>
    </row>
    <row r="2609">
      <c r="A2609" s="2" t="inlineStr">
        <is>
          <t>ORD-02608</t>
        </is>
      </c>
      <c r="B2609" s="2" t="inlineStr">
        <is>
          <t>Customer 02</t>
        </is>
      </c>
      <c r="C2609" s="2" t="inlineStr">
        <is>
          <t>Relay</t>
        </is>
      </c>
      <c r="D2609" s="2" t="inlineStr">
        <is>
          <t>Plant A</t>
        </is>
      </c>
      <c r="E2609" s="2" t="inlineStr">
        <is>
          <t>North</t>
        </is>
      </c>
      <c r="F2609" s="12" t="n">
        <v>46153</v>
      </c>
      <c r="G2609" s="12" t="n">
        <v>46168</v>
      </c>
      <c r="H2609" s="12" t="n">
        <v>46163</v>
      </c>
      <c r="I2609" s="12" t="n">
        <v>46161</v>
      </c>
      <c r="J2609" s="12" t="n">
        <v>46166</v>
      </c>
      <c r="K2609" s="2" t="n">
        <v>1057</v>
      </c>
      <c r="L2609" s="2" t="inlineStr">
        <is>
          <t>Sea</t>
        </is>
      </c>
      <c r="M2609" s="2" t="inlineStr">
        <is>
          <t>No Delay</t>
        </is>
      </c>
      <c r="N2609" s="4">
        <f>IF(I2609&lt;=H2609,1,0)</f>
        <v/>
      </c>
      <c r="O2609" s="4">
        <f>IF(J2609&lt;=G2609,1,0)</f>
        <v/>
      </c>
      <c r="P2609" s="4">
        <f>MAX(0,I2609-H2609)</f>
        <v/>
      </c>
      <c r="Q2609" s="4">
        <f>MAX(0,J2609-G2609)</f>
        <v/>
      </c>
      <c r="R2609" s="4">
        <f>IF(AND(N2609=1,O2609=1),"On Track",IF(O2609=0,"Customer Delivery Late","Ship Late"))</f>
        <v/>
      </c>
    </row>
    <row r="2610">
      <c r="A2610" s="2" t="inlineStr">
        <is>
          <t>ORD-02609</t>
        </is>
      </c>
      <c r="B2610" s="2" t="inlineStr">
        <is>
          <t>Customer 10</t>
        </is>
      </c>
      <c r="C2610" s="2" t="inlineStr">
        <is>
          <t>PLC</t>
        </is>
      </c>
      <c r="D2610" s="2" t="inlineStr">
        <is>
          <t>Plant B</t>
        </is>
      </c>
      <c r="E2610" s="2" t="inlineStr">
        <is>
          <t>South</t>
        </is>
      </c>
      <c r="F2610" s="12" t="n">
        <v>46188</v>
      </c>
      <c r="G2610" s="12" t="n">
        <v>46211</v>
      </c>
      <c r="H2610" s="12" t="n">
        <v>46207</v>
      </c>
      <c r="I2610" s="12" t="n">
        <v>46207</v>
      </c>
      <c r="J2610" s="12" t="n">
        <v>46211</v>
      </c>
      <c r="K2610" s="2" t="n">
        <v>1092</v>
      </c>
      <c r="L2610" s="2" t="inlineStr">
        <is>
          <t>Air</t>
        </is>
      </c>
      <c r="M2610" s="2" t="inlineStr">
        <is>
          <t>No Delay</t>
        </is>
      </c>
      <c r="N2610" s="4">
        <f>IF(I2610&lt;=H2610,1,0)</f>
        <v/>
      </c>
      <c r="O2610" s="4">
        <f>IF(J2610&lt;=G2610,1,0)</f>
        <v/>
      </c>
      <c r="P2610" s="4">
        <f>MAX(0,I2610-H2610)</f>
        <v/>
      </c>
      <c r="Q2610" s="4">
        <f>MAX(0,J2610-G2610)</f>
        <v/>
      </c>
      <c r="R2610" s="4">
        <f>IF(AND(N2610=1,O2610=1),"On Track",IF(O2610=0,"Customer Delivery Late","Ship Late"))</f>
        <v/>
      </c>
    </row>
    <row r="2611">
      <c r="A2611" s="2" t="inlineStr">
        <is>
          <t>ORD-02610</t>
        </is>
      </c>
      <c r="B2611" s="2" t="inlineStr">
        <is>
          <t>Customer 17</t>
        </is>
      </c>
      <c r="C2611" s="2" t="inlineStr">
        <is>
          <t>Switchgear</t>
        </is>
      </c>
      <c r="D2611" s="2" t="inlineStr">
        <is>
          <t>Plant A</t>
        </is>
      </c>
      <c r="E2611" s="2" t="inlineStr">
        <is>
          <t>North</t>
        </is>
      </c>
      <c r="F2611" s="12" t="n">
        <v>46175</v>
      </c>
      <c r="G2611" s="12" t="n">
        <v>46190</v>
      </c>
      <c r="H2611" s="12" t="n">
        <v>46188</v>
      </c>
      <c r="I2611" s="12" t="n">
        <v>46191</v>
      </c>
      <c r="J2611" s="12" t="n">
        <v>46193</v>
      </c>
      <c r="K2611" s="2" t="n">
        <v>1077</v>
      </c>
      <c r="L2611" s="2" t="inlineStr">
        <is>
          <t>Sea</t>
        </is>
      </c>
      <c r="M2611" s="2" t="inlineStr">
        <is>
          <t>Production Delay</t>
        </is>
      </c>
      <c r="N2611" s="4">
        <f>IF(I2611&lt;=H2611,1,0)</f>
        <v/>
      </c>
      <c r="O2611" s="4">
        <f>IF(J2611&lt;=G2611,1,0)</f>
        <v/>
      </c>
      <c r="P2611" s="4">
        <f>MAX(0,I2611-H2611)</f>
        <v/>
      </c>
      <c r="Q2611" s="4">
        <f>MAX(0,J2611-G2611)</f>
        <v/>
      </c>
      <c r="R2611" s="4">
        <f>IF(AND(N2611=1,O2611=1),"On Track",IF(O2611=0,"Customer Delivery Late","Ship Late"))</f>
        <v/>
      </c>
    </row>
    <row r="2612">
      <c r="A2612" s="2" t="inlineStr">
        <is>
          <t>ORD-02611</t>
        </is>
      </c>
      <c r="B2612" s="2" t="inlineStr">
        <is>
          <t>Customer 29</t>
        </is>
      </c>
      <c r="C2612" s="2" t="inlineStr">
        <is>
          <t>Sensor</t>
        </is>
      </c>
      <c r="D2612" s="2" t="inlineStr">
        <is>
          <t>Plant C</t>
        </is>
      </c>
      <c r="E2612" s="2" t="inlineStr">
        <is>
          <t>North</t>
        </is>
      </c>
      <c r="F2612" s="12" t="n">
        <v>46034</v>
      </c>
      <c r="G2612" s="12" t="n">
        <v>46045</v>
      </c>
      <c r="H2612" s="12" t="n">
        <v>46042</v>
      </c>
      <c r="I2612" s="12" t="n">
        <v>46041</v>
      </c>
      <c r="J2612" s="12" t="n">
        <v>46044</v>
      </c>
      <c r="K2612" s="2" t="n">
        <v>444</v>
      </c>
      <c r="L2612" s="2" t="inlineStr">
        <is>
          <t>Air</t>
        </is>
      </c>
      <c r="M2612" s="2" t="inlineStr">
        <is>
          <t>No Delay</t>
        </is>
      </c>
      <c r="N2612" s="4">
        <f>IF(I2612&lt;=H2612,1,0)</f>
        <v/>
      </c>
      <c r="O2612" s="4">
        <f>IF(J2612&lt;=G2612,1,0)</f>
        <v/>
      </c>
      <c r="P2612" s="4">
        <f>MAX(0,I2612-H2612)</f>
        <v/>
      </c>
      <c r="Q2612" s="4">
        <f>MAX(0,J2612-G2612)</f>
        <v/>
      </c>
      <c r="R2612" s="4">
        <f>IF(AND(N2612=1,O2612=1),"On Track",IF(O2612=0,"Customer Delivery Late","Ship Late"))</f>
        <v/>
      </c>
    </row>
    <row r="2613">
      <c r="A2613" s="2" t="inlineStr">
        <is>
          <t>ORD-02612</t>
        </is>
      </c>
      <c r="B2613" s="2" t="inlineStr">
        <is>
          <t>Customer 06</t>
        </is>
      </c>
      <c r="C2613" s="2" t="inlineStr">
        <is>
          <t>Relay</t>
        </is>
      </c>
      <c r="D2613" s="2" t="inlineStr">
        <is>
          <t>Plant A</t>
        </is>
      </c>
      <c r="E2613" s="2" t="inlineStr">
        <is>
          <t>South</t>
        </is>
      </c>
      <c r="F2613" s="12" t="n">
        <v>46126</v>
      </c>
      <c r="G2613" s="12" t="n">
        <v>46139</v>
      </c>
      <c r="H2613" s="12" t="n">
        <v>46135</v>
      </c>
      <c r="I2613" s="12" t="n">
        <v>46134</v>
      </c>
      <c r="J2613" s="12" t="n">
        <v>46137</v>
      </c>
      <c r="K2613" s="2" t="n">
        <v>100</v>
      </c>
      <c r="L2613" s="2" t="inlineStr">
        <is>
          <t>Road</t>
        </is>
      </c>
      <c r="M2613" s="2" t="inlineStr">
        <is>
          <t>No Delay</t>
        </is>
      </c>
      <c r="N2613" s="4">
        <f>IF(I2613&lt;=H2613,1,0)</f>
        <v/>
      </c>
      <c r="O2613" s="4">
        <f>IF(J2613&lt;=G2613,1,0)</f>
        <v/>
      </c>
      <c r="P2613" s="4">
        <f>MAX(0,I2613-H2613)</f>
        <v/>
      </c>
      <c r="Q2613" s="4">
        <f>MAX(0,J2613-G2613)</f>
        <v/>
      </c>
      <c r="R2613" s="4">
        <f>IF(AND(N2613=1,O2613=1),"On Track",IF(O2613=0,"Customer Delivery Late","Ship Late"))</f>
        <v/>
      </c>
    </row>
    <row r="2614">
      <c r="A2614" s="2" t="inlineStr">
        <is>
          <t>ORD-02613</t>
        </is>
      </c>
      <c r="B2614" s="2" t="inlineStr">
        <is>
          <t>Customer 02</t>
        </is>
      </c>
      <c r="C2614" s="2" t="inlineStr">
        <is>
          <t>Sensor</t>
        </is>
      </c>
      <c r="D2614" s="2" t="inlineStr">
        <is>
          <t>Plant A</t>
        </is>
      </c>
      <c r="E2614" s="2" t="inlineStr">
        <is>
          <t>South</t>
        </is>
      </c>
      <c r="F2614" s="12" t="n">
        <v>46170</v>
      </c>
      <c r="G2614" s="12" t="n">
        <v>46187</v>
      </c>
      <c r="H2614" s="12" t="n">
        <v>46184</v>
      </c>
      <c r="I2614" s="12" t="n">
        <v>46191</v>
      </c>
      <c r="J2614" s="12" t="n">
        <v>46195</v>
      </c>
      <c r="K2614" s="2" t="n">
        <v>1077</v>
      </c>
      <c r="L2614" s="2" t="inlineStr">
        <is>
          <t>Sea</t>
        </is>
      </c>
      <c r="M2614" s="2" t="inlineStr">
        <is>
          <t>Material Shortage</t>
        </is>
      </c>
      <c r="N2614" s="4">
        <f>IF(I2614&lt;=H2614,1,0)</f>
        <v/>
      </c>
      <c r="O2614" s="4">
        <f>IF(J2614&lt;=G2614,1,0)</f>
        <v/>
      </c>
      <c r="P2614" s="4">
        <f>MAX(0,I2614-H2614)</f>
        <v/>
      </c>
      <c r="Q2614" s="4">
        <f>MAX(0,J2614-G2614)</f>
        <v/>
      </c>
      <c r="R2614" s="4">
        <f>IF(AND(N2614=1,O2614=1),"On Track",IF(O2614=0,"Customer Delivery Late","Ship Late"))</f>
        <v/>
      </c>
    </row>
    <row r="2615">
      <c r="A2615" s="2" t="inlineStr">
        <is>
          <t>ORD-02614</t>
        </is>
      </c>
      <c r="B2615" s="2" t="inlineStr">
        <is>
          <t>Customer 11</t>
        </is>
      </c>
      <c r="C2615" s="2" t="inlineStr">
        <is>
          <t>Drive</t>
        </is>
      </c>
      <c r="D2615" s="2" t="inlineStr">
        <is>
          <t>Plant C</t>
        </is>
      </c>
      <c r="E2615" s="2" t="inlineStr">
        <is>
          <t>North</t>
        </is>
      </c>
      <c r="F2615" s="12" t="n">
        <v>46079</v>
      </c>
      <c r="G2615" s="12" t="n">
        <v>46090</v>
      </c>
      <c r="H2615" s="12" t="n">
        <v>46088</v>
      </c>
      <c r="I2615" s="12" t="n">
        <v>46088</v>
      </c>
      <c r="J2615" s="12" t="n">
        <v>46092</v>
      </c>
      <c r="K2615" s="2" t="n">
        <v>63</v>
      </c>
      <c r="L2615" s="2" t="inlineStr">
        <is>
          <t>Road</t>
        </is>
      </c>
      <c r="M2615" s="2" t="inlineStr">
        <is>
          <t>Capacity Constraint</t>
        </is>
      </c>
      <c r="N2615" s="4">
        <f>IF(I2615&lt;=H2615,1,0)</f>
        <v/>
      </c>
      <c r="O2615" s="4">
        <f>IF(J2615&lt;=G2615,1,0)</f>
        <v/>
      </c>
      <c r="P2615" s="4">
        <f>MAX(0,I2615-H2615)</f>
        <v/>
      </c>
      <c r="Q2615" s="4">
        <f>MAX(0,J2615-G2615)</f>
        <v/>
      </c>
      <c r="R2615" s="4">
        <f>IF(AND(N2615=1,O2615=1),"On Track",IF(O2615=0,"Customer Delivery Late","Ship Late"))</f>
        <v/>
      </c>
    </row>
    <row r="2616">
      <c r="A2616" s="2" t="inlineStr">
        <is>
          <t>ORD-02615</t>
        </is>
      </c>
      <c r="B2616" s="2" t="inlineStr">
        <is>
          <t>Customer 29</t>
        </is>
      </c>
      <c r="C2616" s="2" t="inlineStr">
        <is>
          <t>Breaker</t>
        </is>
      </c>
      <c r="D2616" s="2" t="inlineStr">
        <is>
          <t>Plant A</t>
        </is>
      </c>
      <c r="E2616" s="2" t="inlineStr">
        <is>
          <t>Central</t>
        </is>
      </c>
      <c r="F2616" s="12" t="n">
        <v>46173</v>
      </c>
      <c r="G2616" s="12" t="n">
        <v>46188</v>
      </c>
      <c r="H2616" s="12" t="n">
        <v>46184</v>
      </c>
      <c r="I2616" s="12" t="n">
        <v>46184</v>
      </c>
      <c r="J2616" s="12" t="n">
        <v>46187</v>
      </c>
      <c r="K2616" s="2" t="n">
        <v>612</v>
      </c>
      <c r="L2616" s="2" t="inlineStr">
        <is>
          <t>Air</t>
        </is>
      </c>
      <c r="M2616" s="2" t="inlineStr">
        <is>
          <t>No Delay</t>
        </is>
      </c>
      <c r="N2616" s="4">
        <f>IF(I2616&lt;=H2616,1,0)</f>
        <v/>
      </c>
      <c r="O2616" s="4">
        <f>IF(J2616&lt;=G2616,1,0)</f>
        <v/>
      </c>
      <c r="P2616" s="4">
        <f>MAX(0,I2616-H2616)</f>
        <v/>
      </c>
      <c r="Q2616" s="4">
        <f>MAX(0,J2616-G2616)</f>
        <v/>
      </c>
      <c r="R2616" s="4">
        <f>IF(AND(N2616=1,O2616=1),"On Track",IF(O2616=0,"Customer Delivery Late","Ship Late"))</f>
        <v/>
      </c>
    </row>
    <row r="2617">
      <c r="A2617" s="2" t="inlineStr">
        <is>
          <t>ORD-02616</t>
        </is>
      </c>
      <c r="B2617" s="2" t="inlineStr">
        <is>
          <t>Customer 21</t>
        </is>
      </c>
      <c r="C2617" s="2" t="inlineStr">
        <is>
          <t>Contactor</t>
        </is>
      </c>
      <c r="D2617" s="2" t="inlineStr">
        <is>
          <t>Plant C</t>
        </is>
      </c>
      <c r="E2617" s="2" t="inlineStr">
        <is>
          <t>South</t>
        </is>
      </c>
      <c r="F2617" s="12" t="n">
        <v>46142</v>
      </c>
      <c r="G2617" s="12" t="n">
        <v>46150</v>
      </c>
      <c r="H2617" s="12" t="n">
        <v>46145</v>
      </c>
      <c r="I2617" s="12" t="n">
        <v>46144</v>
      </c>
      <c r="J2617" s="12" t="n">
        <v>46149</v>
      </c>
      <c r="K2617" s="2" t="n">
        <v>1254</v>
      </c>
      <c r="L2617" s="2" t="inlineStr">
        <is>
          <t>Sea</t>
        </is>
      </c>
      <c r="M2617" s="2" t="inlineStr">
        <is>
          <t>No Delay</t>
        </is>
      </c>
      <c r="N2617" s="4">
        <f>IF(I2617&lt;=H2617,1,0)</f>
        <v/>
      </c>
      <c r="O2617" s="4">
        <f>IF(J2617&lt;=G2617,1,0)</f>
        <v/>
      </c>
      <c r="P2617" s="4">
        <f>MAX(0,I2617-H2617)</f>
        <v/>
      </c>
      <c r="Q2617" s="4">
        <f>MAX(0,J2617-G2617)</f>
        <v/>
      </c>
      <c r="R2617" s="4">
        <f>IF(AND(N2617=1,O2617=1),"On Track",IF(O2617=0,"Customer Delivery Late","Ship Late"))</f>
        <v/>
      </c>
    </row>
    <row r="2618">
      <c r="A2618" s="2" t="inlineStr">
        <is>
          <t>ORD-02617</t>
        </is>
      </c>
      <c r="B2618" s="2" t="inlineStr">
        <is>
          <t>Customer 11</t>
        </is>
      </c>
      <c r="C2618" s="2" t="inlineStr">
        <is>
          <t>Contactor</t>
        </is>
      </c>
      <c r="D2618" s="2" t="inlineStr">
        <is>
          <t>Plant C</t>
        </is>
      </c>
      <c r="E2618" s="2" t="inlineStr">
        <is>
          <t>North</t>
        </is>
      </c>
      <c r="F2618" s="12" t="n">
        <v>46171</v>
      </c>
      <c r="G2618" s="12" t="n">
        <v>46179</v>
      </c>
      <c r="H2618" s="12" t="n">
        <v>46177</v>
      </c>
      <c r="I2618" s="12" t="n">
        <v>46177</v>
      </c>
      <c r="J2618" s="12" t="n">
        <v>46178</v>
      </c>
      <c r="K2618" s="2" t="n">
        <v>1385</v>
      </c>
      <c r="L2618" s="2" t="inlineStr">
        <is>
          <t>Sea</t>
        </is>
      </c>
      <c r="M2618" s="2" t="inlineStr">
        <is>
          <t>No Delay</t>
        </is>
      </c>
      <c r="N2618" s="4">
        <f>IF(I2618&lt;=H2618,1,0)</f>
        <v/>
      </c>
      <c r="O2618" s="4">
        <f>IF(J2618&lt;=G2618,1,0)</f>
        <v/>
      </c>
      <c r="P2618" s="4">
        <f>MAX(0,I2618-H2618)</f>
        <v/>
      </c>
      <c r="Q2618" s="4">
        <f>MAX(0,J2618-G2618)</f>
        <v/>
      </c>
      <c r="R2618" s="4">
        <f>IF(AND(N2618=1,O2618=1),"On Track",IF(O2618=0,"Customer Delivery Late","Ship Late"))</f>
        <v/>
      </c>
    </row>
    <row r="2619">
      <c r="A2619" s="2" t="inlineStr">
        <is>
          <t>ORD-02618</t>
        </is>
      </c>
      <c r="B2619" s="2" t="inlineStr">
        <is>
          <t>Customer 22</t>
        </is>
      </c>
      <c r="C2619" s="2" t="inlineStr">
        <is>
          <t>Switchgear</t>
        </is>
      </c>
      <c r="D2619" s="2" t="inlineStr">
        <is>
          <t>Plant A</t>
        </is>
      </c>
      <c r="E2619" s="2" t="inlineStr">
        <is>
          <t>Export</t>
        </is>
      </c>
      <c r="F2619" s="12" t="n">
        <v>46174</v>
      </c>
      <c r="G2619" s="12" t="n">
        <v>46186</v>
      </c>
      <c r="H2619" s="12" t="n">
        <v>46181</v>
      </c>
      <c r="I2619" s="12" t="n">
        <v>46180</v>
      </c>
      <c r="J2619" s="12" t="n">
        <v>46186</v>
      </c>
      <c r="K2619" s="2" t="n">
        <v>25</v>
      </c>
      <c r="L2619" s="2" t="inlineStr">
        <is>
          <t>Sea</t>
        </is>
      </c>
      <c r="M2619" s="2" t="inlineStr">
        <is>
          <t>No Delay</t>
        </is>
      </c>
      <c r="N2619" s="4">
        <f>IF(I2619&lt;=H2619,1,0)</f>
        <v/>
      </c>
      <c r="O2619" s="4">
        <f>IF(J2619&lt;=G2619,1,0)</f>
        <v/>
      </c>
      <c r="P2619" s="4">
        <f>MAX(0,I2619-H2619)</f>
        <v/>
      </c>
      <c r="Q2619" s="4">
        <f>MAX(0,J2619-G2619)</f>
        <v/>
      </c>
      <c r="R2619" s="4">
        <f>IF(AND(N2619=1,O2619=1),"On Track",IF(O2619=0,"Customer Delivery Late","Ship Late"))</f>
        <v/>
      </c>
    </row>
    <row r="2620">
      <c r="A2620" s="2" t="inlineStr">
        <is>
          <t>ORD-02619</t>
        </is>
      </c>
      <c r="B2620" s="2" t="inlineStr">
        <is>
          <t>Customer 28</t>
        </is>
      </c>
      <c r="C2620" s="2" t="inlineStr">
        <is>
          <t>Drive</t>
        </is>
      </c>
      <c r="D2620" s="2" t="inlineStr">
        <is>
          <t>Plant A</t>
        </is>
      </c>
      <c r="E2620" s="2" t="inlineStr">
        <is>
          <t>Export</t>
        </is>
      </c>
      <c r="F2620" s="12" t="n">
        <v>46025</v>
      </c>
      <c r="G2620" s="12" t="n">
        <v>46050</v>
      </c>
      <c r="H2620" s="12" t="n">
        <v>46047</v>
      </c>
      <c r="I2620" s="12" t="n">
        <v>46045</v>
      </c>
      <c r="J2620" s="12" t="n">
        <v>46048</v>
      </c>
      <c r="K2620" s="2" t="n">
        <v>1447</v>
      </c>
      <c r="L2620" s="2" t="inlineStr">
        <is>
          <t>Road</t>
        </is>
      </c>
      <c r="M2620" s="2" t="inlineStr">
        <is>
          <t>No Delay</t>
        </is>
      </c>
      <c r="N2620" s="4">
        <f>IF(I2620&lt;=H2620,1,0)</f>
        <v/>
      </c>
      <c r="O2620" s="4">
        <f>IF(J2620&lt;=G2620,1,0)</f>
        <v/>
      </c>
      <c r="P2620" s="4">
        <f>MAX(0,I2620-H2620)</f>
        <v/>
      </c>
      <c r="Q2620" s="4">
        <f>MAX(0,J2620-G2620)</f>
        <v/>
      </c>
      <c r="R2620" s="4">
        <f>IF(AND(N2620=1,O2620=1),"On Track",IF(O2620=0,"Customer Delivery Late","Ship Late"))</f>
        <v/>
      </c>
    </row>
    <row r="2621">
      <c r="A2621" s="2" t="inlineStr">
        <is>
          <t>ORD-02620</t>
        </is>
      </c>
      <c r="B2621" s="2" t="inlineStr">
        <is>
          <t>Customer 03</t>
        </is>
      </c>
      <c r="C2621" s="2" t="inlineStr">
        <is>
          <t>PLC</t>
        </is>
      </c>
      <c r="D2621" s="2" t="inlineStr">
        <is>
          <t>Plant B</t>
        </is>
      </c>
      <c r="E2621" s="2" t="inlineStr">
        <is>
          <t>South</t>
        </is>
      </c>
      <c r="F2621" s="12" t="n">
        <v>46176</v>
      </c>
      <c r="G2621" s="12" t="n">
        <v>46194</v>
      </c>
      <c r="H2621" s="12" t="n">
        <v>46193</v>
      </c>
      <c r="I2621" s="12" t="n">
        <v>46193</v>
      </c>
      <c r="J2621" s="12" t="n">
        <v>46194</v>
      </c>
      <c r="K2621" s="2" t="n">
        <v>344</v>
      </c>
      <c r="L2621" s="2" t="inlineStr">
        <is>
          <t>Road</t>
        </is>
      </c>
      <c r="M2621" s="2" t="inlineStr">
        <is>
          <t>No Delay</t>
        </is>
      </c>
      <c r="N2621" s="4">
        <f>IF(I2621&lt;=H2621,1,0)</f>
        <v/>
      </c>
      <c r="O2621" s="4">
        <f>IF(J2621&lt;=G2621,1,0)</f>
        <v/>
      </c>
      <c r="P2621" s="4">
        <f>MAX(0,I2621-H2621)</f>
        <v/>
      </c>
      <c r="Q2621" s="4">
        <f>MAX(0,J2621-G2621)</f>
        <v/>
      </c>
      <c r="R2621" s="4">
        <f>IF(AND(N2621=1,O2621=1),"On Track",IF(O2621=0,"Customer Delivery Late","Ship Late"))</f>
        <v/>
      </c>
    </row>
    <row r="2622">
      <c r="A2622" s="2" t="inlineStr">
        <is>
          <t>ORD-02621</t>
        </is>
      </c>
      <c r="B2622" s="2" t="inlineStr">
        <is>
          <t>Customer 03</t>
        </is>
      </c>
      <c r="C2622" s="2" t="inlineStr">
        <is>
          <t>Switchgear</t>
        </is>
      </c>
      <c r="D2622" s="2" t="inlineStr">
        <is>
          <t>Plant B</t>
        </is>
      </c>
      <c r="E2622" s="2" t="inlineStr">
        <is>
          <t>South</t>
        </is>
      </c>
      <c r="F2622" s="12" t="n">
        <v>46033</v>
      </c>
      <c r="G2622" s="12" t="n">
        <v>46056</v>
      </c>
      <c r="H2622" s="12" t="n">
        <v>46053</v>
      </c>
      <c r="I2622" s="12" t="n">
        <v>46051</v>
      </c>
      <c r="J2622" s="12" t="n">
        <v>46054</v>
      </c>
      <c r="K2622" s="2" t="n">
        <v>1079</v>
      </c>
      <c r="L2622" s="2" t="inlineStr">
        <is>
          <t>Sea</t>
        </is>
      </c>
      <c r="M2622" s="2" t="inlineStr">
        <is>
          <t>No Delay</t>
        </is>
      </c>
      <c r="N2622" s="4">
        <f>IF(I2622&lt;=H2622,1,0)</f>
        <v/>
      </c>
      <c r="O2622" s="4">
        <f>IF(J2622&lt;=G2622,1,0)</f>
        <v/>
      </c>
      <c r="P2622" s="4">
        <f>MAX(0,I2622-H2622)</f>
        <v/>
      </c>
      <c r="Q2622" s="4">
        <f>MAX(0,J2622-G2622)</f>
        <v/>
      </c>
      <c r="R2622" s="4">
        <f>IF(AND(N2622=1,O2622=1),"On Track",IF(O2622=0,"Customer Delivery Late","Ship Late"))</f>
        <v/>
      </c>
    </row>
    <row r="2623">
      <c r="A2623" s="2" t="inlineStr">
        <is>
          <t>ORD-02622</t>
        </is>
      </c>
      <c r="B2623" s="2" t="inlineStr">
        <is>
          <t>Customer 03</t>
        </is>
      </c>
      <c r="C2623" s="2" t="inlineStr">
        <is>
          <t>Relay</t>
        </is>
      </c>
      <c r="D2623" s="2" t="inlineStr">
        <is>
          <t>Plant B</t>
        </is>
      </c>
      <c r="E2623" s="2" t="inlineStr">
        <is>
          <t>Central</t>
        </is>
      </c>
      <c r="F2623" s="12" t="n">
        <v>46112</v>
      </c>
      <c r="G2623" s="12" t="n">
        <v>46129</v>
      </c>
      <c r="H2623" s="12" t="n">
        <v>46127</v>
      </c>
      <c r="I2623" s="12" t="n">
        <v>46126</v>
      </c>
      <c r="J2623" s="12" t="n">
        <v>46128</v>
      </c>
      <c r="K2623" s="2" t="n">
        <v>1486</v>
      </c>
      <c r="L2623" s="2" t="inlineStr">
        <is>
          <t>Road</t>
        </is>
      </c>
      <c r="M2623" s="2" t="inlineStr">
        <is>
          <t>No Delay</t>
        </is>
      </c>
      <c r="N2623" s="4">
        <f>IF(I2623&lt;=H2623,1,0)</f>
        <v/>
      </c>
      <c r="O2623" s="4">
        <f>IF(J2623&lt;=G2623,1,0)</f>
        <v/>
      </c>
      <c r="P2623" s="4">
        <f>MAX(0,I2623-H2623)</f>
        <v/>
      </c>
      <c r="Q2623" s="4">
        <f>MAX(0,J2623-G2623)</f>
        <v/>
      </c>
      <c r="R2623" s="4">
        <f>IF(AND(N2623=1,O2623=1),"On Track",IF(O2623=0,"Customer Delivery Late","Ship Late"))</f>
        <v/>
      </c>
    </row>
    <row r="2624">
      <c r="A2624" s="2" t="inlineStr">
        <is>
          <t>ORD-02623</t>
        </is>
      </c>
      <c r="B2624" s="2" t="inlineStr">
        <is>
          <t>Customer 03</t>
        </is>
      </c>
      <c r="C2624" s="2" t="inlineStr">
        <is>
          <t>Relay</t>
        </is>
      </c>
      <c r="D2624" s="2" t="inlineStr">
        <is>
          <t>Plant A</t>
        </is>
      </c>
      <c r="E2624" s="2" t="inlineStr">
        <is>
          <t>North</t>
        </is>
      </c>
      <c r="F2624" s="12" t="n">
        <v>46189</v>
      </c>
      <c r="G2624" s="12" t="n">
        <v>46201</v>
      </c>
      <c r="H2624" s="12" t="n">
        <v>46200</v>
      </c>
      <c r="I2624" s="12" t="n">
        <v>46206</v>
      </c>
      <c r="J2624" s="12" t="n">
        <v>46207</v>
      </c>
      <c r="K2624" s="2" t="n">
        <v>1145</v>
      </c>
      <c r="L2624" s="2" t="inlineStr">
        <is>
          <t>Air</t>
        </is>
      </c>
      <c r="M2624" s="2" t="inlineStr">
        <is>
          <t>Customer Change</t>
        </is>
      </c>
      <c r="N2624" s="4">
        <f>IF(I2624&lt;=H2624,1,0)</f>
        <v/>
      </c>
      <c r="O2624" s="4">
        <f>IF(J2624&lt;=G2624,1,0)</f>
        <v/>
      </c>
      <c r="P2624" s="4">
        <f>MAX(0,I2624-H2624)</f>
        <v/>
      </c>
      <c r="Q2624" s="4">
        <f>MAX(0,J2624-G2624)</f>
        <v/>
      </c>
      <c r="R2624" s="4">
        <f>IF(AND(N2624=1,O2624=1),"On Track",IF(O2624=0,"Customer Delivery Late","Ship Late"))</f>
        <v/>
      </c>
    </row>
    <row r="2625">
      <c r="A2625" s="2" t="inlineStr">
        <is>
          <t>ORD-02624</t>
        </is>
      </c>
      <c r="B2625" s="2" t="inlineStr">
        <is>
          <t>Customer 20</t>
        </is>
      </c>
      <c r="C2625" s="2" t="inlineStr">
        <is>
          <t>PLC</t>
        </is>
      </c>
      <c r="D2625" s="2" t="inlineStr">
        <is>
          <t>Plant A</t>
        </is>
      </c>
      <c r="E2625" s="2" t="inlineStr">
        <is>
          <t>North</t>
        </is>
      </c>
      <c r="F2625" s="12" t="n">
        <v>46035</v>
      </c>
      <c r="G2625" s="12" t="n">
        <v>46060</v>
      </c>
      <c r="H2625" s="12" t="n">
        <v>46059</v>
      </c>
      <c r="I2625" s="12" t="n">
        <v>46057</v>
      </c>
      <c r="J2625" s="12" t="n">
        <v>46058</v>
      </c>
      <c r="K2625" s="2" t="n">
        <v>382</v>
      </c>
      <c r="L2625" s="2" t="inlineStr">
        <is>
          <t>Air</t>
        </is>
      </c>
      <c r="M2625" s="2" t="inlineStr">
        <is>
          <t>No Delay</t>
        </is>
      </c>
      <c r="N2625" s="4">
        <f>IF(I2625&lt;=H2625,1,0)</f>
        <v/>
      </c>
      <c r="O2625" s="4">
        <f>IF(J2625&lt;=G2625,1,0)</f>
        <v/>
      </c>
      <c r="P2625" s="4">
        <f>MAX(0,I2625-H2625)</f>
        <v/>
      </c>
      <c r="Q2625" s="4">
        <f>MAX(0,J2625-G2625)</f>
        <v/>
      </c>
      <c r="R2625" s="4">
        <f>IF(AND(N2625=1,O2625=1),"On Track",IF(O2625=0,"Customer Delivery Late","Ship Late"))</f>
        <v/>
      </c>
    </row>
    <row r="2626">
      <c r="A2626" s="2" t="inlineStr">
        <is>
          <t>ORD-02625</t>
        </is>
      </c>
      <c r="B2626" s="2" t="inlineStr">
        <is>
          <t>Customer 05</t>
        </is>
      </c>
      <c r="C2626" s="2" t="inlineStr">
        <is>
          <t>PLC</t>
        </is>
      </c>
      <c r="D2626" s="2" t="inlineStr">
        <is>
          <t>Plant A</t>
        </is>
      </c>
      <c r="E2626" s="2" t="inlineStr">
        <is>
          <t>South</t>
        </is>
      </c>
      <c r="F2626" s="12" t="n">
        <v>46114</v>
      </c>
      <c r="G2626" s="12" t="n">
        <v>46137</v>
      </c>
      <c r="H2626" s="12" t="n">
        <v>46132</v>
      </c>
      <c r="I2626" s="12" t="n">
        <v>46132</v>
      </c>
      <c r="J2626" s="12" t="n">
        <v>46136</v>
      </c>
      <c r="K2626" s="2" t="n">
        <v>1367</v>
      </c>
      <c r="L2626" s="2" t="inlineStr">
        <is>
          <t>Air</t>
        </is>
      </c>
      <c r="M2626" s="2" t="inlineStr">
        <is>
          <t>No Delay</t>
        </is>
      </c>
      <c r="N2626" s="4">
        <f>IF(I2626&lt;=H2626,1,0)</f>
        <v/>
      </c>
      <c r="O2626" s="4">
        <f>IF(J2626&lt;=G2626,1,0)</f>
        <v/>
      </c>
      <c r="P2626" s="4">
        <f>MAX(0,I2626-H2626)</f>
        <v/>
      </c>
      <c r="Q2626" s="4">
        <f>MAX(0,J2626-G2626)</f>
        <v/>
      </c>
      <c r="R2626" s="4">
        <f>IF(AND(N2626=1,O2626=1),"On Track",IF(O2626=0,"Customer Delivery Late","Ship Late"))</f>
        <v/>
      </c>
    </row>
    <row r="2627">
      <c r="A2627" s="2" t="inlineStr">
        <is>
          <t>ORD-02626</t>
        </is>
      </c>
      <c r="B2627" s="2" t="inlineStr">
        <is>
          <t>Customer 23</t>
        </is>
      </c>
      <c r="C2627" s="2" t="inlineStr">
        <is>
          <t>Power Supply</t>
        </is>
      </c>
      <c r="D2627" s="2" t="inlineStr">
        <is>
          <t>Plant C</t>
        </is>
      </c>
      <c r="E2627" s="2" t="inlineStr">
        <is>
          <t>North</t>
        </is>
      </c>
      <c r="F2627" s="12" t="n">
        <v>46176</v>
      </c>
      <c r="G2627" s="12" t="n">
        <v>46194</v>
      </c>
      <c r="H2627" s="12" t="n">
        <v>46189</v>
      </c>
      <c r="I2627" s="12" t="n">
        <v>46189</v>
      </c>
      <c r="J2627" s="12" t="n">
        <v>46193</v>
      </c>
      <c r="K2627" s="2" t="n">
        <v>1178</v>
      </c>
      <c r="L2627" s="2" t="inlineStr">
        <is>
          <t>Air</t>
        </is>
      </c>
      <c r="M2627" s="2" t="inlineStr">
        <is>
          <t>No Delay</t>
        </is>
      </c>
      <c r="N2627" s="4">
        <f>IF(I2627&lt;=H2627,1,0)</f>
        <v/>
      </c>
      <c r="O2627" s="4">
        <f>IF(J2627&lt;=G2627,1,0)</f>
        <v/>
      </c>
      <c r="P2627" s="4">
        <f>MAX(0,I2627-H2627)</f>
        <v/>
      </c>
      <c r="Q2627" s="4">
        <f>MAX(0,J2627-G2627)</f>
        <v/>
      </c>
      <c r="R2627" s="4">
        <f>IF(AND(N2627=1,O2627=1),"On Track",IF(O2627=0,"Customer Delivery Late","Ship Late"))</f>
        <v/>
      </c>
    </row>
    <row r="2628">
      <c r="A2628" s="2" t="inlineStr">
        <is>
          <t>ORD-02627</t>
        </is>
      </c>
      <c r="B2628" s="2" t="inlineStr">
        <is>
          <t>Customer 25</t>
        </is>
      </c>
      <c r="C2628" s="2" t="inlineStr">
        <is>
          <t>Breaker</t>
        </is>
      </c>
      <c r="D2628" s="2" t="inlineStr">
        <is>
          <t>Plant A</t>
        </is>
      </c>
      <c r="E2628" s="2" t="inlineStr">
        <is>
          <t>Export</t>
        </is>
      </c>
      <c r="F2628" s="12" t="n">
        <v>46163</v>
      </c>
      <c r="G2628" s="12" t="n">
        <v>46169</v>
      </c>
      <c r="H2628" s="12" t="n">
        <v>46166</v>
      </c>
      <c r="I2628" s="12" t="n">
        <v>46165</v>
      </c>
      <c r="J2628" s="12" t="n">
        <v>46167</v>
      </c>
      <c r="K2628" s="2" t="n">
        <v>22</v>
      </c>
      <c r="L2628" s="2" t="inlineStr">
        <is>
          <t>Sea</t>
        </is>
      </c>
      <c r="M2628" s="2" t="inlineStr">
        <is>
          <t>No Delay</t>
        </is>
      </c>
      <c r="N2628" s="4">
        <f>IF(I2628&lt;=H2628,1,0)</f>
        <v/>
      </c>
      <c r="O2628" s="4">
        <f>IF(J2628&lt;=G2628,1,0)</f>
        <v/>
      </c>
      <c r="P2628" s="4">
        <f>MAX(0,I2628-H2628)</f>
        <v/>
      </c>
      <c r="Q2628" s="4">
        <f>MAX(0,J2628-G2628)</f>
        <v/>
      </c>
      <c r="R2628" s="4">
        <f>IF(AND(N2628=1,O2628=1),"On Track",IF(O2628=0,"Customer Delivery Late","Ship Late"))</f>
        <v/>
      </c>
    </row>
    <row r="2629">
      <c r="A2629" s="2" t="inlineStr">
        <is>
          <t>ORD-02628</t>
        </is>
      </c>
      <c r="B2629" s="2" t="inlineStr">
        <is>
          <t>Customer 26</t>
        </is>
      </c>
      <c r="C2629" s="2" t="inlineStr">
        <is>
          <t>Power Supply</t>
        </is>
      </c>
      <c r="D2629" s="2" t="inlineStr">
        <is>
          <t>Plant A</t>
        </is>
      </c>
      <c r="E2629" s="2" t="inlineStr">
        <is>
          <t>North</t>
        </is>
      </c>
      <c r="F2629" s="12" t="n">
        <v>46054</v>
      </c>
      <c r="G2629" s="12" t="n">
        <v>46071</v>
      </c>
      <c r="H2629" s="12" t="n">
        <v>46068</v>
      </c>
      <c r="I2629" s="12" t="n">
        <v>46068</v>
      </c>
      <c r="J2629" s="12" t="n">
        <v>46071</v>
      </c>
      <c r="K2629" s="2" t="n">
        <v>1426</v>
      </c>
      <c r="L2629" s="2" t="inlineStr">
        <is>
          <t>Sea</t>
        </is>
      </c>
      <c r="M2629" s="2" t="inlineStr">
        <is>
          <t>No Delay</t>
        </is>
      </c>
      <c r="N2629" s="4">
        <f>IF(I2629&lt;=H2629,1,0)</f>
        <v/>
      </c>
      <c r="O2629" s="4">
        <f>IF(J2629&lt;=G2629,1,0)</f>
        <v/>
      </c>
      <c r="P2629" s="4">
        <f>MAX(0,I2629-H2629)</f>
        <v/>
      </c>
      <c r="Q2629" s="4">
        <f>MAX(0,J2629-G2629)</f>
        <v/>
      </c>
      <c r="R2629" s="4">
        <f>IF(AND(N2629=1,O2629=1),"On Track",IF(O2629=0,"Customer Delivery Late","Ship Late"))</f>
        <v/>
      </c>
    </row>
    <row r="2630">
      <c r="A2630" s="2" t="inlineStr">
        <is>
          <t>ORD-02629</t>
        </is>
      </c>
      <c r="B2630" s="2" t="inlineStr">
        <is>
          <t>Customer 11</t>
        </is>
      </c>
      <c r="C2630" s="2" t="inlineStr">
        <is>
          <t>Sensor</t>
        </is>
      </c>
      <c r="D2630" s="2" t="inlineStr">
        <is>
          <t>Plant B</t>
        </is>
      </c>
      <c r="E2630" s="2" t="inlineStr">
        <is>
          <t>South</t>
        </is>
      </c>
      <c r="F2630" s="12" t="n">
        <v>46150</v>
      </c>
      <c r="G2630" s="12" t="n">
        <v>46158</v>
      </c>
      <c r="H2630" s="12" t="n">
        <v>46155</v>
      </c>
      <c r="I2630" s="12" t="n">
        <v>46155</v>
      </c>
      <c r="J2630" s="12" t="n">
        <v>46158</v>
      </c>
      <c r="K2630" s="2" t="n">
        <v>71</v>
      </c>
      <c r="L2630" s="2" t="inlineStr">
        <is>
          <t>Air</t>
        </is>
      </c>
      <c r="M2630" s="2" t="inlineStr">
        <is>
          <t>No Delay</t>
        </is>
      </c>
      <c r="N2630" s="4">
        <f>IF(I2630&lt;=H2630,1,0)</f>
        <v/>
      </c>
      <c r="O2630" s="4">
        <f>IF(J2630&lt;=G2630,1,0)</f>
        <v/>
      </c>
      <c r="P2630" s="4">
        <f>MAX(0,I2630-H2630)</f>
        <v/>
      </c>
      <c r="Q2630" s="4">
        <f>MAX(0,J2630-G2630)</f>
        <v/>
      </c>
      <c r="R2630" s="4">
        <f>IF(AND(N2630=1,O2630=1),"On Track",IF(O2630=0,"Customer Delivery Late","Ship Late"))</f>
        <v/>
      </c>
    </row>
    <row r="2631">
      <c r="A2631" s="2" t="inlineStr">
        <is>
          <t>ORD-02630</t>
        </is>
      </c>
      <c r="B2631" s="2" t="inlineStr">
        <is>
          <t>Customer 23</t>
        </is>
      </c>
      <c r="C2631" s="2" t="inlineStr">
        <is>
          <t>Switchgear</t>
        </is>
      </c>
      <c r="D2631" s="2" t="inlineStr">
        <is>
          <t>Plant B</t>
        </is>
      </c>
      <c r="E2631" s="2" t="inlineStr">
        <is>
          <t>South</t>
        </is>
      </c>
      <c r="F2631" s="12" t="n">
        <v>46025</v>
      </c>
      <c r="G2631" s="12" t="n">
        <v>46048</v>
      </c>
      <c r="H2631" s="12" t="n">
        <v>46045</v>
      </c>
      <c r="I2631" s="12" t="n">
        <v>46045</v>
      </c>
      <c r="J2631" s="12" t="n">
        <v>46048</v>
      </c>
      <c r="K2631" s="2" t="n">
        <v>825</v>
      </c>
      <c r="L2631" s="2" t="inlineStr">
        <is>
          <t>Air</t>
        </is>
      </c>
      <c r="M2631" s="2" t="inlineStr">
        <is>
          <t>No Delay</t>
        </is>
      </c>
      <c r="N2631" s="4">
        <f>IF(I2631&lt;=H2631,1,0)</f>
        <v/>
      </c>
      <c r="O2631" s="4">
        <f>IF(J2631&lt;=G2631,1,0)</f>
        <v/>
      </c>
      <c r="P2631" s="4">
        <f>MAX(0,I2631-H2631)</f>
        <v/>
      </c>
      <c r="Q2631" s="4">
        <f>MAX(0,J2631-G2631)</f>
        <v/>
      </c>
      <c r="R2631" s="4">
        <f>IF(AND(N2631=1,O2631=1),"On Track",IF(O2631=0,"Customer Delivery Late","Ship Late"))</f>
        <v/>
      </c>
    </row>
    <row r="2632">
      <c r="A2632" s="2" t="inlineStr">
        <is>
          <t>ORD-02631</t>
        </is>
      </c>
      <c r="B2632" s="2" t="inlineStr">
        <is>
          <t>Customer 09</t>
        </is>
      </c>
      <c r="C2632" s="2" t="inlineStr">
        <is>
          <t>Relay</t>
        </is>
      </c>
      <c r="D2632" s="2" t="inlineStr">
        <is>
          <t>Plant C</t>
        </is>
      </c>
      <c r="E2632" s="2" t="inlineStr">
        <is>
          <t>South</t>
        </is>
      </c>
      <c r="F2632" s="12" t="n">
        <v>46175</v>
      </c>
      <c r="G2632" s="12" t="n">
        <v>46197</v>
      </c>
      <c r="H2632" s="12" t="n">
        <v>46195</v>
      </c>
      <c r="I2632" s="12" t="n">
        <v>46195</v>
      </c>
      <c r="J2632" s="12" t="n">
        <v>46198</v>
      </c>
      <c r="K2632" s="2" t="n">
        <v>170</v>
      </c>
      <c r="L2632" s="2" t="inlineStr">
        <is>
          <t>Air</t>
        </is>
      </c>
      <c r="M2632" s="2" t="inlineStr">
        <is>
          <t>Documentation Issue</t>
        </is>
      </c>
      <c r="N2632" s="4">
        <f>IF(I2632&lt;=H2632,1,0)</f>
        <v/>
      </c>
      <c r="O2632" s="4">
        <f>IF(J2632&lt;=G2632,1,0)</f>
        <v/>
      </c>
      <c r="P2632" s="4">
        <f>MAX(0,I2632-H2632)</f>
        <v/>
      </c>
      <c r="Q2632" s="4">
        <f>MAX(0,J2632-G2632)</f>
        <v/>
      </c>
      <c r="R2632" s="4">
        <f>IF(AND(N2632=1,O2632=1),"On Track",IF(O2632=0,"Customer Delivery Late","Ship Late"))</f>
        <v/>
      </c>
    </row>
    <row r="2633">
      <c r="A2633" s="2" t="inlineStr">
        <is>
          <t>ORD-02632</t>
        </is>
      </c>
      <c r="B2633" s="2" t="inlineStr">
        <is>
          <t>Customer 06</t>
        </is>
      </c>
      <c r="C2633" s="2" t="inlineStr">
        <is>
          <t>Drive</t>
        </is>
      </c>
      <c r="D2633" s="2" t="inlineStr">
        <is>
          <t>Plant A</t>
        </is>
      </c>
      <c r="E2633" s="2" t="inlineStr">
        <is>
          <t>South</t>
        </is>
      </c>
      <c r="F2633" s="12" t="n">
        <v>46059</v>
      </c>
      <c r="G2633" s="12" t="n">
        <v>46083</v>
      </c>
      <c r="H2633" s="12" t="n">
        <v>46082</v>
      </c>
      <c r="I2633" s="12" t="n">
        <v>46081</v>
      </c>
      <c r="J2633" s="12" t="n">
        <v>46082</v>
      </c>
      <c r="K2633" s="2" t="n">
        <v>940</v>
      </c>
      <c r="L2633" s="2" t="inlineStr">
        <is>
          <t>Air</t>
        </is>
      </c>
      <c r="M2633" s="2" t="inlineStr">
        <is>
          <t>No Delay</t>
        </is>
      </c>
      <c r="N2633" s="4">
        <f>IF(I2633&lt;=H2633,1,0)</f>
        <v/>
      </c>
      <c r="O2633" s="4">
        <f>IF(J2633&lt;=G2633,1,0)</f>
        <v/>
      </c>
      <c r="P2633" s="4">
        <f>MAX(0,I2633-H2633)</f>
        <v/>
      </c>
      <c r="Q2633" s="4">
        <f>MAX(0,J2633-G2633)</f>
        <v/>
      </c>
      <c r="R2633" s="4">
        <f>IF(AND(N2633=1,O2633=1),"On Track",IF(O2633=0,"Customer Delivery Late","Ship Late"))</f>
        <v/>
      </c>
    </row>
    <row r="2634">
      <c r="A2634" s="2" t="inlineStr">
        <is>
          <t>ORD-02633</t>
        </is>
      </c>
      <c r="B2634" s="2" t="inlineStr">
        <is>
          <t>Customer 28</t>
        </is>
      </c>
      <c r="C2634" s="2" t="inlineStr">
        <is>
          <t>Sensor</t>
        </is>
      </c>
      <c r="D2634" s="2" t="inlineStr">
        <is>
          <t>Plant B</t>
        </is>
      </c>
      <c r="E2634" s="2" t="inlineStr">
        <is>
          <t>Central</t>
        </is>
      </c>
      <c r="F2634" s="12" t="n">
        <v>46122</v>
      </c>
      <c r="G2634" s="12" t="n">
        <v>46146</v>
      </c>
      <c r="H2634" s="12" t="n">
        <v>46145</v>
      </c>
      <c r="I2634" s="12" t="n">
        <v>46144</v>
      </c>
      <c r="J2634" s="12" t="n">
        <v>46145</v>
      </c>
      <c r="K2634" s="2" t="n">
        <v>1084</v>
      </c>
      <c r="L2634" s="2" t="inlineStr">
        <is>
          <t>Sea</t>
        </is>
      </c>
      <c r="M2634" s="2" t="inlineStr">
        <is>
          <t>No Delay</t>
        </is>
      </c>
      <c r="N2634" s="4">
        <f>IF(I2634&lt;=H2634,1,0)</f>
        <v/>
      </c>
      <c r="O2634" s="4">
        <f>IF(J2634&lt;=G2634,1,0)</f>
        <v/>
      </c>
      <c r="P2634" s="4">
        <f>MAX(0,I2634-H2634)</f>
        <v/>
      </c>
      <c r="Q2634" s="4">
        <f>MAX(0,J2634-G2634)</f>
        <v/>
      </c>
      <c r="R2634" s="4">
        <f>IF(AND(N2634=1,O2634=1),"On Track",IF(O2634=0,"Customer Delivery Late","Ship Late"))</f>
        <v/>
      </c>
    </row>
    <row r="2635">
      <c r="A2635" s="2" t="inlineStr">
        <is>
          <t>ORD-02634</t>
        </is>
      </c>
      <c r="B2635" s="2" t="inlineStr">
        <is>
          <t>Customer 26</t>
        </is>
      </c>
      <c r="C2635" s="2" t="inlineStr">
        <is>
          <t>Power Supply</t>
        </is>
      </c>
      <c r="D2635" s="2" t="inlineStr">
        <is>
          <t>Plant A</t>
        </is>
      </c>
      <c r="E2635" s="2" t="inlineStr">
        <is>
          <t>Export</t>
        </is>
      </c>
      <c r="F2635" s="12" t="n">
        <v>46125</v>
      </c>
      <c r="G2635" s="12" t="n">
        <v>46133</v>
      </c>
      <c r="H2635" s="12" t="n">
        <v>46129</v>
      </c>
      <c r="I2635" s="12" t="n">
        <v>46136</v>
      </c>
      <c r="J2635" s="12" t="n">
        <v>46141</v>
      </c>
      <c r="K2635" s="2" t="n">
        <v>804</v>
      </c>
      <c r="L2635" s="2" t="inlineStr">
        <is>
          <t>Road</t>
        </is>
      </c>
      <c r="M2635" s="2" t="inlineStr">
        <is>
          <t>Production Delay</t>
        </is>
      </c>
      <c r="N2635" s="4">
        <f>IF(I2635&lt;=H2635,1,0)</f>
        <v/>
      </c>
      <c r="O2635" s="4">
        <f>IF(J2635&lt;=G2635,1,0)</f>
        <v/>
      </c>
      <c r="P2635" s="4">
        <f>MAX(0,I2635-H2635)</f>
        <v/>
      </c>
      <c r="Q2635" s="4">
        <f>MAX(0,J2635-G2635)</f>
        <v/>
      </c>
      <c r="R2635" s="4">
        <f>IF(AND(N2635=1,O2635=1),"On Track",IF(O2635=0,"Customer Delivery Late","Ship Late"))</f>
        <v/>
      </c>
    </row>
    <row r="2636">
      <c r="A2636" s="2" t="inlineStr">
        <is>
          <t>ORD-02635</t>
        </is>
      </c>
      <c r="B2636" s="2" t="inlineStr">
        <is>
          <t>Customer 20</t>
        </is>
      </c>
      <c r="C2636" s="2" t="inlineStr">
        <is>
          <t>Relay</t>
        </is>
      </c>
      <c r="D2636" s="2" t="inlineStr">
        <is>
          <t>Plant B</t>
        </is>
      </c>
      <c r="E2636" s="2" t="inlineStr">
        <is>
          <t>Export</t>
        </is>
      </c>
      <c r="F2636" s="12" t="n">
        <v>46053</v>
      </c>
      <c r="G2636" s="12" t="n">
        <v>46070</v>
      </c>
      <c r="H2636" s="12" t="n">
        <v>46066</v>
      </c>
      <c r="I2636" s="12" t="n">
        <v>46066</v>
      </c>
      <c r="J2636" s="12" t="n">
        <v>46072</v>
      </c>
      <c r="K2636" s="2" t="n">
        <v>1133</v>
      </c>
      <c r="L2636" s="2" t="inlineStr">
        <is>
          <t>Sea</t>
        </is>
      </c>
      <c r="M2636" s="2" t="inlineStr">
        <is>
          <t>Carrier Delay</t>
        </is>
      </c>
      <c r="N2636" s="4">
        <f>IF(I2636&lt;=H2636,1,0)</f>
        <v/>
      </c>
      <c r="O2636" s="4">
        <f>IF(J2636&lt;=G2636,1,0)</f>
        <v/>
      </c>
      <c r="P2636" s="4">
        <f>MAX(0,I2636-H2636)</f>
        <v/>
      </c>
      <c r="Q2636" s="4">
        <f>MAX(0,J2636-G2636)</f>
        <v/>
      </c>
      <c r="R2636" s="4">
        <f>IF(AND(N2636=1,O2636=1),"On Track",IF(O2636=0,"Customer Delivery Late","Ship Late"))</f>
        <v/>
      </c>
    </row>
    <row r="2637">
      <c r="A2637" s="2" t="inlineStr">
        <is>
          <t>ORD-02636</t>
        </is>
      </c>
      <c r="B2637" s="2" t="inlineStr">
        <is>
          <t>Customer 27</t>
        </is>
      </c>
      <c r="C2637" s="2" t="inlineStr">
        <is>
          <t>Switchgear</t>
        </is>
      </c>
      <c r="D2637" s="2" t="inlineStr">
        <is>
          <t>Plant C</t>
        </is>
      </c>
      <c r="E2637" s="2" t="inlineStr">
        <is>
          <t>Export</t>
        </is>
      </c>
      <c r="F2637" s="12" t="n">
        <v>46184</v>
      </c>
      <c r="G2637" s="12" t="n">
        <v>46202</v>
      </c>
      <c r="H2637" s="12" t="n">
        <v>46198</v>
      </c>
      <c r="I2637" s="12" t="n">
        <v>46196</v>
      </c>
      <c r="J2637" s="12" t="n">
        <v>46200</v>
      </c>
      <c r="K2637" s="2" t="n">
        <v>1410</v>
      </c>
      <c r="L2637" s="2" t="inlineStr">
        <is>
          <t>Air</t>
        </is>
      </c>
      <c r="M2637" s="2" t="inlineStr">
        <is>
          <t>No Delay</t>
        </is>
      </c>
      <c r="N2637" s="4">
        <f>IF(I2637&lt;=H2637,1,0)</f>
        <v/>
      </c>
      <c r="O2637" s="4">
        <f>IF(J2637&lt;=G2637,1,0)</f>
        <v/>
      </c>
      <c r="P2637" s="4">
        <f>MAX(0,I2637-H2637)</f>
        <v/>
      </c>
      <c r="Q2637" s="4">
        <f>MAX(0,J2637-G2637)</f>
        <v/>
      </c>
      <c r="R2637" s="4">
        <f>IF(AND(N2637=1,O2637=1),"On Track",IF(O2637=0,"Customer Delivery Late","Ship Late"))</f>
        <v/>
      </c>
    </row>
    <row r="2638">
      <c r="A2638" s="2" t="inlineStr">
        <is>
          <t>ORD-02637</t>
        </is>
      </c>
      <c r="B2638" s="2" t="inlineStr">
        <is>
          <t>Customer 05</t>
        </is>
      </c>
      <c r="C2638" s="2" t="inlineStr">
        <is>
          <t>Drive</t>
        </is>
      </c>
      <c r="D2638" s="2" t="inlineStr">
        <is>
          <t>Plant A</t>
        </is>
      </c>
      <c r="E2638" s="2" t="inlineStr">
        <is>
          <t>South</t>
        </is>
      </c>
      <c r="F2638" s="12" t="n">
        <v>46034</v>
      </c>
      <c r="G2638" s="12" t="n">
        <v>46044</v>
      </c>
      <c r="H2638" s="12" t="n">
        <v>46043</v>
      </c>
      <c r="I2638" s="12" t="n">
        <v>46042</v>
      </c>
      <c r="J2638" s="12" t="n">
        <v>46043</v>
      </c>
      <c r="K2638" s="2" t="n">
        <v>377</v>
      </c>
      <c r="L2638" s="2" t="inlineStr">
        <is>
          <t>Road</t>
        </is>
      </c>
      <c r="M2638" s="2" t="inlineStr">
        <is>
          <t>No Delay</t>
        </is>
      </c>
      <c r="N2638" s="4">
        <f>IF(I2638&lt;=H2638,1,0)</f>
        <v/>
      </c>
      <c r="O2638" s="4">
        <f>IF(J2638&lt;=G2638,1,0)</f>
        <v/>
      </c>
      <c r="P2638" s="4">
        <f>MAX(0,I2638-H2638)</f>
        <v/>
      </c>
      <c r="Q2638" s="4">
        <f>MAX(0,J2638-G2638)</f>
        <v/>
      </c>
      <c r="R2638" s="4">
        <f>IF(AND(N2638=1,O2638=1),"On Track",IF(O2638=0,"Customer Delivery Late","Ship Late"))</f>
        <v/>
      </c>
    </row>
    <row r="2639">
      <c r="A2639" s="2" t="inlineStr">
        <is>
          <t>ORD-02638</t>
        </is>
      </c>
      <c r="B2639" s="2" t="inlineStr">
        <is>
          <t>Customer 24</t>
        </is>
      </c>
      <c r="C2639" s="2" t="inlineStr">
        <is>
          <t>Sensor</t>
        </is>
      </c>
      <c r="D2639" s="2" t="inlineStr">
        <is>
          <t>Plant C</t>
        </is>
      </c>
      <c r="E2639" s="2" t="inlineStr">
        <is>
          <t>Export</t>
        </is>
      </c>
      <c r="F2639" s="12" t="n">
        <v>46110</v>
      </c>
      <c r="G2639" s="12" t="n">
        <v>46119</v>
      </c>
      <c r="H2639" s="12" t="n">
        <v>46116</v>
      </c>
      <c r="I2639" s="12" t="n">
        <v>46115</v>
      </c>
      <c r="J2639" s="12" t="n">
        <v>46117</v>
      </c>
      <c r="K2639" s="2" t="n">
        <v>138</v>
      </c>
      <c r="L2639" s="2" t="inlineStr">
        <is>
          <t>Air</t>
        </is>
      </c>
      <c r="M2639" s="2" t="inlineStr">
        <is>
          <t>No Delay</t>
        </is>
      </c>
      <c r="N2639" s="4">
        <f>IF(I2639&lt;=H2639,1,0)</f>
        <v/>
      </c>
      <c r="O2639" s="4">
        <f>IF(J2639&lt;=G2639,1,0)</f>
        <v/>
      </c>
      <c r="P2639" s="4">
        <f>MAX(0,I2639-H2639)</f>
        <v/>
      </c>
      <c r="Q2639" s="4">
        <f>MAX(0,J2639-G2639)</f>
        <v/>
      </c>
      <c r="R2639" s="4">
        <f>IF(AND(N2639=1,O2639=1),"On Track",IF(O2639=0,"Customer Delivery Late","Ship Late"))</f>
        <v/>
      </c>
    </row>
    <row r="2640">
      <c r="A2640" s="2" t="inlineStr">
        <is>
          <t>ORD-02639</t>
        </is>
      </c>
      <c r="B2640" s="2" t="inlineStr">
        <is>
          <t>Customer 29</t>
        </is>
      </c>
      <c r="C2640" s="2" t="inlineStr">
        <is>
          <t>PLC</t>
        </is>
      </c>
      <c r="D2640" s="2" t="inlineStr">
        <is>
          <t>Plant B</t>
        </is>
      </c>
      <c r="E2640" s="2" t="inlineStr">
        <is>
          <t>Central</t>
        </is>
      </c>
      <c r="F2640" s="12" t="n">
        <v>46069</v>
      </c>
      <c r="G2640" s="12" t="n">
        <v>46077</v>
      </c>
      <c r="H2640" s="12" t="n">
        <v>46074</v>
      </c>
      <c r="I2640" s="12" t="n">
        <v>46072</v>
      </c>
      <c r="J2640" s="12" t="n">
        <v>46080</v>
      </c>
      <c r="K2640" s="2" t="n">
        <v>189</v>
      </c>
      <c r="L2640" s="2" t="inlineStr">
        <is>
          <t>Road</t>
        </is>
      </c>
      <c r="M2640" s="2" t="inlineStr">
        <is>
          <t>Customer Change</t>
        </is>
      </c>
      <c r="N2640" s="4">
        <f>IF(I2640&lt;=H2640,1,0)</f>
        <v/>
      </c>
      <c r="O2640" s="4">
        <f>IF(J2640&lt;=G2640,1,0)</f>
        <v/>
      </c>
      <c r="P2640" s="4">
        <f>MAX(0,I2640-H2640)</f>
        <v/>
      </c>
      <c r="Q2640" s="4">
        <f>MAX(0,J2640-G2640)</f>
        <v/>
      </c>
      <c r="R2640" s="4">
        <f>IF(AND(N2640=1,O2640=1),"On Track",IF(O2640=0,"Customer Delivery Late","Ship Late"))</f>
        <v/>
      </c>
    </row>
    <row r="2641">
      <c r="A2641" s="2" t="inlineStr">
        <is>
          <t>ORD-02640</t>
        </is>
      </c>
      <c r="B2641" s="2" t="inlineStr">
        <is>
          <t>Customer 27</t>
        </is>
      </c>
      <c r="C2641" s="2" t="inlineStr">
        <is>
          <t>PLC</t>
        </is>
      </c>
      <c r="D2641" s="2" t="inlineStr">
        <is>
          <t>Plant B</t>
        </is>
      </c>
      <c r="E2641" s="2" t="inlineStr">
        <is>
          <t>Central</t>
        </is>
      </c>
      <c r="F2641" s="12" t="n">
        <v>46053</v>
      </c>
      <c r="G2641" s="12" t="n">
        <v>46074</v>
      </c>
      <c r="H2641" s="12" t="n">
        <v>46071</v>
      </c>
      <c r="I2641" s="12" t="n">
        <v>46070</v>
      </c>
      <c r="J2641" s="12" t="n">
        <v>46073</v>
      </c>
      <c r="K2641" s="2" t="n">
        <v>506</v>
      </c>
      <c r="L2641" s="2" t="inlineStr">
        <is>
          <t>Road</t>
        </is>
      </c>
      <c r="M2641" s="2" t="inlineStr">
        <is>
          <t>No Delay</t>
        </is>
      </c>
      <c r="N2641" s="4">
        <f>IF(I2641&lt;=H2641,1,0)</f>
        <v/>
      </c>
      <c r="O2641" s="4">
        <f>IF(J2641&lt;=G2641,1,0)</f>
        <v/>
      </c>
      <c r="P2641" s="4">
        <f>MAX(0,I2641-H2641)</f>
        <v/>
      </c>
      <c r="Q2641" s="4">
        <f>MAX(0,J2641-G2641)</f>
        <v/>
      </c>
      <c r="R2641" s="4">
        <f>IF(AND(N2641=1,O2641=1),"On Track",IF(O2641=0,"Customer Delivery Late","Ship Late"))</f>
        <v/>
      </c>
    </row>
    <row r="2642">
      <c r="A2642" s="2" t="inlineStr">
        <is>
          <t>ORD-02641</t>
        </is>
      </c>
      <c r="B2642" s="2" t="inlineStr">
        <is>
          <t>Customer 08</t>
        </is>
      </c>
      <c r="C2642" s="2" t="inlineStr">
        <is>
          <t>Contactor</t>
        </is>
      </c>
      <c r="D2642" s="2" t="inlineStr">
        <is>
          <t>Plant B</t>
        </is>
      </c>
      <c r="E2642" s="2" t="inlineStr">
        <is>
          <t>North</t>
        </is>
      </c>
      <c r="F2642" s="12" t="n">
        <v>46055</v>
      </c>
      <c r="G2642" s="12" t="n">
        <v>46063</v>
      </c>
      <c r="H2642" s="12" t="n">
        <v>46062</v>
      </c>
      <c r="I2642" s="12" t="n">
        <v>46060</v>
      </c>
      <c r="J2642" s="12" t="n">
        <v>46061</v>
      </c>
      <c r="K2642" s="2" t="n">
        <v>585</v>
      </c>
      <c r="L2642" s="2" t="inlineStr">
        <is>
          <t>Road</t>
        </is>
      </c>
      <c r="M2642" s="2" t="inlineStr">
        <is>
          <t>No Delay</t>
        </is>
      </c>
      <c r="N2642" s="4">
        <f>IF(I2642&lt;=H2642,1,0)</f>
        <v/>
      </c>
      <c r="O2642" s="4">
        <f>IF(J2642&lt;=G2642,1,0)</f>
        <v/>
      </c>
      <c r="P2642" s="4">
        <f>MAX(0,I2642-H2642)</f>
        <v/>
      </c>
      <c r="Q2642" s="4">
        <f>MAX(0,J2642-G2642)</f>
        <v/>
      </c>
      <c r="R2642" s="4">
        <f>IF(AND(N2642=1,O2642=1),"On Track",IF(O2642=0,"Customer Delivery Late","Ship Late"))</f>
        <v/>
      </c>
    </row>
    <row r="2643">
      <c r="A2643" s="2" t="inlineStr">
        <is>
          <t>ORD-02642</t>
        </is>
      </c>
      <c r="B2643" s="2" t="inlineStr">
        <is>
          <t>Customer 16</t>
        </is>
      </c>
      <c r="C2643" s="2" t="inlineStr">
        <is>
          <t>Relay</t>
        </is>
      </c>
      <c r="D2643" s="2" t="inlineStr">
        <is>
          <t>Plant C</t>
        </is>
      </c>
      <c r="E2643" s="2" t="inlineStr">
        <is>
          <t>South</t>
        </is>
      </c>
      <c r="F2643" s="12" t="n">
        <v>46160</v>
      </c>
      <c r="G2643" s="12" t="n">
        <v>46180</v>
      </c>
      <c r="H2643" s="12" t="n">
        <v>46175</v>
      </c>
      <c r="I2643" s="12" t="n">
        <v>46175</v>
      </c>
      <c r="J2643" s="12" t="n">
        <v>46180</v>
      </c>
      <c r="K2643" s="2" t="n">
        <v>102</v>
      </c>
      <c r="L2643" s="2" t="inlineStr">
        <is>
          <t>Road</t>
        </is>
      </c>
      <c r="M2643" s="2" t="inlineStr">
        <is>
          <t>No Delay</t>
        </is>
      </c>
      <c r="N2643" s="4">
        <f>IF(I2643&lt;=H2643,1,0)</f>
        <v/>
      </c>
      <c r="O2643" s="4">
        <f>IF(J2643&lt;=G2643,1,0)</f>
        <v/>
      </c>
      <c r="P2643" s="4">
        <f>MAX(0,I2643-H2643)</f>
        <v/>
      </c>
      <c r="Q2643" s="4">
        <f>MAX(0,J2643-G2643)</f>
        <v/>
      </c>
      <c r="R2643" s="4">
        <f>IF(AND(N2643=1,O2643=1),"On Track",IF(O2643=0,"Customer Delivery Late","Ship Late"))</f>
        <v/>
      </c>
    </row>
    <row r="2644">
      <c r="A2644" s="2" t="inlineStr">
        <is>
          <t>ORD-02643</t>
        </is>
      </c>
      <c r="B2644" s="2" t="inlineStr">
        <is>
          <t>Customer 20</t>
        </is>
      </c>
      <c r="C2644" s="2" t="inlineStr">
        <is>
          <t>Contactor</t>
        </is>
      </c>
      <c r="D2644" s="2" t="inlineStr">
        <is>
          <t>Plant C</t>
        </is>
      </c>
      <c r="E2644" s="2" t="inlineStr">
        <is>
          <t>North</t>
        </is>
      </c>
      <c r="F2644" s="12" t="n">
        <v>46047</v>
      </c>
      <c r="G2644" s="12" t="n">
        <v>46055</v>
      </c>
      <c r="H2644" s="12" t="n">
        <v>46051</v>
      </c>
      <c r="I2644" s="12" t="n">
        <v>46049</v>
      </c>
      <c r="J2644" s="12" t="n">
        <v>46052</v>
      </c>
      <c r="K2644" s="2" t="n">
        <v>1347</v>
      </c>
      <c r="L2644" s="2" t="inlineStr">
        <is>
          <t>Road</t>
        </is>
      </c>
      <c r="M2644" s="2" t="inlineStr">
        <is>
          <t>No Delay</t>
        </is>
      </c>
      <c r="N2644" s="4">
        <f>IF(I2644&lt;=H2644,1,0)</f>
        <v/>
      </c>
      <c r="O2644" s="4">
        <f>IF(J2644&lt;=G2644,1,0)</f>
        <v/>
      </c>
      <c r="P2644" s="4">
        <f>MAX(0,I2644-H2644)</f>
        <v/>
      </c>
      <c r="Q2644" s="4">
        <f>MAX(0,J2644-G2644)</f>
        <v/>
      </c>
      <c r="R2644" s="4">
        <f>IF(AND(N2644=1,O2644=1),"On Track",IF(O2644=0,"Customer Delivery Late","Ship Late"))</f>
        <v/>
      </c>
    </row>
    <row r="2645">
      <c r="A2645" s="2" t="inlineStr">
        <is>
          <t>ORD-02644</t>
        </is>
      </c>
      <c r="B2645" s="2" t="inlineStr">
        <is>
          <t>Customer 15</t>
        </is>
      </c>
      <c r="C2645" s="2" t="inlineStr">
        <is>
          <t>Power Supply</t>
        </is>
      </c>
      <c r="D2645" s="2" t="inlineStr">
        <is>
          <t>Plant A</t>
        </is>
      </c>
      <c r="E2645" s="2" t="inlineStr">
        <is>
          <t>South</t>
        </is>
      </c>
      <c r="F2645" s="12" t="n">
        <v>46033</v>
      </c>
      <c r="G2645" s="12" t="n">
        <v>46056</v>
      </c>
      <c r="H2645" s="12" t="n">
        <v>46052</v>
      </c>
      <c r="I2645" s="12" t="n">
        <v>46051</v>
      </c>
      <c r="J2645" s="12" t="n">
        <v>46055</v>
      </c>
      <c r="K2645" s="2" t="n">
        <v>750</v>
      </c>
      <c r="L2645" s="2" t="inlineStr">
        <is>
          <t>Sea</t>
        </is>
      </c>
      <c r="M2645" s="2" t="inlineStr">
        <is>
          <t>No Delay</t>
        </is>
      </c>
      <c r="N2645" s="4">
        <f>IF(I2645&lt;=H2645,1,0)</f>
        <v/>
      </c>
      <c r="O2645" s="4">
        <f>IF(J2645&lt;=G2645,1,0)</f>
        <v/>
      </c>
      <c r="P2645" s="4">
        <f>MAX(0,I2645-H2645)</f>
        <v/>
      </c>
      <c r="Q2645" s="4">
        <f>MAX(0,J2645-G2645)</f>
        <v/>
      </c>
      <c r="R2645" s="4">
        <f>IF(AND(N2645=1,O2645=1),"On Track",IF(O2645=0,"Customer Delivery Late","Ship Late"))</f>
        <v/>
      </c>
    </row>
    <row r="2646">
      <c r="A2646" s="2" t="inlineStr">
        <is>
          <t>ORD-02645</t>
        </is>
      </c>
      <c r="B2646" s="2" t="inlineStr">
        <is>
          <t>Customer 23</t>
        </is>
      </c>
      <c r="C2646" s="2" t="inlineStr">
        <is>
          <t>Sensor</t>
        </is>
      </c>
      <c r="D2646" s="2" t="inlineStr">
        <is>
          <t>Plant C</t>
        </is>
      </c>
      <c r="E2646" s="2" t="inlineStr">
        <is>
          <t>Central</t>
        </is>
      </c>
      <c r="F2646" s="12" t="n">
        <v>46144</v>
      </c>
      <c r="G2646" s="12" t="n">
        <v>46163</v>
      </c>
      <c r="H2646" s="12" t="n">
        <v>46160</v>
      </c>
      <c r="I2646" s="12" t="n">
        <v>46159</v>
      </c>
      <c r="J2646" s="12" t="n">
        <v>46162</v>
      </c>
      <c r="K2646" s="2" t="n">
        <v>410</v>
      </c>
      <c r="L2646" s="2" t="inlineStr">
        <is>
          <t>Sea</t>
        </is>
      </c>
      <c r="M2646" s="2" t="inlineStr">
        <is>
          <t>No Delay</t>
        </is>
      </c>
      <c r="N2646" s="4">
        <f>IF(I2646&lt;=H2646,1,0)</f>
        <v/>
      </c>
      <c r="O2646" s="4">
        <f>IF(J2646&lt;=G2646,1,0)</f>
        <v/>
      </c>
      <c r="P2646" s="4">
        <f>MAX(0,I2646-H2646)</f>
        <v/>
      </c>
      <c r="Q2646" s="4">
        <f>MAX(0,J2646-G2646)</f>
        <v/>
      </c>
      <c r="R2646" s="4">
        <f>IF(AND(N2646=1,O2646=1),"On Track",IF(O2646=0,"Customer Delivery Late","Ship Late"))</f>
        <v/>
      </c>
    </row>
    <row r="2647">
      <c r="A2647" s="2" t="inlineStr">
        <is>
          <t>ORD-02646</t>
        </is>
      </c>
      <c r="B2647" s="2" t="inlineStr">
        <is>
          <t>Customer 07</t>
        </is>
      </c>
      <c r="C2647" s="2" t="inlineStr">
        <is>
          <t>Drive</t>
        </is>
      </c>
      <c r="D2647" s="2" t="inlineStr">
        <is>
          <t>Plant A</t>
        </is>
      </c>
      <c r="E2647" s="2" t="inlineStr">
        <is>
          <t>North</t>
        </is>
      </c>
      <c r="F2647" s="12" t="n">
        <v>46149</v>
      </c>
      <c r="G2647" s="12" t="n">
        <v>46174</v>
      </c>
      <c r="H2647" s="12" t="n">
        <v>46172</v>
      </c>
      <c r="I2647" s="12" t="n">
        <v>46171</v>
      </c>
      <c r="J2647" s="12" t="n">
        <v>46173</v>
      </c>
      <c r="K2647" s="2" t="n">
        <v>964</v>
      </c>
      <c r="L2647" s="2" t="inlineStr">
        <is>
          <t>Sea</t>
        </is>
      </c>
      <c r="M2647" s="2" t="inlineStr">
        <is>
          <t>No Delay</t>
        </is>
      </c>
      <c r="N2647" s="4">
        <f>IF(I2647&lt;=H2647,1,0)</f>
        <v/>
      </c>
      <c r="O2647" s="4">
        <f>IF(J2647&lt;=G2647,1,0)</f>
        <v/>
      </c>
      <c r="P2647" s="4">
        <f>MAX(0,I2647-H2647)</f>
        <v/>
      </c>
      <c r="Q2647" s="4">
        <f>MAX(0,J2647-G2647)</f>
        <v/>
      </c>
      <c r="R2647" s="4">
        <f>IF(AND(N2647=1,O2647=1),"On Track",IF(O2647=0,"Customer Delivery Late","Ship Late"))</f>
        <v/>
      </c>
    </row>
    <row r="2648">
      <c r="A2648" s="2" t="inlineStr">
        <is>
          <t>ORD-02647</t>
        </is>
      </c>
      <c r="B2648" s="2" t="inlineStr">
        <is>
          <t>Customer 12</t>
        </is>
      </c>
      <c r="C2648" s="2" t="inlineStr">
        <is>
          <t>PLC</t>
        </is>
      </c>
      <c r="D2648" s="2" t="inlineStr">
        <is>
          <t>Plant C</t>
        </is>
      </c>
      <c r="E2648" s="2" t="inlineStr">
        <is>
          <t>Central</t>
        </is>
      </c>
      <c r="F2648" s="12" t="n">
        <v>46196</v>
      </c>
      <c r="G2648" s="12" t="n">
        <v>46218</v>
      </c>
      <c r="H2648" s="12" t="n">
        <v>46216</v>
      </c>
      <c r="I2648" s="12" t="n">
        <v>46215</v>
      </c>
      <c r="J2648" s="12" t="n">
        <v>46217</v>
      </c>
      <c r="K2648" s="2" t="n">
        <v>1056</v>
      </c>
      <c r="L2648" s="2" t="inlineStr">
        <is>
          <t>Air</t>
        </is>
      </c>
      <c r="M2648" s="2" t="inlineStr">
        <is>
          <t>No Delay</t>
        </is>
      </c>
      <c r="N2648" s="4">
        <f>IF(I2648&lt;=H2648,1,0)</f>
        <v/>
      </c>
      <c r="O2648" s="4">
        <f>IF(J2648&lt;=G2648,1,0)</f>
        <v/>
      </c>
      <c r="P2648" s="4">
        <f>MAX(0,I2648-H2648)</f>
        <v/>
      </c>
      <c r="Q2648" s="4">
        <f>MAX(0,J2648-G2648)</f>
        <v/>
      </c>
      <c r="R2648" s="4">
        <f>IF(AND(N2648=1,O2648=1),"On Track",IF(O2648=0,"Customer Delivery Late","Ship Late"))</f>
        <v/>
      </c>
    </row>
    <row r="2649">
      <c r="A2649" s="2" t="inlineStr">
        <is>
          <t>ORD-02648</t>
        </is>
      </c>
      <c r="B2649" s="2" t="inlineStr">
        <is>
          <t>Customer 23</t>
        </is>
      </c>
      <c r="C2649" s="2" t="inlineStr">
        <is>
          <t>Breaker</t>
        </is>
      </c>
      <c r="D2649" s="2" t="inlineStr">
        <is>
          <t>Plant C</t>
        </is>
      </c>
      <c r="E2649" s="2" t="inlineStr">
        <is>
          <t>Central</t>
        </is>
      </c>
      <c r="F2649" s="12" t="n">
        <v>46063</v>
      </c>
      <c r="G2649" s="12" t="n">
        <v>46068</v>
      </c>
      <c r="H2649" s="12" t="n">
        <v>46065</v>
      </c>
      <c r="I2649" s="12" t="n">
        <v>46064</v>
      </c>
      <c r="J2649" s="12" t="n">
        <v>46067</v>
      </c>
      <c r="K2649" s="2" t="n">
        <v>1116</v>
      </c>
      <c r="L2649" s="2" t="inlineStr">
        <is>
          <t>Sea</t>
        </is>
      </c>
      <c r="M2649" s="2" t="inlineStr">
        <is>
          <t>No Delay</t>
        </is>
      </c>
      <c r="N2649" s="4">
        <f>IF(I2649&lt;=H2649,1,0)</f>
        <v/>
      </c>
      <c r="O2649" s="4">
        <f>IF(J2649&lt;=G2649,1,0)</f>
        <v/>
      </c>
      <c r="P2649" s="4">
        <f>MAX(0,I2649-H2649)</f>
        <v/>
      </c>
      <c r="Q2649" s="4">
        <f>MAX(0,J2649-G2649)</f>
        <v/>
      </c>
      <c r="R2649" s="4">
        <f>IF(AND(N2649=1,O2649=1),"On Track",IF(O2649=0,"Customer Delivery Late","Ship Late"))</f>
        <v/>
      </c>
    </row>
    <row r="2650">
      <c r="A2650" s="2" t="inlineStr">
        <is>
          <t>ORD-02649</t>
        </is>
      </c>
      <c r="B2650" s="2" t="inlineStr">
        <is>
          <t>Customer 05</t>
        </is>
      </c>
      <c r="C2650" s="2" t="inlineStr">
        <is>
          <t>Breaker</t>
        </is>
      </c>
      <c r="D2650" s="2" t="inlineStr">
        <is>
          <t>Plant C</t>
        </is>
      </c>
      <c r="E2650" s="2" t="inlineStr">
        <is>
          <t>Export</t>
        </is>
      </c>
      <c r="F2650" s="12" t="n">
        <v>46149</v>
      </c>
      <c r="G2650" s="12" t="n">
        <v>46163</v>
      </c>
      <c r="H2650" s="12" t="n">
        <v>46160</v>
      </c>
      <c r="I2650" s="12" t="n">
        <v>46160</v>
      </c>
      <c r="J2650" s="12" t="n">
        <v>46162</v>
      </c>
      <c r="K2650" s="2" t="n">
        <v>651</v>
      </c>
      <c r="L2650" s="2" t="inlineStr">
        <is>
          <t>Road</t>
        </is>
      </c>
      <c r="M2650" s="2" t="inlineStr">
        <is>
          <t>No Delay</t>
        </is>
      </c>
      <c r="N2650" s="4">
        <f>IF(I2650&lt;=H2650,1,0)</f>
        <v/>
      </c>
      <c r="O2650" s="4">
        <f>IF(J2650&lt;=G2650,1,0)</f>
        <v/>
      </c>
      <c r="P2650" s="4">
        <f>MAX(0,I2650-H2650)</f>
        <v/>
      </c>
      <c r="Q2650" s="4">
        <f>MAX(0,J2650-G2650)</f>
        <v/>
      </c>
      <c r="R2650" s="4">
        <f>IF(AND(N2650=1,O2650=1),"On Track",IF(O2650=0,"Customer Delivery Late","Ship Late"))</f>
        <v/>
      </c>
    </row>
    <row r="2651">
      <c r="A2651" s="2" t="inlineStr">
        <is>
          <t>ORD-02650</t>
        </is>
      </c>
      <c r="B2651" s="2" t="inlineStr">
        <is>
          <t>Customer 25</t>
        </is>
      </c>
      <c r="C2651" s="2" t="inlineStr">
        <is>
          <t>Relay</t>
        </is>
      </c>
      <c r="D2651" s="2" t="inlineStr">
        <is>
          <t>Plant B</t>
        </is>
      </c>
      <c r="E2651" s="2" t="inlineStr">
        <is>
          <t>Central</t>
        </is>
      </c>
      <c r="F2651" s="12" t="n">
        <v>46041</v>
      </c>
      <c r="G2651" s="12" t="n">
        <v>46052</v>
      </c>
      <c r="H2651" s="12" t="n">
        <v>46048</v>
      </c>
      <c r="I2651" s="12" t="n">
        <v>46048</v>
      </c>
      <c r="J2651" s="12" t="n">
        <v>46051</v>
      </c>
      <c r="K2651" s="2" t="n">
        <v>205</v>
      </c>
      <c r="L2651" s="2" t="inlineStr">
        <is>
          <t>Sea</t>
        </is>
      </c>
      <c r="M2651" s="2" t="inlineStr">
        <is>
          <t>No Delay</t>
        </is>
      </c>
      <c r="N2651" s="4">
        <f>IF(I2651&lt;=H2651,1,0)</f>
        <v/>
      </c>
      <c r="O2651" s="4">
        <f>IF(J2651&lt;=G2651,1,0)</f>
        <v/>
      </c>
      <c r="P2651" s="4">
        <f>MAX(0,I2651-H2651)</f>
        <v/>
      </c>
      <c r="Q2651" s="4">
        <f>MAX(0,J2651-G2651)</f>
        <v/>
      </c>
      <c r="R2651" s="4">
        <f>IF(AND(N2651=1,O2651=1),"On Track",IF(O2651=0,"Customer Delivery Late","Ship Late"))</f>
        <v/>
      </c>
    </row>
    <row r="2652">
      <c r="A2652" s="2" t="inlineStr">
        <is>
          <t>ORD-02651</t>
        </is>
      </c>
      <c r="B2652" s="2" t="inlineStr">
        <is>
          <t>Customer 09</t>
        </is>
      </c>
      <c r="C2652" s="2" t="inlineStr">
        <is>
          <t>PLC</t>
        </is>
      </c>
      <c r="D2652" s="2" t="inlineStr">
        <is>
          <t>Plant A</t>
        </is>
      </c>
      <c r="E2652" s="2" t="inlineStr">
        <is>
          <t>North</t>
        </is>
      </c>
      <c r="F2652" s="12" t="n">
        <v>46190</v>
      </c>
      <c r="G2652" s="12" t="n">
        <v>46196</v>
      </c>
      <c r="H2652" s="12" t="n">
        <v>46192</v>
      </c>
      <c r="I2652" s="12" t="n">
        <v>46192</v>
      </c>
      <c r="J2652" s="12" t="n">
        <v>46196</v>
      </c>
      <c r="K2652" s="2" t="n">
        <v>41</v>
      </c>
      <c r="L2652" s="2" t="inlineStr">
        <is>
          <t>Air</t>
        </is>
      </c>
      <c r="M2652" s="2" t="inlineStr">
        <is>
          <t>No Delay</t>
        </is>
      </c>
      <c r="N2652" s="4">
        <f>IF(I2652&lt;=H2652,1,0)</f>
        <v/>
      </c>
      <c r="O2652" s="4">
        <f>IF(J2652&lt;=G2652,1,0)</f>
        <v/>
      </c>
      <c r="P2652" s="4">
        <f>MAX(0,I2652-H2652)</f>
        <v/>
      </c>
      <c r="Q2652" s="4">
        <f>MAX(0,J2652-G2652)</f>
        <v/>
      </c>
      <c r="R2652" s="4">
        <f>IF(AND(N2652=1,O2652=1),"On Track",IF(O2652=0,"Customer Delivery Late","Ship Late"))</f>
        <v/>
      </c>
    </row>
    <row r="2653">
      <c r="A2653" s="2" t="inlineStr">
        <is>
          <t>ORD-02652</t>
        </is>
      </c>
      <c r="B2653" s="2" t="inlineStr">
        <is>
          <t>Customer 15</t>
        </is>
      </c>
      <c r="C2653" s="2" t="inlineStr">
        <is>
          <t>Sensor</t>
        </is>
      </c>
      <c r="D2653" s="2" t="inlineStr">
        <is>
          <t>Plant B</t>
        </is>
      </c>
      <c r="E2653" s="2" t="inlineStr">
        <is>
          <t>Central</t>
        </is>
      </c>
      <c r="F2653" s="12" t="n">
        <v>46043</v>
      </c>
      <c r="G2653" s="12" t="n">
        <v>46056</v>
      </c>
      <c r="H2653" s="12" t="n">
        <v>46053</v>
      </c>
      <c r="I2653" s="12" t="n">
        <v>46053</v>
      </c>
      <c r="J2653" s="12" t="n">
        <v>46056</v>
      </c>
      <c r="K2653" s="2" t="n">
        <v>447</v>
      </c>
      <c r="L2653" s="2" t="inlineStr">
        <is>
          <t>Road</t>
        </is>
      </c>
      <c r="M2653" s="2" t="inlineStr">
        <is>
          <t>No Delay</t>
        </is>
      </c>
      <c r="N2653" s="4">
        <f>IF(I2653&lt;=H2653,1,0)</f>
        <v/>
      </c>
      <c r="O2653" s="4">
        <f>IF(J2653&lt;=G2653,1,0)</f>
        <v/>
      </c>
      <c r="P2653" s="4">
        <f>MAX(0,I2653-H2653)</f>
        <v/>
      </c>
      <c r="Q2653" s="4">
        <f>MAX(0,J2653-G2653)</f>
        <v/>
      </c>
      <c r="R2653" s="4">
        <f>IF(AND(N2653=1,O2653=1),"On Track",IF(O2653=0,"Customer Delivery Late","Ship Late"))</f>
        <v/>
      </c>
    </row>
    <row r="2654">
      <c r="A2654" s="2" t="inlineStr">
        <is>
          <t>ORD-02653</t>
        </is>
      </c>
      <c r="B2654" s="2" t="inlineStr">
        <is>
          <t>Customer 08</t>
        </is>
      </c>
      <c r="C2654" s="2" t="inlineStr">
        <is>
          <t>Sensor</t>
        </is>
      </c>
      <c r="D2654" s="2" t="inlineStr">
        <is>
          <t>Plant C</t>
        </is>
      </c>
      <c r="E2654" s="2" t="inlineStr">
        <is>
          <t>Export</t>
        </is>
      </c>
      <c r="F2654" s="12" t="n">
        <v>46175</v>
      </c>
      <c r="G2654" s="12" t="n">
        <v>46199</v>
      </c>
      <c r="H2654" s="12" t="n">
        <v>46195</v>
      </c>
      <c r="I2654" s="12" t="n">
        <v>46193</v>
      </c>
      <c r="J2654" s="12" t="n">
        <v>46197</v>
      </c>
      <c r="K2654" s="2" t="n">
        <v>347</v>
      </c>
      <c r="L2654" s="2" t="inlineStr">
        <is>
          <t>Sea</t>
        </is>
      </c>
      <c r="M2654" s="2" t="inlineStr">
        <is>
          <t>No Delay</t>
        </is>
      </c>
      <c r="N2654" s="4">
        <f>IF(I2654&lt;=H2654,1,0)</f>
        <v/>
      </c>
      <c r="O2654" s="4">
        <f>IF(J2654&lt;=G2654,1,0)</f>
        <v/>
      </c>
      <c r="P2654" s="4">
        <f>MAX(0,I2654-H2654)</f>
        <v/>
      </c>
      <c r="Q2654" s="4">
        <f>MAX(0,J2654-G2654)</f>
        <v/>
      </c>
      <c r="R2654" s="4">
        <f>IF(AND(N2654=1,O2654=1),"On Track",IF(O2654=0,"Customer Delivery Late","Ship Late"))</f>
        <v/>
      </c>
    </row>
    <row r="2655">
      <c r="A2655" s="2" t="inlineStr">
        <is>
          <t>ORD-02654</t>
        </is>
      </c>
      <c r="B2655" s="2" t="inlineStr">
        <is>
          <t>Customer 10</t>
        </is>
      </c>
      <c r="C2655" s="2" t="inlineStr">
        <is>
          <t>PLC</t>
        </is>
      </c>
      <c r="D2655" s="2" t="inlineStr">
        <is>
          <t>Plant B</t>
        </is>
      </c>
      <c r="E2655" s="2" t="inlineStr">
        <is>
          <t>South</t>
        </is>
      </c>
      <c r="F2655" s="12" t="n">
        <v>46133</v>
      </c>
      <c r="G2655" s="12" t="n">
        <v>46157</v>
      </c>
      <c r="H2655" s="12" t="n">
        <v>46153</v>
      </c>
      <c r="I2655" s="12" t="n">
        <v>46151</v>
      </c>
      <c r="J2655" s="12" t="n">
        <v>46155</v>
      </c>
      <c r="K2655" s="2" t="n">
        <v>1238</v>
      </c>
      <c r="L2655" s="2" t="inlineStr">
        <is>
          <t>Sea</t>
        </is>
      </c>
      <c r="M2655" s="2" t="inlineStr">
        <is>
          <t>No Delay</t>
        </is>
      </c>
      <c r="N2655" s="4">
        <f>IF(I2655&lt;=H2655,1,0)</f>
        <v/>
      </c>
      <c r="O2655" s="4">
        <f>IF(J2655&lt;=G2655,1,0)</f>
        <v/>
      </c>
      <c r="P2655" s="4">
        <f>MAX(0,I2655-H2655)</f>
        <v/>
      </c>
      <c r="Q2655" s="4">
        <f>MAX(0,J2655-G2655)</f>
        <v/>
      </c>
      <c r="R2655" s="4">
        <f>IF(AND(N2655=1,O2655=1),"On Track",IF(O2655=0,"Customer Delivery Late","Ship Late"))</f>
        <v/>
      </c>
    </row>
    <row r="2656">
      <c r="A2656" s="2" t="inlineStr">
        <is>
          <t>ORD-02655</t>
        </is>
      </c>
      <c r="B2656" s="2" t="inlineStr">
        <is>
          <t>Customer 17</t>
        </is>
      </c>
      <c r="C2656" s="2" t="inlineStr">
        <is>
          <t>Contactor</t>
        </is>
      </c>
      <c r="D2656" s="2" t="inlineStr">
        <is>
          <t>Plant B</t>
        </is>
      </c>
      <c r="E2656" s="2" t="inlineStr">
        <is>
          <t>Export</t>
        </is>
      </c>
      <c r="F2656" s="12" t="n">
        <v>46150</v>
      </c>
      <c r="G2656" s="12" t="n">
        <v>46166</v>
      </c>
      <c r="H2656" s="12" t="n">
        <v>46161</v>
      </c>
      <c r="I2656" s="12" t="n">
        <v>46161</v>
      </c>
      <c r="J2656" s="12" t="n">
        <v>46165</v>
      </c>
      <c r="K2656" s="2" t="n">
        <v>119</v>
      </c>
      <c r="L2656" s="2" t="inlineStr">
        <is>
          <t>Sea</t>
        </is>
      </c>
      <c r="M2656" s="2" t="inlineStr">
        <is>
          <t>No Delay</t>
        </is>
      </c>
      <c r="N2656" s="4">
        <f>IF(I2656&lt;=H2656,1,0)</f>
        <v/>
      </c>
      <c r="O2656" s="4">
        <f>IF(J2656&lt;=G2656,1,0)</f>
        <v/>
      </c>
      <c r="P2656" s="4">
        <f>MAX(0,I2656-H2656)</f>
        <v/>
      </c>
      <c r="Q2656" s="4">
        <f>MAX(0,J2656-G2656)</f>
        <v/>
      </c>
      <c r="R2656" s="4">
        <f>IF(AND(N2656=1,O2656=1),"On Track",IF(O2656=0,"Customer Delivery Late","Ship Late"))</f>
        <v/>
      </c>
    </row>
    <row r="2657">
      <c r="A2657" s="2" t="inlineStr">
        <is>
          <t>ORD-02656</t>
        </is>
      </c>
      <c r="B2657" s="2" t="inlineStr">
        <is>
          <t>Customer 15</t>
        </is>
      </c>
      <c r="C2657" s="2" t="inlineStr">
        <is>
          <t>Power Supply</t>
        </is>
      </c>
      <c r="D2657" s="2" t="inlineStr">
        <is>
          <t>Plant A</t>
        </is>
      </c>
      <c r="E2657" s="2" t="inlineStr">
        <is>
          <t>Central</t>
        </is>
      </c>
      <c r="F2657" s="12" t="n">
        <v>46056</v>
      </c>
      <c r="G2657" s="12" t="n">
        <v>46064</v>
      </c>
      <c r="H2657" s="12" t="n">
        <v>46061</v>
      </c>
      <c r="I2657" s="12" t="n">
        <v>46059</v>
      </c>
      <c r="J2657" s="12" t="n">
        <v>46063</v>
      </c>
      <c r="K2657" s="2" t="n">
        <v>1015</v>
      </c>
      <c r="L2657" s="2" t="inlineStr">
        <is>
          <t>Air</t>
        </is>
      </c>
      <c r="M2657" s="2" t="inlineStr">
        <is>
          <t>No Delay</t>
        </is>
      </c>
      <c r="N2657" s="4">
        <f>IF(I2657&lt;=H2657,1,0)</f>
        <v/>
      </c>
      <c r="O2657" s="4">
        <f>IF(J2657&lt;=G2657,1,0)</f>
        <v/>
      </c>
      <c r="P2657" s="4">
        <f>MAX(0,I2657-H2657)</f>
        <v/>
      </c>
      <c r="Q2657" s="4">
        <f>MAX(0,J2657-G2657)</f>
        <v/>
      </c>
      <c r="R2657" s="4">
        <f>IF(AND(N2657=1,O2657=1),"On Track",IF(O2657=0,"Customer Delivery Late","Ship Late"))</f>
        <v/>
      </c>
    </row>
    <row r="2658">
      <c r="A2658" s="2" t="inlineStr">
        <is>
          <t>ORD-02657</t>
        </is>
      </c>
      <c r="B2658" s="2" t="inlineStr">
        <is>
          <t>Customer 20</t>
        </is>
      </c>
      <c r="C2658" s="2" t="inlineStr">
        <is>
          <t>Drive</t>
        </is>
      </c>
      <c r="D2658" s="2" t="inlineStr">
        <is>
          <t>Plant B</t>
        </is>
      </c>
      <c r="E2658" s="2" t="inlineStr">
        <is>
          <t>North</t>
        </is>
      </c>
      <c r="F2658" s="12" t="n">
        <v>46172</v>
      </c>
      <c r="G2658" s="12" t="n">
        <v>46178</v>
      </c>
      <c r="H2658" s="12" t="n">
        <v>46176</v>
      </c>
      <c r="I2658" s="12" t="n">
        <v>46174</v>
      </c>
      <c r="J2658" s="12" t="n">
        <v>46176</v>
      </c>
      <c r="K2658" s="2" t="n">
        <v>909</v>
      </c>
      <c r="L2658" s="2" t="inlineStr">
        <is>
          <t>Road</t>
        </is>
      </c>
      <c r="M2658" s="2" t="inlineStr">
        <is>
          <t>No Delay</t>
        </is>
      </c>
      <c r="N2658" s="4">
        <f>IF(I2658&lt;=H2658,1,0)</f>
        <v/>
      </c>
      <c r="O2658" s="4">
        <f>IF(J2658&lt;=G2658,1,0)</f>
        <v/>
      </c>
      <c r="P2658" s="4">
        <f>MAX(0,I2658-H2658)</f>
        <v/>
      </c>
      <c r="Q2658" s="4">
        <f>MAX(0,J2658-G2658)</f>
        <v/>
      </c>
      <c r="R2658" s="4">
        <f>IF(AND(N2658=1,O2658=1),"On Track",IF(O2658=0,"Customer Delivery Late","Ship Late"))</f>
        <v/>
      </c>
    </row>
    <row r="2659">
      <c r="A2659" s="2" t="inlineStr">
        <is>
          <t>ORD-02658</t>
        </is>
      </c>
      <c r="B2659" s="2" t="inlineStr">
        <is>
          <t>Customer 10</t>
        </is>
      </c>
      <c r="C2659" s="2" t="inlineStr">
        <is>
          <t>Switchgear</t>
        </is>
      </c>
      <c r="D2659" s="2" t="inlineStr">
        <is>
          <t>Plant B</t>
        </is>
      </c>
      <c r="E2659" s="2" t="inlineStr">
        <is>
          <t>Export</t>
        </is>
      </c>
      <c r="F2659" s="12" t="n">
        <v>46097</v>
      </c>
      <c r="G2659" s="12" t="n">
        <v>46116</v>
      </c>
      <c r="H2659" s="12" t="n">
        <v>46114</v>
      </c>
      <c r="I2659" s="12" t="n">
        <v>46113</v>
      </c>
      <c r="J2659" s="12" t="n">
        <v>46115</v>
      </c>
      <c r="K2659" s="2" t="n">
        <v>533</v>
      </c>
      <c r="L2659" s="2" t="inlineStr">
        <is>
          <t>Road</t>
        </is>
      </c>
      <c r="M2659" s="2" t="inlineStr">
        <is>
          <t>No Delay</t>
        </is>
      </c>
      <c r="N2659" s="4">
        <f>IF(I2659&lt;=H2659,1,0)</f>
        <v/>
      </c>
      <c r="O2659" s="4">
        <f>IF(J2659&lt;=G2659,1,0)</f>
        <v/>
      </c>
      <c r="P2659" s="4">
        <f>MAX(0,I2659-H2659)</f>
        <v/>
      </c>
      <c r="Q2659" s="4">
        <f>MAX(0,J2659-G2659)</f>
        <v/>
      </c>
      <c r="R2659" s="4">
        <f>IF(AND(N2659=1,O2659=1),"On Track",IF(O2659=0,"Customer Delivery Late","Ship Late"))</f>
        <v/>
      </c>
    </row>
    <row r="2660">
      <c r="A2660" s="2" t="inlineStr">
        <is>
          <t>ORD-02659</t>
        </is>
      </c>
      <c r="B2660" s="2" t="inlineStr">
        <is>
          <t>Customer 23</t>
        </is>
      </c>
      <c r="C2660" s="2" t="inlineStr">
        <is>
          <t>Relay</t>
        </is>
      </c>
      <c r="D2660" s="2" t="inlineStr">
        <is>
          <t>Plant A</t>
        </is>
      </c>
      <c r="E2660" s="2" t="inlineStr">
        <is>
          <t>Central</t>
        </is>
      </c>
      <c r="F2660" s="12" t="n">
        <v>46140</v>
      </c>
      <c r="G2660" s="12" t="n">
        <v>46145</v>
      </c>
      <c r="H2660" s="12" t="n">
        <v>46143</v>
      </c>
      <c r="I2660" s="12" t="n">
        <v>46142</v>
      </c>
      <c r="J2660" s="12" t="n">
        <v>46149</v>
      </c>
      <c r="K2660" s="2" t="n">
        <v>256</v>
      </c>
      <c r="L2660" s="2" t="inlineStr">
        <is>
          <t>Road</t>
        </is>
      </c>
      <c r="M2660" s="2" t="inlineStr">
        <is>
          <t>Documentation Issue</t>
        </is>
      </c>
      <c r="N2660" s="4">
        <f>IF(I2660&lt;=H2660,1,0)</f>
        <v/>
      </c>
      <c r="O2660" s="4">
        <f>IF(J2660&lt;=G2660,1,0)</f>
        <v/>
      </c>
      <c r="P2660" s="4">
        <f>MAX(0,I2660-H2660)</f>
        <v/>
      </c>
      <c r="Q2660" s="4">
        <f>MAX(0,J2660-G2660)</f>
        <v/>
      </c>
      <c r="R2660" s="4">
        <f>IF(AND(N2660=1,O2660=1),"On Track",IF(O2660=0,"Customer Delivery Late","Ship Late"))</f>
        <v/>
      </c>
    </row>
    <row r="2661">
      <c r="A2661" s="2" t="inlineStr">
        <is>
          <t>ORD-02660</t>
        </is>
      </c>
      <c r="B2661" s="2" t="inlineStr">
        <is>
          <t>Customer 06</t>
        </is>
      </c>
      <c r="C2661" s="2" t="inlineStr">
        <is>
          <t>Switchgear</t>
        </is>
      </c>
      <c r="D2661" s="2" t="inlineStr">
        <is>
          <t>Plant C</t>
        </is>
      </c>
      <c r="E2661" s="2" t="inlineStr">
        <is>
          <t>South</t>
        </is>
      </c>
      <c r="F2661" s="12" t="n">
        <v>46198</v>
      </c>
      <c r="G2661" s="12" t="n">
        <v>46223</v>
      </c>
      <c r="H2661" s="12" t="n">
        <v>46218</v>
      </c>
      <c r="I2661" s="12" t="n">
        <v>46218</v>
      </c>
      <c r="J2661" s="12" t="n">
        <v>46224</v>
      </c>
      <c r="K2661" s="2" t="n">
        <v>911</v>
      </c>
      <c r="L2661" s="2" t="inlineStr">
        <is>
          <t>Road</t>
        </is>
      </c>
      <c r="M2661" s="2" t="inlineStr">
        <is>
          <t>Capacity Constraint</t>
        </is>
      </c>
      <c r="N2661" s="4">
        <f>IF(I2661&lt;=H2661,1,0)</f>
        <v/>
      </c>
      <c r="O2661" s="4">
        <f>IF(J2661&lt;=G2661,1,0)</f>
        <v/>
      </c>
      <c r="P2661" s="4">
        <f>MAX(0,I2661-H2661)</f>
        <v/>
      </c>
      <c r="Q2661" s="4">
        <f>MAX(0,J2661-G2661)</f>
        <v/>
      </c>
      <c r="R2661" s="4">
        <f>IF(AND(N2661=1,O2661=1),"On Track",IF(O2661=0,"Customer Delivery Late","Ship Late"))</f>
        <v/>
      </c>
    </row>
    <row r="2662">
      <c r="A2662" s="2" t="inlineStr">
        <is>
          <t>ORD-02661</t>
        </is>
      </c>
      <c r="B2662" s="2" t="inlineStr">
        <is>
          <t>Customer 12</t>
        </is>
      </c>
      <c r="C2662" s="2" t="inlineStr">
        <is>
          <t>Power Supply</t>
        </is>
      </c>
      <c r="D2662" s="2" t="inlineStr">
        <is>
          <t>Plant C</t>
        </is>
      </c>
      <c r="E2662" s="2" t="inlineStr">
        <is>
          <t>Central</t>
        </is>
      </c>
      <c r="F2662" s="12" t="n">
        <v>46132</v>
      </c>
      <c r="G2662" s="12" t="n">
        <v>46145</v>
      </c>
      <c r="H2662" s="12" t="n">
        <v>46143</v>
      </c>
      <c r="I2662" s="12" t="n">
        <v>46141</v>
      </c>
      <c r="J2662" s="12" t="n">
        <v>46143</v>
      </c>
      <c r="K2662" s="2" t="n">
        <v>1366</v>
      </c>
      <c r="L2662" s="2" t="inlineStr">
        <is>
          <t>Road</t>
        </is>
      </c>
      <c r="M2662" s="2" t="inlineStr">
        <is>
          <t>No Delay</t>
        </is>
      </c>
      <c r="N2662" s="4">
        <f>IF(I2662&lt;=H2662,1,0)</f>
        <v/>
      </c>
      <c r="O2662" s="4">
        <f>IF(J2662&lt;=G2662,1,0)</f>
        <v/>
      </c>
      <c r="P2662" s="4">
        <f>MAX(0,I2662-H2662)</f>
        <v/>
      </c>
      <c r="Q2662" s="4">
        <f>MAX(0,J2662-G2662)</f>
        <v/>
      </c>
      <c r="R2662" s="4">
        <f>IF(AND(N2662=1,O2662=1),"On Track",IF(O2662=0,"Customer Delivery Late","Ship Late"))</f>
        <v/>
      </c>
    </row>
    <row r="2663">
      <c r="A2663" s="2" t="inlineStr">
        <is>
          <t>ORD-02662</t>
        </is>
      </c>
      <c r="B2663" s="2" t="inlineStr">
        <is>
          <t>Customer 07</t>
        </is>
      </c>
      <c r="C2663" s="2" t="inlineStr">
        <is>
          <t>Sensor</t>
        </is>
      </c>
      <c r="D2663" s="2" t="inlineStr">
        <is>
          <t>Plant C</t>
        </is>
      </c>
      <c r="E2663" s="2" t="inlineStr">
        <is>
          <t>South</t>
        </is>
      </c>
      <c r="F2663" s="12" t="n">
        <v>46125</v>
      </c>
      <c r="G2663" s="12" t="n">
        <v>46142</v>
      </c>
      <c r="H2663" s="12" t="n">
        <v>46138</v>
      </c>
      <c r="I2663" s="12" t="n">
        <v>46137</v>
      </c>
      <c r="J2663" s="12" t="n">
        <v>46141</v>
      </c>
      <c r="K2663" s="2" t="n">
        <v>431</v>
      </c>
      <c r="L2663" s="2" t="inlineStr">
        <is>
          <t>Air</t>
        </is>
      </c>
      <c r="M2663" s="2" t="inlineStr">
        <is>
          <t>No Delay</t>
        </is>
      </c>
      <c r="N2663" s="4">
        <f>IF(I2663&lt;=H2663,1,0)</f>
        <v/>
      </c>
      <c r="O2663" s="4">
        <f>IF(J2663&lt;=G2663,1,0)</f>
        <v/>
      </c>
      <c r="P2663" s="4">
        <f>MAX(0,I2663-H2663)</f>
        <v/>
      </c>
      <c r="Q2663" s="4">
        <f>MAX(0,J2663-G2663)</f>
        <v/>
      </c>
      <c r="R2663" s="4">
        <f>IF(AND(N2663=1,O2663=1),"On Track",IF(O2663=0,"Customer Delivery Late","Ship Late"))</f>
        <v/>
      </c>
    </row>
    <row r="2664">
      <c r="A2664" s="2" t="inlineStr">
        <is>
          <t>ORD-02663</t>
        </is>
      </c>
      <c r="B2664" s="2" t="inlineStr">
        <is>
          <t>Customer 22</t>
        </is>
      </c>
      <c r="C2664" s="2" t="inlineStr">
        <is>
          <t>Sensor</t>
        </is>
      </c>
      <c r="D2664" s="2" t="inlineStr">
        <is>
          <t>Plant B</t>
        </is>
      </c>
      <c r="E2664" s="2" t="inlineStr">
        <is>
          <t>South</t>
        </is>
      </c>
      <c r="F2664" s="12" t="n">
        <v>46156</v>
      </c>
      <c r="G2664" s="12" t="n">
        <v>46169</v>
      </c>
      <c r="H2664" s="12" t="n">
        <v>46164</v>
      </c>
      <c r="I2664" s="12" t="n">
        <v>46164</v>
      </c>
      <c r="J2664" s="12" t="n">
        <v>46168</v>
      </c>
      <c r="K2664" s="2" t="n">
        <v>210</v>
      </c>
      <c r="L2664" s="2" t="inlineStr">
        <is>
          <t>Road</t>
        </is>
      </c>
      <c r="M2664" s="2" t="inlineStr">
        <is>
          <t>No Delay</t>
        </is>
      </c>
      <c r="N2664" s="4">
        <f>IF(I2664&lt;=H2664,1,0)</f>
        <v/>
      </c>
      <c r="O2664" s="4">
        <f>IF(J2664&lt;=G2664,1,0)</f>
        <v/>
      </c>
      <c r="P2664" s="4">
        <f>MAX(0,I2664-H2664)</f>
        <v/>
      </c>
      <c r="Q2664" s="4">
        <f>MAX(0,J2664-G2664)</f>
        <v/>
      </c>
      <c r="R2664" s="4">
        <f>IF(AND(N2664=1,O2664=1),"On Track",IF(O2664=0,"Customer Delivery Late","Ship Late"))</f>
        <v/>
      </c>
    </row>
    <row r="2665">
      <c r="A2665" s="2" t="inlineStr">
        <is>
          <t>ORD-02664</t>
        </is>
      </c>
      <c r="B2665" s="2" t="inlineStr">
        <is>
          <t>Customer 03</t>
        </is>
      </c>
      <c r="C2665" s="2" t="inlineStr">
        <is>
          <t>Switchgear</t>
        </is>
      </c>
      <c r="D2665" s="2" t="inlineStr">
        <is>
          <t>Plant C</t>
        </is>
      </c>
      <c r="E2665" s="2" t="inlineStr">
        <is>
          <t>North</t>
        </is>
      </c>
      <c r="F2665" s="12" t="n">
        <v>46089</v>
      </c>
      <c r="G2665" s="12" t="n">
        <v>46099</v>
      </c>
      <c r="H2665" s="12" t="n">
        <v>46098</v>
      </c>
      <c r="I2665" s="12" t="n">
        <v>46097</v>
      </c>
      <c r="J2665" s="12" t="n">
        <v>46098</v>
      </c>
      <c r="K2665" s="2" t="n">
        <v>638</v>
      </c>
      <c r="L2665" s="2" t="inlineStr">
        <is>
          <t>Sea</t>
        </is>
      </c>
      <c r="M2665" s="2" t="inlineStr">
        <is>
          <t>No Delay</t>
        </is>
      </c>
      <c r="N2665" s="4">
        <f>IF(I2665&lt;=H2665,1,0)</f>
        <v/>
      </c>
      <c r="O2665" s="4">
        <f>IF(J2665&lt;=G2665,1,0)</f>
        <v/>
      </c>
      <c r="P2665" s="4">
        <f>MAX(0,I2665-H2665)</f>
        <v/>
      </c>
      <c r="Q2665" s="4">
        <f>MAX(0,J2665-G2665)</f>
        <v/>
      </c>
      <c r="R2665" s="4">
        <f>IF(AND(N2665=1,O2665=1),"On Track",IF(O2665=0,"Customer Delivery Late","Ship Late"))</f>
        <v/>
      </c>
    </row>
    <row r="2666">
      <c r="A2666" s="2" t="inlineStr">
        <is>
          <t>ORD-02665</t>
        </is>
      </c>
      <c r="B2666" s="2" t="inlineStr">
        <is>
          <t>Customer 24</t>
        </is>
      </c>
      <c r="C2666" s="2" t="inlineStr">
        <is>
          <t>Drive</t>
        </is>
      </c>
      <c r="D2666" s="2" t="inlineStr">
        <is>
          <t>Plant C</t>
        </is>
      </c>
      <c r="E2666" s="2" t="inlineStr">
        <is>
          <t>South</t>
        </is>
      </c>
      <c r="F2666" s="12" t="n">
        <v>46080</v>
      </c>
      <c r="G2666" s="12" t="n">
        <v>46097</v>
      </c>
      <c r="H2666" s="12" t="n">
        <v>46094</v>
      </c>
      <c r="I2666" s="12" t="n">
        <v>46094</v>
      </c>
      <c r="J2666" s="12" t="n">
        <v>46096</v>
      </c>
      <c r="K2666" s="2" t="n">
        <v>750</v>
      </c>
      <c r="L2666" s="2" t="inlineStr">
        <is>
          <t>Sea</t>
        </is>
      </c>
      <c r="M2666" s="2" t="inlineStr">
        <is>
          <t>No Delay</t>
        </is>
      </c>
      <c r="N2666" s="4">
        <f>IF(I2666&lt;=H2666,1,0)</f>
        <v/>
      </c>
      <c r="O2666" s="4">
        <f>IF(J2666&lt;=G2666,1,0)</f>
        <v/>
      </c>
      <c r="P2666" s="4">
        <f>MAX(0,I2666-H2666)</f>
        <v/>
      </c>
      <c r="Q2666" s="4">
        <f>MAX(0,J2666-G2666)</f>
        <v/>
      </c>
      <c r="R2666" s="4">
        <f>IF(AND(N2666=1,O2666=1),"On Track",IF(O2666=0,"Customer Delivery Late","Ship Late"))</f>
        <v/>
      </c>
    </row>
    <row r="2667">
      <c r="A2667" s="2" t="inlineStr">
        <is>
          <t>ORD-02666</t>
        </is>
      </c>
      <c r="B2667" s="2" t="inlineStr">
        <is>
          <t>Customer 16</t>
        </is>
      </c>
      <c r="C2667" s="2" t="inlineStr">
        <is>
          <t>PLC</t>
        </is>
      </c>
      <c r="D2667" s="2" t="inlineStr">
        <is>
          <t>Plant A</t>
        </is>
      </c>
      <c r="E2667" s="2" t="inlineStr">
        <is>
          <t>Central</t>
        </is>
      </c>
      <c r="F2667" s="12" t="n">
        <v>46164</v>
      </c>
      <c r="G2667" s="12" t="n">
        <v>46189</v>
      </c>
      <c r="H2667" s="12" t="n">
        <v>46186</v>
      </c>
      <c r="I2667" s="12" t="n">
        <v>46185</v>
      </c>
      <c r="J2667" s="12" t="n">
        <v>46187</v>
      </c>
      <c r="K2667" s="2" t="n">
        <v>849</v>
      </c>
      <c r="L2667" s="2" t="inlineStr">
        <is>
          <t>Road</t>
        </is>
      </c>
      <c r="M2667" s="2" t="inlineStr">
        <is>
          <t>No Delay</t>
        </is>
      </c>
      <c r="N2667" s="4">
        <f>IF(I2667&lt;=H2667,1,0)</f>
        <v/>
      </c>
      <c r="O2667" s="4">
        <f>IF(J2667&lt;=G2667,1,0)</f>
        <v/>
      </c>
      <c r="P2667" s="4">
        <f>MAX(0,I2667-H2667)</f>
        <v/>
      </c>
      <c r="Q2667" s="4">
        <f>MAX(0,J2667-G2667)</f>
        <v/>
      </c>
      <c r="R2667" s="4">
        <f>IF(AND(N2667=1,O2667=1),"On Track",IF(O2667=0,"Customer Delivery Late","Ship Late"))</f>
        <v/>
      </c>
    </row>
    <row r="2668">
      <c r="A2668" s="2" t="inlineStr">
        <is>
          <t>ORD-02667</t>
        </is>
      </c>
      <c r="B2668" s="2" t="inlineStr">
        <is>
          <t>Customer 17</t>
        </is>
      </c>
      <c r="C2668" s="2" t="inlineStr">
        <is>
          <t>Switchgear</t>
        </is>
      </c>
      <c r="D2668" s="2" t="inlineStr">
        <is>
          <t>Plant B</t>
        </is>
      </c>
      <c r="E2668" s="2" t="inlineStr">
        <is>
          <t>Export</t>
        </is>
      </c>
      <c r="F2668" s="12" t="n">
        <v>46199</v>
      </c>
      <c r="G2668" s="12" t="n">
        <v>46216</v>
      </c>
      <c r="H2668" s="12" t="n">
        <v>46213</v>
      </c>
      <c r="I2668" s="12" t="n">
        <v>46211</v>
      </c>
      <c r="J2668" s="12" t="n">
        <v>46214</v>
      </c>
      <c r="K2668" s="2" t="n">
        <v>759</v>
      </c>
      <c r="L2668" s="2" t="inlineStr">
        <is>
          <t>Sea</t>
        </is>
      </c>
      <c r="M2668" s="2" t="inlineStr">
        <is>
          <t>No Delay</t>
        </is>
      </c>
      <c r="N2668" s="4">
        <f>IF(I2668&lt;=H2668,1,0)</f>
        <v/>
      </c>
      <c r="O2668" s="4">
        <f>IF(J2668&lt;=G2668,1,0)</f>
        <v/>
      </c>
      <c r="P2668" s="4">
        <f>MAX(0,I2668-H2668)</f>
        <v/>
      </c>
      <c r="Q2668" s="4">
        <f>MAX(0,J2668-G2668)</f>
        <v/>
      </c>
      <c r="R2668" s="4">
        <f>IF(AND(N2668=1,O2668=1),"On Track",IF(O2668=0,"Customer Delivery Late","Ship Late"))</f>
        <v/>
      </c>
    </row>
    <row r="2669">
      <c r="A2669" s="2" t="inlineStr">
        <is>
          <t>ORD-02668</t>
        </is>
      </c>
      <c r="B2669" s="2" t="inlineStr">
        <is>
          <t>Customer 20</t>
        </is>
      </c>
      <c r="C2669" s="2" t="inlineStr">
        <is>
          <t>Contactor</t>
        </is>
      </c>
      <c r="D2669" s="2" t="inlineStr">
        <is>
          <t>Plant C</t>
        </is>
      </c>
      <c r="E2669" s="2" t="inlineStr">
        <is>
          <t>South</t>
        </is>
      </c>
      <c r="F2669" s="12" t="n">
        <v>46076</v>
      </c>
      <c r="G2669" s="12" t="n">
        <v>46092</v>
      </c>
      <c r="H2669" s="12" t="n">
        <v>46087</v>
      </c>
      <c r="I2669" s="12" t="n">
        <v>46085</v>
      </c>
      <c r="J2669" s="12" t="n">
        <v>46089</v>
      </c>
      <c r="K2669" s="2" t="n">
        <v>460</v>
      </c>
      <c r="L2669" s="2" t="inlineStr">
        <is>
          <t>Sea</t>
        </is>
      </c>
      <c r="M2669" s="2" t="inlineStr">
        <is>
          <t>No Delay</t>
        </is>
      </c>
      <c r="N2669" s="4">
        <f>IF(I2669&lt;=H2669,1,0)</f>
        <v/>
      </c>
      <c r="O2669" s="4">
        <f>IF(J2669&lt;=G2669,1,0)</f>
        <v/>
      </c>
      <c r="P2669" s="4">
        <f>MAX(0,I2669-H2669)</f>
        <v/>
      </c>
      <c r="Q2669" s="4">
        <f>MAX(0,J2669-G2669)</f>
        <v/>
      </c>
      <c r="R2669" s="4">
        <f>IF(AND(N2669=1,O2669=1),"On Track",IF(O2669=0,"Customer Delivery Late","Ship Late"))</f>
        <v/>
      </c>
    </row>
    <row r="2670">
      <c r="A2670" s="2" t="inlineStr">
        <is>
          <t>ORD-02669</t>
        </is>
      </c>
      <c r="B2670" s="2" t="inlineStr">
        <is>
          <t>Customer 07</t>
        </is>
      </c>
      <c r="C2670" s="2" t="inlineStr">
        <is>
          <t>PLC</t>
        </is>
      </c>
      <c r="D2670" s="2" t="inlineStr">
        <is>
          <t>Plant C</t>
        </is>
      </c>
      <c r="E2670" s="2" t="inlineStr">
        <is>
          <t>North</t>
        </is>
      </c>
      <c r="F2670" s="12" t="n">
        <v>46029</v>
      </c>
      <c r="G2670" s="12" t="n">
        <v>46051</v>
      </c>
      <c r="H2670" s="12" t="n">
        <v>46046</v>
      </c>
      <c r="I2670" s="12" t="n">
        <v>46044</v>
      </c>
      <c r="J2670" s="12" t="n">
        <v>46049</v>
      </c>
      <c r="K2670" s="2" t="n">
        <v>1401</v>
      </c>
      <c r="L2670" s="2" t="inlineStr">
        <is>
          <t>Air</t>
        </is>
      </c>
      <c r="M2670" s="2" t="inlineStr">
        <is>
          <t>No Delay</t>
        </is>
      </c>
      <c r="N2670" s="4">
        <f>IF(I2670&lt;=H2670,1,0)</f>
        <v/>
      </c>
      <c r="O2670" s="4">
        <f>IF(J2670&lt;=G2670,1,0)</f>
        <v/>
      </c>
      <c r="P2670" s="4">
        <f>MAX(0,I2670-H2670)</f>
        <v/>
      </c>
      <c r="Q2670" s="4">
        <f>MAX(0,J2670-G2670)</f>
        <v/>
      </c>
      <c r="R2670" s="4">
        <f>IF(AND(N2670=1,O2670=1),"On Track",IF(O2670=0,"Customer Delivery Late","Ship Late"))</f>
        <v/>
      </c>
    </row>
    <row r="2671">
      <c r="A2671" s="2" t="inlineStr">
        <is>
          <t>ORD-02670</t>
        </is>
      </c>
      <c r="B2671" s="2" t="inlineStr">
        <is>
          <t>Customer 20</t>
        </is>
      </c>
      <c r="C2671" s="2" t="inlineStr">
        <is>
          <t>Contactor</t>
        </is>
      </c>
      <c r="D2671" s="2" t="inlineStr">
        <is>
          <t>Plant B</t>
        </is>
      </c>
      <c r="E2671" s="2" t="inlineStr">
        <is>
          <t>South</t>
        </is>
      </c>
      <c r="F2671" s="12" t="n">
        <v>46126</v>
      </c>
      <c r="G2671" s="12" t="n">
        <v>46134</v>
      </c>
      <c r="H2671" s="12" t="n">
        <v>46131</v>
      </c>
      <c r="I2671" s="12" t="n">
        <v>46129</v>
      </c>
      <c r="J2671" s="12" t="n">
        <v>46131</v>
      </c>
      <c r="K2671" s="2" t="n">
        <v>1086</v>
      </c>
      <c r="L2671" s="2" t="inlineStr">
        <is>
          <t>Road</t>
        </is>
      </c>
      <c r="M2671" s="2" t="inlineStr">
        <is>
          <t>No Delay</t>
        </is>
      </c>
      <c r="N2671" s="4">
        <f>IF(I2671&lt;=H2671,1,0)</f>
        <v/>
      </c>
      <c r="O2671" s="4">
        <f>IF(J2671&lt;=G2671,1,0)</f>
        <v/>
      </c>
      <c r="P2671" s="4">
        <f>MAX(0,I2671-H2671)</f>
        <v/>
      </c>
      <c r="Q2671" s="4">
        <f>MAX(0,J2671-G2671)</f>
        <v/>
      </c>
      <c r="R2671" s="4">
        <f>IF(AND(N2671=1,O2671=1),"On Track",IF(O2671=0,"Customer Delivery Late","Ship Late"))</f>
        <v/>
      </c>
    </row>
    <row r="2672">
      <c r="A2672" s="2" t="inlineStr">
        <is>
          <t>ORD-02671</t>
        </is>
      </c>
      <c r="B2672" s="2" t="inlineStr">
        <is>
          <t>Customer 25</t>
        </is>
      </c>
      <c r="C2672" s="2" t="inlineStr">
        <is>
          <t>Contactor</t>
        </is>
      </c>
      <c r="D2672" s="2" t="inlineStr">
        <is>
          <t>Plant B</t>
        </is>
      </c>
      <c r="E2672" s="2" t="inlineStr">
        <is>
          <t>North</t>
        </is>
      </c>
      <c r="F2672" s="12" t="n">
        <v>46101</v>
      </c>
      <c r="G2672" s="12" t="n">
        <v>46115</v>
      </c>
      <c r="H2672" s="12" t="n">
        <v>46113</v>
      </c>
      <c r="I2672" s="12" t="n">
        <v>46112</v>
      </c>
      <c r="J2672" s="12" t="n">
        <v>46114</v>
      </c>
      <c r="K2672" s="2" t="n">
        <v>188</v>
      </c>
      <c r="L2672" s="2" t="inlineStr">
        <is>
          <t>Road</t>
        </is>
      </c>
      <c r="M2672" s="2" t="inlineStr">
        <is>
          <t>No Delay</t>
        </is>
      </c>
      <c r="N2672" s="4">
        <f>IF(I2672&lt;=H2672,1,0)</f>
        <v/>
      </c>
      <c r="O2672" s="4">
        <f>IF(J2672&lt;=G2672,1,0)</f>
        <v/>
      </c>
      <c r="P2672" s="4">
        <f>MAX(0,I2672-H2672)</f>
        <v/>
      </c>
      <c r="Q2672" s="4">
        <f>MAX(0,J2672-G2672)</f>
        <v/>
      </c>
      <c r="R2672" s="4">
        <f>IF(AND(N2672=1,O2672=1),"On Track",IF(O2672=0,"Customer Delivery Late","Ship Late"))</f>
        <v/>
      </c>
    </row>
    <row r="2673">
      <c r="A2673" s="2" t="inlineStr">
        <is>
          <t>ORD-02672</t>
        </is>
      </c>
      <c r="B2673" s="2" t="inlineStr">
        <is>
          <t>Customer 01</t>
        </is>
      </c>
      <c r="C2673" s="2" t="inlineStr">
        <is>
          <t>Sensor</t>
        </is>
      </c>
      <c r="D2673" s="2" t="inlineStr">
        <is>
          <t>Plant C</t>
        </is>
      </c>
      <c r="E2673" s="2" t="inlineStr">
        <is>
          <t>North</t>
        </is>
      </c>
      <c r="F2673" s="12" t="n">
        <v>46157</v>
      </c>
      <c r="G2673" s="12" t="n">
        <v>46174</v>
      </c>
      <c r="H2673" s="12" t="n">
        <v>46173</v>
      </c>
      <c r="I2673" s="12" t="n">
        <v>46172</v>
      </c>
      <c r="J2673" s="12" t="n">
        <v>46173</v>
      </c>
      <c r="K2673" s="2" t="n">
        <v>711</v>
      </c>
      <c r="L2673" s="2" t="inlineStr">
        <is>
          <t>Air</t>
        </is>
      </c>
      <c r="M2673" s="2" t="inlineStr">
        <is>
          <t>No Delay</t>
        </is>
      </c>
      <c r="N2673" s="4">
        <f>IF(I2673&lt;=H2673,1,0)</f>
        <v/>
      </c>
      <c r="O2673" s="4">
        <f>IF(J2673&lt;=G2673,1,0)</f>
        <v/>
      </c>
      <c r="P2673" s="4">
        <f>MAX(0,I2673-H2673)</f>
        <v/>
      </c>
      <c r="Q2673" s="4">
        <f>MAX(0,J2673-G2673)</f>
        <v/>
      </c>
      <c r="R2673" s="4">
        <f>IF(AND(N2673=1,O2673=1),"On Track",IF(O2673=0,"Customer Delivery Late","Ship Late"))</f>
        <v/>
      </c>
    </row>
    <row r="2674">
      <c r="A2674" s="2" t="inlineStr">
        <is>
          <t>ORD-02673</t>
        </is>
      </c>
      <c r="B2674" s="2" t="inlineStr">
        <is>
          <t>Customer 13</t>
        </is>
      </c>
      <c r="C2674" s="2" t="inlineStr">
        <is>
          <t>Switchgear</t>
        </is>
      </c>
      <c r="D2674" s="2" t="inlineStr">
        <is>
          <t>Plant A</t>
        </is>
      </c>
      <c r="E2674" s="2" t="inlineStr">
        <is>
          <t>North</t>
        </is>
      </c>
      <c r="F2674" s="12" t="n">
        <v>46080</v>
      </c>
      <c r="G2674" s="12" t="n">
        <v>46101</v>
      </c>
      <c r="H2674" s="12" t="n">
        <v>46100</v>
      </c>
      <c r="I2674" s="12" t="n">
        <v>46100</v>
      </c>
      <c r="J2674" s="12" t="n">
        <v>46101</v>
      </c>
      <c r="K2674" s="2" t="n">
        <v>1206</v>
      </c>
      <c r="L2674" s="2" t="inlineStr">
        <is>
          <t>Sea</t>
        </is>
      </c>
      <c r="M2674" s="2" t="inlineStr">
        <is>
          <t>No Delay</t>
        </is>
      </c>
      <c r="N2674" s="4">
        <f>IF(I2674&lt;=H2674,1,0)</f>
        <v/>
      </c>
      <c r="O2674" s="4">
        <f>IF(J2674&lt;=G2674,1,0)</f>
        <v/>
      </c>
      <c r="P2674" s="4">
        <f>MAX(0,I2674-H2674)</f>
        <v/>
      </c>
      <c r="Q2674" s="4">
        <f>MAX(0,J2674-G2674)</f>
        <v/>
      </c>
      <c r="R2674" s="4">
        <f>IF(AND(N2674=1,O2674=1),"On Track",IF(O2674=0,"Customer Delivery Late","Ship Late"))</f>
        <v/>
      </c>
    </row>
    <row r="2675">
      <c r="A2675" s="2" t="inlineStr">
        <is>
          <t>ORD-02674</t>
        </is>
      </c>
      <c r="B2675" s="2" t="inlineStr">
        <is>
          <t>Customer 08</t>
        </is>
      </c>
      <c r="C2675" s="2" t="inlineStr">
        <is>
          <t>Relay</t>
        </is>
      </c>
      <c r="D2675" s="2" t="inlineStr">
        <is>
          <t>Plant A</t>
        </is>
      </c>
      <c r="E2675" s="2" t="inlineStr">
        <is>
          <t>South</t>
        </is>
      </c>
      <c r="F2675" s="12" t="n">
        <v>46123</v>
      </c>
      <c r="G2675" s="12" t="n">
        <v>46131</v>
      </c>
      <c r="H2675" s="12" t="n">
        <v>46130</v>
      </c>
      <c r="I2675" s="12" t="n">
        <v>46128</v>
      </c>
      <c r="J2675" s="12" t="n">
        <v>46129</v>
      </c>
      <c r="K2675" s="2" t="n">
        <v>1052</v>
      </c>
      <c r="L2675" s="2" t="inlineStr">
        <is>
          <t>Air</t>
        </is>
      </c>
      <c r="M2675" s="2" t="inlineStr">
        <is>
          <t>No Delay</t>
        </is>
      </c>
      <c r="N2675" s="4">
        <f>IF(I2675&lt;=H2675,1,0)</f>
        <v/>
      </c>
      <c r="O2675" s="4">
        <f>IF(J2675&lt;=G2675,1,0)</f>
        <v/>
      </c>
      <c r="P2675" s="4">
        <f>MAX(0,I2675-H2675)</f>
        <v/>
      </c>
      <c r="Q2675" s="4">
        <f>MAX(0,J2675-G2675)</f>
        <v/>
      </c>
      <c r="R2675" s="4">
        <f>IF(AND(N2675=1,O2675=1),"On Track",IF(O2675=0,"Customer Delivery Late","Ship Late"))</f>
        <v/>
      </c>
    </row>
    <row r="2676">
      <c r="A2676" s="2" t="inlineStr">
        <is>
          <t>ORD-02675</t>
        </is>
      </c>
      <c r="B2676" s="2" t="inlineStr">
        <is>
          <t>Customer 22</t>
        </is>
      </c>
      <c r="C2676" s="2" t="inlineStr">
        <is>
          <t>Drive</t>
        </is>
      </c>
      <c r="D2676" s="2" t="inlineStr">
        <is>
          <t>Plant B</t>
        </is>
      </c>
      <c r="E2676" s="2" t="inlineStr">
        <is>
          <t>Export</t>
        </is>
      </c>
      <c r="F2676" s="12" t="n">
        <v>46168</v>
      </c>
      <c r="G2676" s="12" t="n">
        <v>46191</v>
      </c>
      <c r="H2676" s="12" t="n">
        <v>46187</v>
      </c>
      <c r="I2676" s="12" t="n">
        <v>46192</v>
      </c>
      <c r="J2676" s="12" t="n">
        <v>46197</v>
      </c>
      <c r="K2676" s="2" t="n">
        <v>1275</v>
      </c>
      <c r="L2676" s="2" t="inlineStr">
        <is>
          <t>Road</t>
        </is>
      </c>
      <c r="M2676" s="2" t="inlineStr">
        <is>
          <t>Material Shortage</t>
        </is>
      </c>
      <c r="N2676" s="4">
        <f>IF(I2676&lt;=H2676,1,0)</f>
        <v/>
      </c>
      <c r="O2676" s="4">
        <f>IF(J2676&lt;=G2676,1,0)</f>
        <v/>
      </c>
      <c r="P2676" s="4">
        <f>MAX(0,I2676-H2676)</f>
        <v/>
      </c>
      <c r="Q2676" s="4">
        <f>MAX(0,J2676-G2676)</f>
        <v/>
      </c>
      <c r="R2676" s="4">
        <f>IF(AND(N2676=1,O2676=1),"On Track",IF(O2676=0,"Customer Delivery Late","Ship Late"))</f>
        <v/>
      </c>
    </row>
    <row r="2677">
      <c r="A2677" s="2" t="inlineStr">
        <is>
          <t>ORD-02676</t>
        </is>
      </c>
      <c r="B2677" s="2" t="inlineStr">
        <is>
          <t>Customer 04</t>
        </is>
      </c>
      <c r="C2677" s="2" t="inlineStr">
        <is>
          <t>Switchgear</t>
        </is>
      </c>
      <c r="D2677" s="2" t="inlineStr">
        <is>
          <t>Plant C</t>
        </is>
      </c>
      <c r="E2677" s="2" t="inlineStr">
        <is>
          <t>Export</t>
        </is>
      </c>
      <c r="F2677" s="12" t="n">
        <v>46063</v>
      </c>
      <c r="G2677" s="12" t="n">
        <v>46083</v>
      </c>
      <c r="H2677" s="12" t="n">
        <v>46079</v>
      </c>
      <c r="I2677" s="12" t="n">
        <v>46077</v>
      </c>
      <c r="J2677" s="12" t="n">
        <v>46081</v>
      </c>
      <c r="K2677" s="2" t="n">
        <v>431</v>
      </c>
      <c r="L2677" s="2" t="inlineStr">
        <is>
          <t>Sea</t>
        </is>
      </c>
      <c r="M2677" s="2" t="inlineStr">
        <is>
          <t>No Delay</t>
        </is>
      </c>
      <c r="N2677" s="4">
        <f>IF(I2677&lt;=H2677,1,0)</f>
        <v/>
      </c>
      <c r="O2677" s="4">
        <f>IF(J2677&lt;=G2677,1,0)</f>
        <v/>
      </c>
      <c r="P2677" s="4">
        <f>MAX(0,I2677-H2677)</f>
        <v/>
      </c>
      <c r="Q2677" s="4">
        <f>MAX(0,J2677-G2677)</f>
        <v/>
      </c>
      <c r="R2677" s="4">
        <f>IF(AND(N2677=1,O2677=1),"On Track",IF(O2677=0,"Customer Delivery Late","Ship Late"))</f>
        <v/>
      </c>
    </row>
    <row r="2678">
      <c r="A2678" s="2" t="inlineStr">
        <is>
          <t>ORD-02677</t>
        </is>
      </c>
      <c r="B2678" s="2" t="inlineStr">
        <is>
          <t>Customer 18</t>
        </is>
      </c>
      <c r="C2678" s="2" t="inlineStr">
        <is>
          <t>Power Supply</t>
        </is>
      </c>
      <c r="D2678" s="2" t="inlineStr">
        <is>
          <t>Plant A</t>
        </is>
      </c>
      <c r="E2678" s="2" t="inlineStr">
        <is>
          <t>North</t>
        </is>
      </c>
      <c r="F2678" s="12" t="n">
        <v>46069</v>
      </c>
      <c r="G2678" s="12" t="n">
        <v>46087</v>
      </c>
      <c r="H2678" s="12" t="n">
        <v>46086</v>
      </c>
      <c r="I2678" s="12" t="n">
        <v>46086</v>
      </c>
      <c r="J2678" s="12" t="n">
        <v>46088</v>
      </c>
      <c r="K2678" s="2" t="n">
        <v>1082</v>
      </c>
      <c r="L2678" s="2" t="inlineStr">
        <is>
          <t>Air</t>
        </is>
      </c>
      <c r="M2678" s="2" t="inlineStr">
        <is>
          <t>Capacity Constraint</t>
        </is>
      </c>
      <c r="N2678" s="4">
        <f>IF(I2678&lt;=H2678,1,0)</f>
        <v/>
      </c>
      <c r="O2678" s="4">
        <f>IF(J2678&lt;=G2678,1,0)</f>
        <v/>
      </c>
      <c r="P2678" s="4">
        <f>MAX(0,I2678-H2678)</f>
        <v/>
      </c>
      <c r="Q2678" s="4">
        <f>MAX(0,J2678-G2678)</f>
        <v/>
      </c>
      <c r="R2678" s="4">
        <f>IF(AND(N2678=1,O2678=1),"On Track",IF(O2678=0,"Customer Delivery Late","Ship Late"))</f>
        <v/>
      </c>
    </row>
    <row r="2679">
      <c r="A2679" s="2" t="inlineStr">
        <is>
          <t>ORD-02678</t>
        </is>
      </c>
      <c r="B2679" s="2" t="inlineStr">
        <is>
          <t>Customer 27</t>
        </is>
      </c>
      <c r="C2679" s="2" t="inlineStr">
        <is>
          <t>Sensor</t>
        </is>
      </c>
      <c r="D2679" s="2" t="inlineStr">
        <is>
          <t>Plant A</t>
        </is>
      </c>
      <c r="E2679" s="2" t="inlineStr">
        <is>
          <t>Central</t>
        </is>
      </c>
      <c r="F2679" s="12" t="n">
        <v>46195</v>
      </c>
      <c r="G2679" s="12" t="n">
        <v>46219</v>
      </c>
      <c r="H2679" s="12" t="n">
        <v>46215</v>
      </c>
      <c r="I2679" s="12" t="n">
        <v>46214</v>
      </c>
      <c r="J2679" s="12" t="n">
        <v>46218</v>
      </c>
      <c r="K2679" s="2" t="n">
        <v>851</v>
      </c>
      <c r="L2679" s="2" t="inlineStr">
        <is>
          <t>Air</t>
        </is>
      </c>
      <c r="M2679" s="2" t="inlineStr">
        <is>
          <t>No Delay</t>
        </is>
      </c>
      <c r="N2679" s="4">
        <f>IF(I2679&lt;=H2679,1,0)</f>
        <v/>
      </c>
      <c r="O2679" s="4">
        <f>IF(J2679&lt;=G2679,1,0)</f>
        <v/>
      </c>
      <c r="P2679" s="4">
        <f>MAX(0,I2679-H2679)</f>
        <v/>
      </c>
      <c r="Q2679" s="4">
        <f>MAX(0,J2679-G2679)</f>
        <v/>
      </c>
      <c r="R2679" s="4">
        <f>IF(AND(N2679=1,O2679=1),"On Track",IF(O2679=0,"Customer Delivery Late","Ship Late"))</f>
        <v/>
      </c>
    </row>
    <row r="2680">
      <c r="A2680" s="2" t="inlineStr">
        <is>
          <t>ORD-02679</t>
        </is>
      </c>
      <c r="B2680" s="2" t="inlineStr">
        <is>
          <t>Customer 16</t>
        </is>
      </c>
      <c r="C2680" s="2" t="inlineStr">
        <is>
          <t>Power Supply</t>
        </is>
      </c>
      <c r="D2680" s="2" t="inlineStr">
        <is>
          <t>Plant B</t>
        </is>
      </c>
      <c r="E2680" s="2" t="inlineStr">
        <is>
          <t>Export</t>
        </is>
      </c>
      <c r="F2680" s="12" t="n">
        <v>46092</v>
      </c>
      <c r="G2680" s="12" t="n">
        <v>46112</v>
      </c>
      <c r="H2680" s="12" t="n">
        <v>46111</v>
      </c>
      <c r="I2680" s="12" t="n">
        <v>46109</v>
      </c>
      <c r="J2680" s="12" t="n">
        <v>46110</v>
      </c>
      <c r="K2680" s="2" t="n">
        <v>550</v>
      </c>
      <c r="L2680" s="2" t="inlineStr">
        <is>
          <t>Sea</t>
        </is>
      </c>
      <c r="M2680" s="2" t="inlineStr">
        <is>
          <t>No Delay</t>
        </is>
      </c>
      <c r="N2680" s="4">
        <f>IF(I2680&lt;=H2680,1,0)</f>
        <v/>
      </c>
      <c r="O2680" s="4">
        <f>IF(J2680&lt;=G2680,1,0)</f>
        <v/>
      </c>
      <c r="P2680" s="4">
        <f>MAX(0,I2680-H2680)</f>
        <v/>
      </c>
      <c r="Q2680" s="4">
        <f>MAX(0,J2680-G2680)</f>
        <v/>
      </c>
      <c r="R2680" s="4">
        <f>IF(AND(N2680=1,O2680=1),"On Track",IF(O2680=0,"Customer Delivery Late","Ship Late"))</f>
        <v/>
      </c>
    </row>
    <row r="2681">
      <c r="A2681" s="2" t="inlineStr">
        <is>
          <t>ORD-02680</t>
        </is>
      </c>
      <c r="B2681" s="2" t="inlineStr">
        <is>
          <t>Customer 19</t>
        </is>
      </c>
      <c r="C2681" s="2" t="inlineStr">
        <is>
          <t>Sensor</t>
        </is>
      </c>
      <c r="D2681" s="2" t="inlineStr">
        <is>
          <t>Plant B</t>
        </is>
      </c>
      <c r="E2681" s="2" t="inlineStr">
        <is>
          <t>North</t>
        </is>
      </c>
      <c r="F2681" s="12" t="n">
        <v>46108</v>
      </c>
      <c r="G2681" s="12" t="n">
        <v>46129</v>
      </c>
      <c r="H2681" s="12" t="n">
        <v>46125</v>
      </c>
      <c r="I2681" s="12" t="n">
        <v>46124</v>
      </c>
      <c r="J2681" s="12" t="n">
        <v>46129</v>
      </c>
      <c r="K2681" s="2" t="n">
        <v>724</v>
      </c>
      <c r="L2681" s="2" t="inlineStr">
        <is>
          <t>Air</t>
        </is>
      </c>
      <c r="M2681" s="2" t="inlineStr">
        <is>
          <t>No Delay</t>
        </is>
      </c>
      <c r="N2681" s="4">
        <f>IF(I2681&lt;=H2681,1,0)</f>
        <v/>
      </c>
      <c r="O2681" s="4">
        <f>IF(J2681&lt;=G2681,1,0)</f>
        <v/>
      </c>
      <c r="P2681" s="4">
        <f>MAX(0,I2681-H2681)</f>
        <v/>
      </c>
      <c r="Q2681" s="4">
        <f>MAX(0,J2681-G2681)</f>
        <v/>
      </c>
      <c r="R2681" s="4">
        <f>IF(AND(N2681=1,O2681=1),"On Track",IF(O2681=0,"Customer Delivery Late","Ship Late"))</f>
        <v/>
      </c>
    </row>
    <row r="2682">
      <c r="A2682" s="2" t="inlineStr">
        <is>
          <t>ORD-02681</t>
        </is>
      </c>
      <c r="B2682" s="2" t="inlineStr">
        <is>
          <t>Customer 05</t>
        </is>
      </c>
      <c r="C2682" s="2" t="inlineStr">
        <is>
          <t>Sensor</t>
        </is>
      </c>
      <c r="D2682" s="2" t="inlineStr">
        <is>
          <t>Plant A</t>
        </is>
      </c>
      <c r="E2682" s="2" t="inlineStr">
        <is>
          <t>South</t>
        </is>
      </c>
      <c r="F2682" s="12" t="n">
        <v>46183</v>
      </c>
      <c r="G2682" s="12" t="n">
        <v>46195</v>
      </c>
      <c r="H2682" s="12" t="n">
        <v>46192</v>
      </c>
      <c r="I2682" s="12" t="n">
        <v>46191</v>
      </c>
      <c r="J2682" s="12" t="n">
        <v>46193</v>
      </c>
      <c r="K2682" s="2" t="n">
        <v>504</v>
      </c>
      <c r="L2682" s="2" t="inlineStr">
        <is>
          <t>Air</t>
        </is>
      </c>
      <c r="M2682" s="2" t="inlineStr">
        <is>
          <t>No Delay</t>
        </is>
      </c>
      <c r="N2682" s="4">
        <f>IF(I2682&lt;=H2682,1,0)</f>
        <v/>
      </c>
      <c r="O2682" s="4">
        <f>IF(J2682&lt;=G2682,1,0)</f>
        <v/>
      </c>
      <c r="P2682" s="4">
        <f>MAX(0,I2682-H2682)</f>
        <v/>
      </c>
      <c r="Q2682" s="4">
        <f>MAX(0,J2682-G2682)</f>
        <v/>
      </c>
      <c r="R2682" s="4">
        <f>IF(AND(N2682=1,O2682=1),"On Track",IF(O2682=0,"Customer Delivery Late","Ship Late"))</f>
        <v/>
      </c>
    </row>
    <row r="2683">
      <c r="A2683" s="2" t="inlineStr">
        <is>
          <t>ORD-02682</t>
        </is>
      </c>
      <c r="B2683" s="2" t="inlineStr">
        <is>
          <t>Customer 29</t>
        </is>
      </c>
      <c r="C2683" s="2" t="inlineStr">
        <is>
          <t>PLC</t>
        </is>
      </c>
      <c r="D2683" s="2" t="inlineStr">
        <is>
          <t>Plant C</t>
        </is>
      </c>
      <c r="E2683" s="2" t="inlineStr">
        <is>
          <t>South</t>
        </is>
      </c>
      <c r="F2683" s="12" t="n">
        <v>46149</v>
      </c>
      <c r="G2683" s="12" t="n">
        <v>46159</v>
      </c>
      <c r="H2683" s="12" t="n">
        <v>46154</v>
      </c>
      <c r="I2683" s="12" t="n">
        <v>46154</v>
      </c>
      <c r="J2683" s="12" t="n">
        <v>46160</v>
      </c>
      <c r="K2683" s="2" t="n">
        <v>691</v>
      </c>
      <c r="L2683" s="2" t="inlineStr">
        <is>
          <t>Road</t>
        </is>
      </c>
      <c r="M2683" s="2" t="inlineStr">
        <is>
          <t>Carrier Delay</t>
        </is>
      </c>
      <c r="N2683" s="4">
        <f>IF(I2683&lt;=H2683,1,0)</f>
        <v/>
      </c>
      <c r="O2683" s="4">
        <f>IF(J2683&lt;=G2683,1,0)</f>
        <v/>
      </c>
      <c r="P2683" s="4">
        <f>MAX(0,I2683-H2683)</f>
        <v/>
      </c>
      <c r="Q2683" s="4">
        <f>MAX(0,J2683-G2683)</f>
        <v/>
      </c>
      <c r="R2683" s="4">
        <f>IF(AND(N2683=1,O2683=1),"On Track",IF(O2683=0,"Customer Delivery Late","Ship Late"))</f>
        <v/>
      </c>
    </row>
    <row r="2684">
      <c r="A2684" s="2" t="inlineStr">
        <is>
          <t>ORD-02683</t>
        </is>
      </c>
      <c r="B2684" s="2" t="inlineStr">
        <is>
          <t>Customer 07</t>
        </is>
      </c>
      <c r="C2684" s="2" t="inlineStr">
        <is>
          <t>PLC</t>
        </is>
      </c>
      <c r="D2684" s="2" t="inlineStr">
        <is>
          <t>Plant C</t>
        </is>
      </c>
      <c r="E2684" s="2" t="inlineStr">
        <is>
          <t>South</t>
        </is>
      </c>
      <c r="F2684" s="12" t="n">
        <v>46083</v>
      </c>
      <c r="G2684" s="12" t="n">
        <v>46102</v>
      </c>
      <c r="H2684" s="12" t="n">
        <v>46099</v>
      </c>
      <c r="I2684" s="12" t="n">
        <v>46097</v>
      </c>
      <c r="J2684" s="12" t="n">
        <v>46104</v>
      </c>
      <c r="K2684" s="2" t="n">
        <v>835</v>
      </c>
      <c r="L2684" s="2" t="inlineStr">
        <is>
          <t>Sea</t>
        </is>
      </c>
      <c r="M2684" s="2" t="inlineStr">
        <is>
          <t>Capacity Constraint</t>
        </is>
      </c>
      <c r="N2684" s="4">
        <f>IF(I2684&lt;=H2684,1,0)</f>
        <v/>
      </c>
      <c r="O2684" s="4">
        <f>IF(J2684&lt;=G2684,1,0)</f>
        <v/>
      </c>
      <c r="P2684" s="4">
        <f>MAX(0,I2684-H2684)</f>
        <v/>
      </c>
      <c r="Q2684" s="4">
        <f>MAX(0,J2684-G2684)</f>
        <v/>
      </c>
      <c r="R2684" s="4">
        <f>IF(AND(N2684=1,O2684=1),"On Track",IF(O2684=0,"Customer Delivery Late","Ship Late"))</f>
        <v/>
      </c>
    </row>
    <row r="2685">
      <c r="A2685" s="2" t="inlineStr">
        <is>
          <t>ORD-02684</t>
        </is>
      </c>
      <c r="B2685" s="2" t="inlineStr">
        <is>
          <t>Customer 17</t>
        </is>
      </c>
      <c r="C2685" s="2" t="inlineStr">
        <is>
          <t>Breaker</t>
        </is>
      </c>
      <c r="D2685" s="2" t="inlineStr">
        <is>
          <t>Plant C</t>
        </is>
      </c>
      <c r="E2685" s="2" t="inlineStr">
        <is>
          <t>South</t>
        </is>
      </c>
      <c r="F2685" s="12" t="n">
        <v>46071</v>
      </c>
      <c r="G2685" s="12" t="n">
        <v>46081</v>
      </c>
      <c r="H2685" s="12" t="n">
        <v>46076</v>
      </c>
      <c r="I2685" s="12" t="n">
        <v>46075</v>
      </c>
      <c r="J2685" s="12" t="n">
        <v>46080</v>
      </c>
      <c r="K2685" s="2" t="n">
        <v>69</v>
      </c>
      <c r="L2685" s="2" t="inlineStr">
        <is>
          <t>Air</t>
        </is>
      </c>
      <c r="M2685" s="2" t="inlineStr">
        <is>
          <t>No Delay</t>
        </is>
      </c>
      <c r="N2685" s="4">
        <f>IF(I2685&lt;=H2685,1,0)</f>
        <v/>
      </c>
      <c r="O2685" s="4">
        <f>IF(J2685&lt;=G2685,1,0)</f>
        <v/>
      </c>
      <c r="P2685" s="4">
        <f>MAX(0,I2685-H2685)</f>
        <v/>
      </c>
      <c r="Q2685" s="4">
        <f>MAX(0,J2685-G2685)</f>
        <v/>
      </c>
      <c r="R2685" s="4">
        <f>IF(AND(N2685=1,O2685=1),"On Track",IF(O2685=0,"Customer Delivery Late","Ship Late"))</f>
        <v/>
      </c>
    </row>
    <row r="2686">
      <c r="A2686" s="2" t="inlineStr">
        <is>
          <t>ORD-02685</t>
        </is>
      </c>
      <c r="B2686" s="2" t="inlineStr">
        <is>
          <t>Customer 06</t>
        </is>
      </c>
      <c r="C2686" s="2" t="inlineStr">
        <is>
          <t>Sensor</t>
        </is>
      </c>
      <c r="D2686" s="2" t="inlineStr">
        <is>
          <t>Plant A</t>
        </is>
      </c>
      <c r="E2686" s="2" t="inlineStr">
        <is>
          <t>South</t>
        </is>
      </c>
      <c r="F2686" s="12" t="n">
        <v>46079</v>
      </c>
      <c r="G2686" s="12" t="n">
        <v>46098</v>
      </c>
      <c r="H2686" s="12" t="n">
        <v>46096</v>
      </c>
      <c r="I2686" s="12" t="n">
        <v>46095</v>
      </c>
      <c r="J2686" s="12" t="n">
        <v>46102</v>
      </c>
      <c r="K2686" s="2" t="n">
        <v>221</v>
      </c>
      <c r="L2686" s="2" t="inlineStr">
        <is>
          <t>Road</t>
        </is>
      </c>
      <c r="M2686" s="2" t="inlineStr">
        <is>
          <t>Production Delay</t>
        </is>
      </c>
      <c r="N2686" s="4">
        <f>IF(I2686&lt;=H2686,1,0)</f>
        <v/>
      </c>
      <c r="O2686" s="4">
        <f>IF(J2686&lt;=G2686,1,0)</f>
        <v/>
      </c>
      <c r="P2686" s="4">
        <f>MAX(0,I2686-H2686)</f>
        <v/>
      </c>
      <c r="Q2686" s="4">
        <f>MAX(0,J2686-G2686)</f>
        <v/>
      </c>
      <c r="R2686" s="4">
        <f>IF(AND(N2686=1,O2686=1),"On Track",IF(O2686=0,"Customer Delivery Late","Ship Late"))</f>
        <v/>
      </c>
    </row>
    <row r="2687">
      <c r="A2687" s="2" t="inlineStr">
        <is>
          <t>ORD-02686</t>
        </is>
      </c>
      <c r="B2687" s="2" t="inlineStr">
        <is>
          <t>Customer 29</t>
        </is>
      </c>
      <c r="C2687" s="2" t="inlineStr">
        <is>
          <t>Sensor</t>
        </is>
      </c>
      <c r="D2687" s="2" t="inlineStr">
        <is>
          <t>Plant B</t>
        </is>
      </c>
      <c r="E2687" s="2" t="inlineStr">
        <is>
          <t>Export</t>
        </is>
      </c>
      <c r="F2687" s="12" t="n">
        <v>46059</v>
      </c>
      <c r="G2687" s="12" t="n">
        <v>46077</v>
      </c>
      <c r="H2687" s="12" t="n">
        <v>46074</v>
      </c>
      <c r="I2687" s="12" t="n">
        <v>46074</v>
      </c>
      <c r="J2687" s="12" t="n">
        <v>46078</v>
      </c>
      <c r="K2687" s="2" t="n">
        <v>585</v>
      </c>
      <c r="L2687" s="2" t="inlineStr">
        <is>
          <t>Sea</t>
        </is>
      </c>
      <c r="M2687" s="2" t="inlineStr">
        <is>
          <t>Production Delay</t>
        </is>
      </c>
      <c r="N2687" s="4">
        <f>IF(I2687&lt;=H2687,1,0)</f>
        <v/>
      </c>
      <c r="O2687" s="4">
        <f>IF(J2687&lt;=G2687,1,0)</f>
        <v/>
      </c>
      <c r="P2687" s="4">
        <f>MAX(0,I2687-H2687)</f>
        <v/>
      </c>
      <c r="Q2687" s="4">
        <f>MAX(0,J2687-G2687)</f>
        <v/>
      </c>
      <c r="R2687" s="4">
        <f>IF(AND(N2687=1,O2687=1),"On Track",IF(O2687=0,"Customer Delivery Late","Ship Late"))</f>
        <v/>
      </c>
    </row>
    <row r="2688">
      <c r="A2688" s="2" t="inlineStr">
        <is>
          <t>ORD-02687</t>
        </is>
      </c>
      <c r="B2688" s="2" t="inlineStr">
        <is>
          <t>Customer 28</t>
        </is>
      </c>
      <c r="C2688" s="2" t="inlineStr">
        <is>
          <t>Relay</t>
        </is>
      </c>
      <c r="D2688" s="2" t="inlineStr">
        <is>
          <t>Plant B</t>
        </is>
      </c>
      <c r="E2688" s="2" t="inlineStr">
        <is>
          <t>Central</t>
        </is>
      </c>
      <c r="F2688" s="12" t="n">
        <v>46132</v>
      </c>
      <c r="G2688" s="12" t="n">
        <v>46145</v>
      </c>
      <c r="H2688" s="12" t="n">
        <v>46141</v>
      </c>
      <c r="I2688" s="12" t="n">
        <v>46141</v>
      </c>
      <c r="J2688" s="12" t="n">
        <v>46145</v>
      </c>
      <c r="K2688" s="2" t="n">
        <v>1178</v>
      </c>
      <c r="L2688" s="2" t="inlineStr">
        <is>
          <t>Sea</t>
        </is>
      </c>
      <c r="M2688" s="2" t="inlineStr">
        <is>
          <t>No Delay</t>
        </is>
      </c>
      <c r="N2688" s="4">
        <f>IF(I2688&lt;=H2688,1,0)</f>
        <v/>
      </c>
      <c r="O2688" s="4">
        <f>IF(J2688&lt;=G2688,1,0)</f>
        <v/>
      </c>
      <c r="P2688" s="4">
        <f>MAX(0,I2688-H2688)</f>
        <v/>
      </c>
      <c r="Q2688" s="4">
        <f>MAX(0,J2688-G2688)</f>
        <v/>
      </c>
      <c r="R2688" s="4">
        <f>IF(AND(N2688=1,O2688=1),"On Track",IF(O2688=0,"Customer Delivery Late","Ship Late"))</f>
        <v/>
      </c>
    </row>
    <row r="2689">
      <c r="A2689" s="2" t="inlineStr">
        <is>
          <t>ORD-02688</t>
        </is>
      </c>
      <c r="B2689" s="2" t="inlineStr">
        <is>
          <t>Customer 27</t>
        </is>
      </c>
      <c r="C2689" s="2" t="inlineStr">
        <is>
          <t>Contactor</t>
        </is>
      </c>
      <c r="D2689" s="2" t="inlineStr">
        <is>
          <t>Plant A</t>
        </is>
      </c>
      <c r="E2689" s="2" t="inlineStr">
        <is>
          <t>North</t>
        </is>
      </c>
      <c r="F2689" s="12" t="n">
        <v>46144</v>
      </c>
      <c r="G2689" s="12" t="n">
        <v>46157</v>
      </c>
      <c r="H2689" s="12" t="n">
        <v>46156</v>
      </c>
      <c r="I2689" s="12" t="n">
        <v>46154</v>
      </c>
      <c r="J2689" s="12" t="n">
        <v>46156</v>
      </c>
      <c r="K2689" s="2" t="n">
        <v>53</v>
      </c>
      <c r="L2689" s="2" t="inlineStr">
        <is>
          <t>Road</t>
        </is>
      </c>
      <c r="M2689" s="2" t="inlineStr">
        <is>
          <t>No Delay</t>
        </is>
      </c>
      <c r="N2689" s="4">
        <f>IF(I2689&lt;=H2689,1,0)</f>
        <v/>
      </c>
      <c r="O2689" s="4">
        <f>IF(J2689&lt;=G2689,1,0)</f>
        <v/>
      </c>
      <c r="P2689" s="4">
        <f>MAX(0,I2689-H2689)</f>
        <v/>
      </c>
      <c r="Q2689" s="4">
        <f>MAX(0,J2689-G2689)</f>
        <v/>
      </c>
      <c r="R2689" s="4">
        <f>IF(AND(N2689=1,O2689=1),"On Track",IF(O2689=0,"Customer Delivery Late","Ship Late"))</f>
        <v/>
      </c>
    </row>
    <row r="2690">
      <c r="A2690" s="2" t="inlineStr">
        <is>
          <t>ORD-02689</t>
        </is>
      </c>
      <c r="B2690" s="2" t="inlineStr">
        <is>
          <t>Customer 10</t>
        </is>
      </c>
      <c r="C2690" s="2" t="inlineStr">
        <is>
          <t>Sensor</t>
        </is>
      </c>
      <c r="D2690" s="2" t="inlineStr">
        <is>
          <t>Plant C</t>
        </is>
      </c>
      <c r="E2690" s="2" t="inlineStr">
        <is>
          <t>Export</t>
        </is>
      </c>
      <c r="F2690" s="12" t="n">
        <v>46183</v>
      </c>
      <c r="G2690" s="12" t="n">
        <v>46203</v>
      </c>
      <c r="H2690" s="12" t="n">
        <v>46199</v>
      </c>
      <c r="I2690" s="12" t="n">
        <v>46199</v>
      </c>
      <c r="J2690" s="12" t="n">
        <v>46204</v>
      </c>
      <c r="K2690" s="2" t="n">
        <v>984</v>
      </c>
      <c r="L2690" s="2" t="inlineStr">
        <is>
          <t>Sea</t>
        </is>
      </c>
      <c r="M2690" s="2" t="inlineStr">
        <is>
          <t>Documentation Issue</t>
        </is>
      </c>
      <c r="N2690" s="4">
        <f>IF(I2690&lt;=H2690,1,0)</f>
        <v/>
      </c>
      <c r="O2690" s="4">
        <f>IF(J2690&lt;=G2690,1,0)</f>
        <v/>
      </c>
      <c r="P2690" s="4">
        <f>MAX(0,I2690-H2690)</f>
        <v/>
      </c>
      <c r="Q2690" s="4">
        <f>MAX(0,J2690-G2690)</f>
        <v/>
      </c>
      <c r="R2690" s="4">
        <f>IF(AND(N2690=1,O2690=1),"On Track",IF(O2690=0,"Customer Delivery Late","Ship Late"))</f>
        <v/>
      </c>
    </row>
    <row r="2691">
      <c r="A2691" s="2" t="inlineStr">
        <is>
          <t>ORD-02690</t>
        </is>
      </c>
      <c r="B2691" s="2" t="inlineStr">
        <is>
          <t>Customer 09</t>
        </is>
      </c>
      <c r="C2691" s="2" t="inlineStr">
        <is>
          <t>PLC</t>
        </is>
      </c>
      <c r="D2691" s="2" t="inlineStr">
        <is>
          <t>Plant B</t>
        </is>
      </c>
      <c r="E2691" s="2" t="inlineStr">
        <is>
          <t>Export</t>
        </is>
      </c>
      <c r="F2691" s="12" t="n">
        <v>46185</v>
      </c>
      <c r="G2691" s="12" t="n">
        <v>46205</v>
      </c>
      <c r="H2691" s="12" t="n">
        <v>46203</v>
      </c>
      <c r="I2691" s="12" t="n">
        <v>46201</v>
      </c>
      <c r="J2691" s="12" t="n">
        <v>46203</v>
      </c>
      <c r="K2691" s="2" t="n">
        <v>1352</v>
      </c>
      <c r="L2691" s="2" t="inlineStr">
        <is>
          <t>Air</t>
        </is>
      </c>
      <c r="M2691" s="2" t="inlineStr">
        <is>
          <t>No Delay</t>
        </is>
      </c>
      <c r="N2691" s="4">
        <f>IF(I2691&lt;=H2691,1,0)</f>
        <v/>
      </c>
      <c r="O2691" s="4">
        <f>IF(J2691&lt;=G2691,1,0)</f>
        <v/>
      </c>
      <c r="P2691" s="4">
        <f>MAX(0,I2691-H2691)</f>
        <v/>
      </c>
      <c r="Q2691" s="4">
        <f>MAX(0,J2691-G2691)</f>
        <v/>
      </c>
      <c r="R2691" s="4">
        <f>IF(AND(N2691=1,O2691=1),"On Track",IF(O2691=0,"Customer Delivery Late","Ship Late"))</f>
        <v/>
      </c>
    </row>
    <row r="2692">
      <c r="A2692" s="2" t="inlineStr">
        <is>
          <t>ORD-02691</t>
        </is>
      </c>
      <c r="B2692" s="2" t="inlineStr">
        <is>
          <t>Customer 25</t>
        </is>
      </c>
      <c r="C2692" s="2" t="inlineStr">
        <is>
          <t>Relay</t>
        </is>
      </c>
      <c r="D2692" s="2" t="inlineStr">
        <is>
          <t>Plant B</t>
        </is>
      </c>
      <c r="E2692" s="2" t="inlineStr">
        <is>
          <t>North</t>
        </is>
      </c>
      <c r="F2692" s="12" t="n">
        <v>46092</v>
      </c>
      <c r="G2692" s="12" t="n">
        <v>46112</v>
      </c>
      <c r="H2692" s="12" t="n">
        <v>46107</v>
      </c>
      <c r="I2692" s="12" t="n">
        <v>46106</v>
      </c>
      <c r="J2692" s="12" t="n">
        <v>46111</v>
      </c>
      <c r="K2692" s="2" t="n">
        <v>390</v>
      </c>
      <c r="L2692" s="2" t="inlineStr">
        <is>
          <t>Air</t>
        </is>
      </c>
      <c r="M2692" s="2" t="inlineStr">
        <is>
          <t>No Delay</t>
        </is>
      </c>
      <c r="N2692" s="4">
        <f>IF(I2692&lt;=H2692,1,0)</f>
        <v/>
      </c>
      <c r="O2692" s="4">
        <f>IF(J2692&lt;=G2692,1,0)</f>
        <v/>
      </c>
      <c r="P2692" s="4">
        <f>MAX(0,I2692-H2692)</f>
        <v/>
      </c>
      <c r="Q2692" s="4">
        <f>MAX(0,J2692-G2692)</f>
        <v/>
      </c>
      <c r="R2692" s="4">
        <f>IF(AND(N2692=1,O2692=1),"On Track",IF(O2692=0,"Customer Delivery Late","Ship Late"))</f>
        <v/>
      </c>
    </row>
    <row r="2693">
      <c r="A2693" s="2" t="inlineStr">
        <is>
          <t>ORD-02692</t>
        </is>
      </c>
      <c r="B2693" s="2" t="inlineStr">
        <is>
          <t>Customer 21</t>
        </is>
      </c>
      <c r="C2693" s="2" t="inlineStr">
        <is>
          <t>Contactor</t>
        </is>
      </c>
      <c r="D2693" s="2" t="inlineStr">
        <is>
          <t>Plant A</t>
        </is>
      </c>
      <c r="E2693" s="2" t="inlineStr">
        <is>
          <t>Central</t>
        </is>
      </c>
      <c r="F2693" s="12" t="n">
        <v>46030</v>
      </c>
      <c r="G2693" s="12" t="n">
        <v>46047</v>
      </c>
      <c r="H2693" s="12" t="n">
        <v>46042</v>
      </c>
      <c r="I2693" s="12" t="n">
        <v>46041</v>
      </c>
      <c r="J2693" s="12" t="n">
        <v>46045</v>
      </c>
      <c r="K2693" s="2" t="n">
        <v>499</v>
      </c>
      <c r="L2693" s="2" t="inlineStr">
        <is>
          <t>Sea</t>
        </is>
      </c>
      <c r="M2693" s="2" t="inlineStr">
        <is>
          <t>No Delay</t>
        </is>
      </c>
      <c r="N2693" s="4">
        <f>IF(I2693&lt;=H2693,1,0)</f>
        <v/>
      </c>
      <c r="O2693" s="4">
        <f>IF(J2693&lt;=G2693,1,0)</f>
        <v/>
      </c>
      <c r="P2693" s="4">
        <f>MAX(0,I2693-H2693)</f>
        <v/>
      </c>
      <c r="Q2693" s="4">
        <f>MAX(0,J2693-G2693)</f>
        <v/>
      </c>
      <c r="R2693" s="4">
        <f>IF(AND(N2693=1,O2693=1),"On Track",IF(O2693=0,"Customer Delivery Late","Ship Late"))</f>
        <v/>
      </c>
    </row>
    <row r="2694">
      <c r="A2694" s="2" t="inlineStr">
        <is>
          <t>ORD-02693</t>
        </is>
      </c>
      <c r="B2694" s="2" t="inlineStr">
        <is>
          <t>Customer 12</t>
        </is>
      </c>
      <c r="C2694" s="2" t="inlineStr">
        <is>
          <t>Sensor</t>
        </is>
      </c>
      <c r="D2694" s="2" t="inlineStr">
        <is>
          <t>Plant C</t>
        </is>
      </c>
      <c r="E2694" s="2" t="inlineStr">
        <is>
          <t>North</t>
        </is>
      </c>
      <c r="F2694" s="12" t="n">
        <v>46125</v>
      </c>
      <c r="G2694" s="12" t="n">
        <v>46133</v>
      </c>
      <c r="H2694" s="12" t="n">
        <v>46131</v>
      </c>
      <c r="I2694" s="12" t="n">
        <v>46129</v>
      </c>
      <c r="J2694" s="12" t="n">
        <v>46131</v>
      </c>
      <c r="K2694" s="2" t="n">
        <v>1443</v>
      </c>
      <c r="L2694" s="2" t="inlineStr">
        <is>
          <t>Sea</t>
        </is>
      </c>
      <c r="M2694" s="2" t="inlineStr">
        <is>
          <t>No Delay</t>
        </is>
      </c>
      <c r="N2694" s="4">
        <f>IF(I2694&lt;=H2694,1,0)</f>
        <v/>
      </c>
      <c r="O2694" s="4">
        <f>IF(J2694&lt;=G2694,1,0)</f>
        <v/>
      </c>
      <c r="P2694" s="4">
        <f>MAX(0,I2694-H2694)</f>
        <v/>
      </c>
      <c r="Q2694" s="4">
        <f>MAX(0,J2694-G2694)</f>
        <v/>
      </c>
      <c r="R2694" s="4">
        <f>IF(AND(N2694=1,O2694=1),"On Track",IF(O2694=0,"Customer Delivery Late","Ship Late"))</f>
        <v/>
      </c>
    </row>
    <row r="2695">
      <c r="A2695" s="2" t="inlineStr">
        <is>
          <t>ORD-02694</t>
        </is>
      </c>
      <c r="B2695" s="2" t="inlineStr">
        <is>
          <t>Customer 23</t>
        </is>
      </c>
      <c r="C2695" s="2" t="inlineStr">
        <is>
          <t>Breaker</t>
        </is>
      </c>
      <c r="D2695" s="2" t="inlineStr">
        <is>
          <t>Plant B</t>
        </is>
      </c>
      <c r="E2695" s="2" t="inlineStr">
        <is>
          <t>North</t>
        </is>
      </c>
      <c r="F2695" s="12" t="n">
        <v>46076</v>
      </c>
      <c r="G2695" s="12" t="n">
        <v>46088</v>
      </c>
      <c r="H2695" s="12" t="n">
        <v>46084</v>
      </c>
      <c r="I2695" s="12" t="n">
        <v>46084</v>
      </c>
      <c r="J2695" s="12" t="n">
        <v>46087</v>
      </c>
      <c r="K2695" s="2" t="n">
        <v>101</v>
      </c>
      <c r="L2695" s="2" t="inlineStr">
        <is>
          <t>Sea</t>
        </is>
      </c>
      <c r="M2695" s="2" t="inlineStr">
        <is>
          <t>No Delay</t>
        </is>
      </c>
      <c r="N2695" s="4">
        <f>IF(I2695&lt;=H2695,1,0)</f>
        <v/>
      </c>
      <c r="O2695" s="4">
        <f>IF(J2695&lt;=G2695,1,0)</f>
        <v/>
      </c>
      <c r="P2695" s="4">
        <f>MAX(0,I2695-H2695)</f>
        <v/>
      </c>
      <c r="Q2695" s="4">
        <f>MAX(0,J2695-G2695)</f>
        <v/>
      </c>
      <c r="R2695" s="4">
        <f>IF(AND(N2695=1,O2695=1),"On Track",IF(O2695=0,"Customer Delivery Late","Ship Late"))</f>
        <v/>
      </c>
    </row>
    <row r="2696">
      <c r="A2696" s="2" t="inlineStr">
        <is>
          <t>ORD-02695</t>
        </is>
      </c>
      <c r="B2696" s="2" t="inlineStr">
        <is>
          <t>Customer 02</t>
        </is>
      </c>
      <c r="C2696" s="2" t="inlineStr">
        <is>
          <t>Switchgear</t>
        </is>
      </c>
      <c r="D2696" s="2" t="inlineStr">
        <is>
          <t>Plant C</t>
        </is>
      </c>
      <c r="E2696" s="2" t="inlineStr">
        <is>
          <t>Central</t>
        </is>
      </c>
      <c r="F2696" s="12" t="n">
        <v>46126</v>
      </c>
      <c r="G2696" s="12" t="n">
        <v>46151</v>
      </c>
      <c r="H2696" s="12" t="n">
        <v>46148</v>
      </c>
      <c r="I2696" s="12" t="n">
        <v>46146</v>
      </c>
      <c r="J2696" s="12" t="n">
        <v>46149</v>
      </c>
      <c r="K2696" s="2" t="n">
        <v>1111</v>
      </c>
      <c r="L2696" s="2" t="inlineStr">
        <is>
          <t>Sea</t>
        </is>
      </c>
      <c r="M2696" s="2" t="inlineStr">
        <is>
          <t>No Delay</t>
        </is>
      </c>
      <c r="N2696" s="4">
        <f>IF(I2696&lt;=H2696,1,0)</f>
        <v/>
      </c>
      <c r="O2696" s="4">
        <f>IF(J2696&lt;=G2696,1,0)</f>
        <v/>
      </c>
      <c r="P2696" s="4">
        <f>MAX(0,I2696-H2696)</f>
        <v/>
      </c>
      <c r="Q2696" s="4">
        <f>MAX(0,J2696-G2696)</f>
        <v/>
      </c>
      <c r="R2696" s="4">
        <f>IF(AND(N2696=1,O2696=1),"On Track",IF(O2696=0,"Customer Delivery Late","Ship Late"))</f>
        <v/>
      </c>
    </row>
    <row r="2697">
      <c r="A2697" s="2" t="inlineStr">
        <is>
          <t>ORD-02696</t>
        </is>
      </c>
      <c r="B2697" s="2" t="inlineStr">
        <is>
          <t>Customer 17</t>
        </is>
      </c>
      <c r="C2697" s="2" t="inlineStr">
        <is>
          <t>Drive</t>
        </is>
      </c>
      <c r="D2697" s="2" t="inlineStr">
        <is>
          <t>Plant B</t>
        </is>
      </c>
      <c r="E2697" s="2" t="inlineStr">
        <is>
          <t>Central</t>
        </is>
      </c>
      <c r="F2697" s="12" t="n">
        <v>46188</v>
      </c>
      <c r="G2697" s="12" t="n">
        <v>46202</v>
      </c>
      <c r="H2697" s="12" t="n">
        <v>46198</v>
      </c>
      <c r="I2697" s="12" t="n">
        <v>46197</v>
      </c>
      <c r="J2697" s="12" t="n">
        <v>46200</v>
      </c>
      <c r="K2697" s="2" t="n">
        <v>896</v>
      </c>
      <c r="L2697" s="2" t="inlineStr">
        <is>
          <t>Air</t>
        </is>
      </c>
      <c r="M2697" s="2" t="inlineStr">
        <is>
          <t>No Delay</t>
        </is>
      </c>
      <c r="N2697" s="4">
        <f>IF(I2697&lt;=H2697,1,0)</f>
        <v/>
      </c>
      <c r="O2697" s="4">
        <f>IF(J2697&lt;=G2697,1,0)</f>
        <v/>
      </c>
      <c r="P2697" s="4">
        <f>MAX(0,I2697-H2697)</f>
        <v/>
      </c>
      <c r="Q2697" s="4">
        <f>MAX(0,J2697-G2697)</f>
        <v/>
      </c>
      <c r="R2697" s="4">
        <f>IF(AND(N2697=1,O2697=1),"On Track",IF(O2697=0,"Customer Delivery Late","Ship Late"))</f>
        <v/>
      </c>
    </row>
    <row r="2698">
      <c r="A2698" s="2" t="inlineStr">
        <is>
          <t>ORD-02697</t>
        </is>
      </c>
      <c r="B2698" s="2" t="inlineStr">
        <is>
          <t>Customer 02</t>
        </is>
      </c>
      <c r="C2698" s="2" t="inlineStr">
        <is>
          <t>Breaker</t>
        </is>
      </c>
      <c r="D2698" s="2" t="inlineStr">
        <is>
          <t>Plant A</t>
        </is>
      </c>
      <c r="E2698" s="2" t="inlineStr">
        <is>
          <t>North</t>
        </is>
      </c>
      <c r="F2698" s="12" t="n">
        <v>46191</v>
      </c>
      <c r="G2698" s="12" t="n">
        <v>46205</v>
      </c>
      <c r="H2698" s="12" t="n">
        <v>46204</v>
      </c>
      <c r="I2698" s="12" t="n">
        <v>46203</v>
      </c>
      <c r="J2698" s="12" t="n">
        <v>46204</v>
      </c>
      <c r="K2698" s="2" t="n">
        <v>935</v>
      </c>
      <c r="L2698" s="2" t="inlineStr">
        <is>
          <t>Sea</t>
        </is>
      </c>
      <c r="M2698" s="2" t="inlineStr">
        <is>
          <t>No Delay</t>
        </is>
      </c>
      <c r="N2698" s="4">
        <f>IF(I2698&lt;=H2698,1,0)</f>
        <v/>
      </c>
      <c r="O2698" s="4">
        <f>IF(J2698&lt;=G2698,1,0)</f>
        <v/>
      </c>
      <c r="P2698" s="4">
        <f>MAX(0,I2698-H2698)</f>
        <v/>
      </c>
      <c r="Q2698" s="4">
        <f>MAX(0,J2698-G2698)</f>
        <v/>
      </c>
      <c r="R2698" s="4">
        <f>IF(AND(N2698=1,O2698=1),"On Track",IF(O2698=0,"Customer Delivery Late","Ship Late"))</f>
        <v/>
      </c>
    </row>
    <row r="2699">
      <c r="A2699" s="2" t="inlineStr">
        <is>
          <t>ORD-02698</t>
        </is>
      </c>
      <c r="B2699" s="2" t="inlineStr">
        <is>
          <t>Customer 24</t>
        </is>
      </c>
      <c r="C2699" s="2" t="inlineStr">
        <is>
          <t>Drive</t>
        </is>
      </c>
      <c r="D2699" s="2" t="inlineStr">
        <is>
          <t>Plant C</t>
        </is>
      </c>
      <c r="E2699" s="2" t="inlineStr">
        <is>
          <t>South</t>
        </is>
      </c>
      <c r="F2699" s="12" t="n">
        <v>46152</v>
      </c>
      <c r="G2699" s="12" t="n">
        <v>46164</v>
      </c>
      <c r="H2699" s="12" t="n">
        <v>46160</v>
      </c>
      <c r="I2699" s="12" t="n">
        <v>46159</v>
      </c>
      <c r="J2699" s="12" t="n">
        <v>46162</v>
      </c>
      <c r="K2699" s="2" t="n">
        <v>544</v>
      </c>
      <c r="L2699" s="2" t="inlineStr">
        <is>
          <t>Air</t>
        </is>
      </c>
      <c r="M2699" s="2" t="inlineStr">
        <is>
          <t>No Delay</t>
        </is>
      </c>
      <c r="N2699" s="4">
        <f>IF(I2699&lt;=H2699,1,0)</f>
        <v/>
      </c>
      <c r="O2699" s="4">
        <f>IF(J2699&lt;=G2699,1,0)</f>
        <v/>
      </c>
      <c r="P2699" s="4">
        <f>MAX(0,I2699-H2699)</f>
        <v/>
      </c>
      <c r="Q2699" s="4">
        <f>MAX(0,J2699-G2699)</f>
        <v/>
      </c>
      <c r="R2699" s="4">
        <f>IF(AND(N2699=1,O2699=1),"On Track",IF(O2699=0,"Customer Delivery Late","Ship Late"))</f>
        <v/>
      </c>
    </row>
    <row r="2700">
      <c r="A2700" s="2" t="inlineStr">
        <is>
          <t>ORD-02699</t>
        </is>
      </c>
      <c r="B2700" s="2" t="inlineStr">
        <is>
          <t>Customer 06</t>
        </is>
      </c>
      <c r="C2700" s="2" t="inlineStr">
        <is>
          <t>Breaker</t>
        </is>
      </c>
      <c r="D2700" s="2" t="inlineStr">
        <is>
          <t>Plant B</t>
        </is>
      </c>
      <c r="E2700" s="2" t="inlineStr">
        <is>
          <t>South</t>
        </is>
      </c>
      <c r="F2700" s="12" t="n">
        <v>46033</v>
      </c>
      <c r="G2700" s="12" t="n">
        <v>46055</v>
      </c>
      <c r="H2700" s="12" t="n">
        <v>46050</v>
      </c>
      <c r="I2700" s="12" t="n">
        <v>46049</v>
      </c>
      <c r="J2700" s="12" t="n">
        <v>46053</v>
      </c>
      <c r="K2700" s="2" t="n">
        <v>902</v>
      </c>
      <c r="L2700" s="2" t="inlineStr">
        <is>
          <t>Road</t>
        </is>
      </c>
      <c r="M2700" s="2" t="inlineStr">
        <is>
          <t>No Delay</t>
        </is>
      </c>
      <c r="N2700" s="4">
        <f>IF(I2700&lt;=H2700,1,0)</f>
        <v/>
      </c>
      <c r="O2700" s="4">
        <f>IF(J2700&lt;=G2700,1,0)</f>
        <v/>
      </c>
      <c r="P2700" s="4">
        <f>MAX(0,I2700-H2700)</f>
        <v/>
      </c>
      <c r="Q2700" s="4">
        <f>MAX(0,J2700-G2700)</f>
        <v/>
      </c>
      <c r="R2700" s="4">
        <f>IF(AND(N2700=1,O2700=1),"On Track",IF(O2700=0,"Customer Delivery Late","Ship Late"))</f>
        <v/>
      </c>
    </row>
    <row r="2701">
      <c r="A2701" s="2" t="inlineStr">
        <is>
          <t>ORD-02700</t>
        </is>
      </c>
      <c r="B2701" s="2" t="inlineStr">
        <is>
          <t>Customer 27</t>
        </is>
      </c>
      <c r="C2701" s="2" t="inlineStr">
        <is>
          <t>Breaker</t>
        </is>
      </c>
      <c r="D2701" s="2" t="inlineStr">
        <is>
          <t>Plant A</t>
        </is>
      </c>
      <c r="E2701" s="2" t="inlineStr">
        <is>
          <t>Export</t>
        </is>
      </c>
      <c r="F2701" s="12" t="n">
        <v>46110</v>
      </c>
      <c r="G2701" s="12" t="n">
        <v>46119</v>
      </c>
      <c r="H2701" s="12" t="n">
        <v>46115</v>
      </c>
      <c r="I2701" s="12" t="n">
        <v>46113</v>
      </c>
      <c r="J2701" s="12" t="n">
        <v>46117</v>
      </c>
      <c r="K2701" s="2" t="n">
        <v>790</v>
      </c>
      <c r="L2701" s="2" t="inlineStr">
        <is>
          <t>Road</t>
        </is>
      </c>
      <c r="M2701" s="2" t="inlineStr">
        <is>
          <t>No Delay</t>
        </is>
      </c>
      <c r="N2701" s="4">
        <f>IF(I2701&lt;=H2701,1,0)</f>
        <v/>
      </c>
      <c r="O2701" s="4">
        <f>IF(J2701&lt;=G2701,1,0)</f>
        <v/>
      </c>
      <c r="P2701" s="4">
        <f>MAX(0,I2701-H2701)</f>
        <v/>
      </c>
      <c r="Q2701" s="4">
        <f>MAX(0,J2701-G2701)</f>
        <v/>
      </c>
      <c r="R2701" s="4">
        <f>IF(AND(N2701=1,O2701=1),"On Track",IF(O2701=0,"Customer Delivery Late","Ship Late"))</f>
        <v/>
      </c>
    </row>
    <row r="2702">
      <c r="A2702" s="2" t="inlineStr">
        <is>
          <t>ORD-02701</t>
        </is>
      </c>
      <c r="B2702" s="2" t="inlineStr">
        <is>
          <t>Customer 13</t>
        </is>
      </c>
      <c r="C2702" s="2" t="inlineStr">
        <is>
          <t>Drive</t>
        </is>
      </c>
      <c r="D2702" s="2" t="inlineStr">
        <is>
          <t>Plant B</t>
        </is>
      </c>
      <c r="E2702" s="2" t="inlineStr">
        <is>
          <t>North</t>
        </is>
      </c>
      <c r="F2702" s="12" t="n">
        <v>46079</v>
      </c>
      <c r="G2702" s="12" t="n">
        <v>46084</v>
      </c>
      <c r="H2702" s="12" t="n">
        <v>46079</v>
      </c>
      <c r="I2702" s="12" t="n">
        <v>46077</v>
      </c>
      <c r="J2702" s="12" t="n">
        <v>46082</v>
      </c>
      <c r="K2702" s="2" t="n">
        <v>511</v>
      </c>
      <c r="L2702" s="2" t="inlineStr">
        <is>
          <t>Road</t>
        </is>
      </c>
      <c r="M2702" s="2" t="inlineStr">
        <is>
          <t>No Delay</t>
        </is>
      </c>
      <c r="N2702" s="4">
        <f>IF(I2702&lt;=H2702,1,0)</f>
        <v/>
      </c>
      <c r="O2702" s="4">
        <f>IF(J2702&lt;=G2702,1,0)</f>
        <v/>
      </c>
      <c r="P2702" s="4">
        <f>MAX(0,I2702-H2702)</f>
        <v/>
      </c>
      <c r="Q2702" s="4">
        <f>MAX(0,J2702-G2702)</f>
        <v/>
      </c>
      <c r="R2702" s="4">
        <f>IF(AND(N2702=1,O2702=1),"On Track",IF(O2702=0,"Customer Delivery Late","Ship Late"))</f>
        <v/>
      </c>
    </row>
    <row r="2703">
      <c r="A2703" s="2" t="inlineStr">
        <is>
          <t>ORD-02702</t>
        </is>
      </c>
      <c r="B2703" s="2" t="inlineStr">
        <is>
          <t>Customer 22</t>
        </is>
      </c>
      <c r="C2703" s="2" t="inlineStr">
        <is>
          <t>Switchgear</t>
        </is>
      </c>
      <c r="D2703" s="2" t="inlineStr">
        <is>
          <t>Plant A</t>
        </is>
      </c>
      <c r="E2703" s="2" t="inlineStr">
        <is>
          <t>Central</t>
        </is>
      </c>
      <c r="F2703" s="12" t="n">
        <v>46135</v>
      </c>
      <c r="G2703" s="12" t="n">
        <v>46159</v>
      </c>
      <c r="H2703" s="12" t="n">
        <v>46154</v>
      </c>
      <c r="I2703" s="12" t="n">
        <v>46153</v>
      </c>
      <c r="J2703" s="12" t="n">
        <v>46157</v>
      </c>
      <c r="K2703" s="2" t="n">
        <v>62</v>
      </c>
      <c r="L2703" s="2" t="inlineStr">
        <is>
          <t>Road</t>
        </is>
      </c>
      <c r="M2703" s="2" t="inlineStr">
        <is>
          <t>No Delay</t>
        </is>
      </c>
      <c r="N2703" s="4">
        <f>IF(I2703&lt;=H2703,1,0)</f>
        <v/>
      </c>
      <c r="O2703" s="4">
        <f>IF(J2703&lt;=G2703,1,0)</f>
        <v/>
      </c>
      <c r="P2703" s="4">
        <f>MAX(0,I2703-H2703)</f>
        <v/>
      </c>
      <c r="Q2703" s="4">
        <f>MAX(0,J2703-G2703)</f>
        <v/>
      </c>
      <c r="R2703" s="4">
        <f>IF(AND(N2703=1,O2703=1),"On Track",IF(O2703=0,"Customer Delivery Late","Ship Late"))</f>
        <v/>
      </c>
    </row>
    <row r="2704">
      <c r="A2704" s="2" t="inlineStr">
        <is>
          <t>ORD-02703</t>
        </is>
      </c>
      <c r="B2704" s="2" t="inlineStr">
        <is>
          <t>Customer 05</t>
        </is>
      </c>
      <c r="C2704" s="2" t="inlineStr">
        <is>
          <t>PLC</t>
        </is>
      </c>
      <c r="D2704" s="2" t="inlineStr">
        <is>
          <t>Plant A</t>
        </is>
      </c>
      <c r="E2704" s="2" t="inlineStr">
        <is>
          <t>Central</t>
        </is>
      </c>
      <c r="F2704" s="12" t="n">
        <v>46060</v>
      </c>
      <c r="G2704" s="12" t="n">
        <v>46085</v>
      </c>
      <c r="H2704" s="12" t="n">
        <v>46080</v>
      </c>
      <c r="I2704" s="12" t="n">
        <v>46078</v>
      </c>
      <c r="J2704" s="12" t="n">
        <v>46082</v>
      </c>
      <c r="K2704" s="2" t="n">
        <v>1443</v>
      </c>
      <c r="L2704" s="2" t="inlineStr">
        <is>
          <t>Road</t>
        </is>
      </c>
      <c r="M2704" s="2" t="inlineStr">
        <is>
          <t>No Delay</t>
        </is>
      </c>
      <c r="N2704" s="4">
        <f>IF(I2704&lt;=H2704,1,0)</f>
        <v/>
      </c>
      <c r="O2704" s="4">
        <f>IF(J2704&lt;=G2704,1,0)</f>
        <v/>
      </c>
      <c r="P2704" s="4">
        <f>MAX(0,I2704-H2704)</f>
        <v/>
      </c>
      <c r="Q2704" s="4">
        <f>MAX(0,J2704-G2704)</f>
        <v/>
      </c>
      <c r="R2704" s="4">
        <f>IF(AND(N2704=1,O2704=1),"On Track",IF(O2704=0,"Customer Delivery Late","Ship Late"))</f>
        <v/>
      </c>
    </row>
    <row r="2705">
      <c r="A2705" s="2" t="inlineStr">
        <is>
          <t>ORD-02704</t>
        </is>
      </c>
      <c r="B2705" s="2" t="inlineStr">
        <is>
          <t>Customer 26</t>
        </is>
      </c>
      <c r="C2705" s="2" t="inlineStr">
        <is>
          <t>Breaker</t>
        </is>
      </c>
      <c r="D2705" s="2" t="inlineStr">
        <is>
          <t>Plant C</t>
        </is>
      </c>
      <c r="E2705" s="2" t="inlineStr">
        <is>
          <t>Central</t>
        </is>
      </c>
      <c r="F2705" s="12" t="n">
        <v>46200</v>
      </c>
      <c r="G2705" s="12" t="n">
        <v>46217</v>
      </c>
      <c r="H2705" s="12" t="n">
        <v>46212</v>
      </c>
      <c r="I2705" s="12" t="n">
        <v>46210</v>
      </c>
      <c r="J2705" s="12" t="n">
        <v>46216</v>
      </c>
      <c r="K2705" s="2" t="n">
        <v>124</v>
      </c>
      <c r="L2705" s="2" t="inlineStr">
        <is>
          <t>Air</t>
        </is>
      </c>
      <c r="M2705" s="2" t="inlineStr">
        <is>
          <t>No Delay</t>
        </is>
      </c>
      <c r="N2705" s="4">
        <f>IF(I2705&lt;=H2705,1,0)</f>
        <v/>
      </c>
      <c r="O2705" s="4">
        <f>IF(J2705&lt;=G2705,1,0)</f>
        <v/>
      </c>
      <c r="P2705" s="4">
        <f>MAX(0,I2705-H2705)</f>
        <v/>
      </c>
      <c r="Q2705" s="4">
        <f>MAX(0,J2705-G2705)</f>
        <v/>
      </c>
      <c r="R2705" s="4">
        <f>IF(AND(N2705=1,O2705=1),"On Track",IF(O2705=0,"Customer Delivery Late","Ship Late"))</f>
        <v/>
      </c>
    </row>
    <row r="2706">
      <c r="A2706" s="2" t="inlineStr">
        <is>
          <t>ORD-02705</t>
        </is>
      </c>
      <c r="B2706" s="2" t="inlineStr">
        <is>
          <t>Customer 16</t>
        </is>
      </c>
      <c r="C2706" s="2" t="inlineStr">
        <is>
          <t>Switchgear</t>
        </is>
      </c>
      <c r="D2706" s="2" t="inlineStr">
        <is>
          <t>Plant A</t>
        </is>
      </c>
      <c r="E2706" s="2" t="inlineStr">
        <is>
          <t>Central</t>
        </is>
      </c>
      <c r="F2706" s="12" t="n">
        <v>46099</v>
      </c>
      <c r="G2706" s="12" t="n">
        <v>46120</v>
      </c>
      <c r="H2706" s="12" t="n">
        <v>46117</v>
      </c>
      <c r="I2706" s="12" t="n">
        <v>46115</v>
      </c>
      <c r="J2706" s="12" t="n">
        <v>46118</v>
      </c>
      <c r="K2706" s="2" t="n">
        <v>564</v>
      </c>
      <c r="L2706" s="2" t="inlineStr">
        <is>
          <t>Sea</t>
        </is>
      </c>
      <c r="M2706" s="2" t="inlineStr">
        <is>
          <t>No Delay</t>
        </is>
      </c>
      <c r="N2706" s="4">
        <f>IF(I2706&lt;=H2706,1,0)</f>
        <v/>
      </c>
      <c r="O2706" s="4">
        <f>IF(J2706&lt;=G2706,1,0)</f>
        <v/>
      </c>
      <c r="P2706" s="4">
        <f>MAX(0,I2706-H2706)</f>
        <v/>
      </c>
      <c r="Q2706" s="4">
        <f>MAX(0,J2706-G2706)</f>
        <v/>
      </c>
      <c r="R2706" s="4">
        <f>IF(AND(N2706=1,O2706=1),"On Track",IF(O2706=0,"Customer Delivery Late","Ship Late"))</f>
        <v/>
      </c>
    </row>
    <row r="2707">
      <c r="A2707" s="2" t="inlineStr">
        <is>
          <t>ORD-02706</t>
        </is>
      </c>
      <c r="B2707" s="2" t="inlineStr">
        <is>
          <t>Customer 16</t>
        </is>
      </c>
      <c r="C2707" s="2" t="inlineStr">
        <is>
          <t>Relay</t>
        </is>
      </c>
      <c r="D2707" s="2" t="inlineStr">
        <is>
          <t>Plant C</t>
        </is>
      </c>
      <c r="E2707" s="2" t="inlineStr">
        <is>
          <t>Central</t>
        </is>
      </c>
      <c r="F2707" s="12" t="n">
        <v>46107</v>
      </c>
      <c r="G2707" s="12" t="n">
        <v>46132</v>
      </c>
      <c r="H2707" s="12" t="n">
        <v>46129</v>
      </c>
      <c r="I2707" s="12" t="n">
        <v>46127</v>
      </c>
      <c r="J2707" s="12" t="n">
        <v>46129</v>
      </c>
      <c r="K2707" s="2" t="n">
        <v>1065</v>
      </c>
      <c r="L2707" s="2" t="inlineStr">
        <is>
          <t>Road</t>
        </is>
      </c>
      <c r="M2707" s="2" t="inlineStr">
        <is>
          <t>No Delay</t>
        </is>
      </c>
      <c r="N2707" s="4">
        <f>IF(I2707&lt;=H2707,1,0)</f>
        <v/>
      </c>
      <c r="O2707" s="4">
        <f>IF(J2707&lt;=G2707,1,0)</f>
        <v/>
      </c>
      <c r="P2707" s="4">
        <f>MAX(0,I2707-H2707)</f>
        <v/>
      </c>
      <c r="Q2707" s="4">
        <f>MAX(0,J2707-G2707)</f>
        <v/>
      </c>
      <c r="R2707" s="4">
        <f>IF(AND(N2707=1,O2707=1),"On Track",IF(O2707=0,"Customer Delivery Late","Ship Late"))</f>
        <v/>
      </c>
    </row>
    <row r="2708">
      <c r="A2708" s="2" t="inlineStr">
        <is>
          <t>ORD-02707</t>
        </is>
      </c>
      <c r="B2708" s="2" t="inlineStr">
        <is>
          <t>Customer 12</t>
        </is>
      </c>
      <c r="C2708" s="2" t="inlineStr">
        <is>
          <t>Switchgear</t>
        </is>
      </c>
      <c r="D2708" s="2" t="inlineStr">
        <is>
          <t>Plant C</t>
        </is>
      </c>
      <c r="E2708" s="2" t="inlineStr">
        <is>
          <t>Export</t>
        </is>
      </c>
      <c r="F2708" s="12" t="n">
        <v>46134</v>
      </c>
      <c r="G2708" s="12" t="n">
        <v>46147</v>
      </c>
      <c r="H2708" s="12" t="n">
        <v>46145</v>
      </c>
      <c r="I2708" s="12" t="n">
        <v>46143</v>
      </c>
      <c r="J2708" s="12" t="n">
        <v>46145</v>
      </c>
      <c r="K2708" s="2" t="n">
        <v>1091</v>
      </c>
      <c r="L2708" s="2" t="inlineStr">
        <is>
          <t>Sea</t>
        </is>
      </c>
      <c r="M2708" s="2" t="inlineStr">
        <is>
          <t>No Delay</t>
        </is>
      </c>
      <c r="N2708" s="4">
        <f>IF(I2708&lt;=H2708,1,0)</f>
        <v/>
      </c>
      <c r="O2708" s="4">
        <f>IF(J2708&lt;=G2708,1,0)</f>
        <v/>
      </c>
      <c r="P2708" s="4">
        <f>MAX(0,I2708-H2708)</f>
        <v/>
      </c>
      <c r="Q2708" s="4">
        <f>MAX(0,J2708-G2708)</f>
        <v/>
      </c>
      <c r="R2708" s="4">
        <f>IF(AND(N2708=1,O2708=1),"On Track",IF(O2708=0,"Customer Delivery Late","Ship Late"))</f>
        <v/>
      </c>
    </row>
    <row r="2709">
      <c r="A2709" s="2" t="inlineStr">
        <is>
          <t>ORD-02708</t>
        </is>
      </c>
      <c r="B2709" s="2" t="inlineStr">
        <is>
          <t>Customer 17</t>
        </is>
      </c>
      <c r="C2709" s="2" t="inlineStr">
        <is>
          <t>Contactor</t>
        </is>
      </c>
      <c r="D2709" s="2" t="inlineStr">
        <is>
          <t>Plant C</t>
        </is>
      </c>
      <c r="E2709" s="2" t="inlineStr">
        <is>
          <t>Export</t>
        </is>
      </c>
      <c r="F2709" s="12" t="n">
        <v>46192</v>
      </c>
      <c r="G2709" s="12" t="n">
        <v>46199</v>
      </c>
      <c r="H2709" s="12" t="n">
        <v>46196</v>
      </c>
      <c r="I2709" s="12" t="n">
        <v>46196</v>
      </c>
      <c r="J2709" s="12" t="n">
        <v>46199</v>
      </c>
      <c r="K2709" s="2" t="n">
        <v>1500</v>
      </c>
      <c r="L2709" s="2" t="inlineStr">
        <is>
          <t>Sea</t>
        </is>
      </c>
      <c r="M2709" s="2" t="inlineStr">
        <is>
          <t>No Delay</t>
        </is>
      </c>
      <c r="N2709" s="4">
        <f>IF(I2709&lt;=H2709,1,0)</f>
        <v/>
      </c>
      <c r="O2709" s="4">
        <f>IF(J2709&lt;=G2709,1,0)</f>
        <v/>
      </c>
      <c r="P2709" s="4">
        <f>MAX(0,I2709-H2709)</f>
        <v/>
      </c>
      <c r="Q2709" s="4">
        <f>MAX(0,J2709-G2709)</f>
        <v/>
      </c>
      <c r="R2709" s="4">
        <f>IF(AND(N2709=1,O2709=1),"On Track",IF(O2709=0,"Customer Delivery Late","Ship Late"))</f>
        <v/>
      </c>
    </row>
    <row r="2710">
      <c r="A2710" s="2" t="inlineStr">
        <is>
          <t>ORD-02709</t>
        </is>
      </c>
      <c r="B2710" s="2" t="inlineStr">
        <is>
          <t>Customer 26</t>
        </is>
      </c>
      <c r="C2710" s="2" t="inlineStr">
        <is>
          <t>Drive</t>
        </is>
      </c>
      <c r="D2710" s="2" t="inlineStr">
        <is>
          <t>Plant A</t>
        </is>
      </c>
      <c r="E2710" s="2" t="inlineStr">
        <is>
          <t>South</t>
        </is>
      </c>
      <c r="F2710" s="12" t="n">
        <v>46181</v>
      </c>
      <c r="G2710" s="12" t="n">
        <v>46196</v>
      </c>
      <c r="H2710" s="12" t="n">
        <v>46193</v>
      </c>
      <c r="I2710" s="12" t="n">
        <v>46193</v>
      </c>
      <c r="J2710" s="12" t="n">
        <v>46196</v>
      </c>
      <c r="K2710" s="2" t="n">
        <v>1059</v>
      </c>
      <c r="L2710" s="2" t="inlineStr">
        <is>
          <t>Sea</t>
        </is>
      </c>
      <c r="M2710" s="2" t="inlineStr">
        <is>
          <t>No Delay</t>
        </is>
      </c>
      <c r="N2710" s="4">
        <f>IF(I2710&lt;=H2710,1,0)</f>
        <v/>
      </c>
      <c r="O2710" s="4">
        <f>IF(J2710&lt;=G2710,1,0)</f>
        <v/>
      </c>
      <c r="P2710" s="4">
        <f>MAX(0,I2710-H2710)</f>
        <v/>
      </c>
      <c r="Q2710" s="4">
        <f>MAX(0,J2710-G2710)</f>
        <v/>
      </c>
      <c r="R2710" s="4">
        <f>IF(AND(N2710=1,O2710=1),"On Track",IF(O2710=0,"Customer Delivery Late","Ship Late"))</f>
        <v/>
      </c>
    </row>
    <row r="2711">
      <c r="A2711" s="2" t="inlineStr">
        <is>
          <t>ORD-02710</t>
        </is>
      </c>
      <c r="B2711" s="2" t="inlineStr">
        <is>
          <t>Customer 21</t>
        </is>
      </c>
      <c r="C2711" s="2" t="inlineStr">
        <is>
          <t>Sensor</t>
        </is>
      </c>
      <c r="D2711" s="2" t="inlineStr">
        <is>
          <t>Plant B</t>
        </is>
      </c>
      <c r="E2711" s="2" t="inlineStr">
        <is>
          <t>Export</t>
        </is>
      </c>
      <c r="F2711" s="12" t="n">
        <v>46095</v>
      </c>
      <c r="G2711" s="12" t="n">
        <v>46118</v>
      </c>
      <c r="H2711" s="12" t="n">
        <v>46117</v>
      </c>
      <c r="I2711" s="12" t="n">
        <v>46116</v>
      </c>
      <c r="J2711" s="12" t="n">
        <v>46118</v>
      </c>
      <c r="K2711" s="2" t="n">
        <v>1467</v>
      </c>
      <c r="L2711" s="2" t="inlineStr">
        <is>
          <t>Air</t>
        </is>
      </c>
      <c r="M2711" s="2" t="inlineStr">
        <is>
          <t>No Delay</t>
        </is>
      </c>
      <c r="N2711" s="4">
        <f>IF(I2711&lt;=H2711,1,0)</f>
        <v/>
      </c>
      <c r="O2711" s="4">
        <f>IF(J2711&lt;=G2711,1,0)</f>
        <v/>
      </c>
      <c r="P2711" s="4">
        <f>MAX(0,I2711-H2711)</f>
        <v/>
      </c>
      <c r="Q2711" s="4">
        <f>MAX(0,J2711-G2711)</f>
        <v/>
      </c>
      <c r="R2711" s="4">
        <f>IF(AND(N2711=1,O2711=1),"On Track",IF(O2711=0,"Customer Delivery Late","Ship Late"))</f>
        <v/>
      </c>
    </row>
    <row r="2712">
      <c r="A2712" s="2" t="inlineStr">
        <is>
          <t>ORD-02711</t>
        </is>
      </c>
      <c r="B2712" s="2" t="inlineStr">
        <is>
          <t>Customer 20</t>
        </is>
      </c>
      <c r="C2712" s="2" t="inlineStr">
        <is>
          <t>PLC</t>
        </is>
      </c>
      <c r="D2712" s="2" t="inlineStr">
        <is>
          <t>Plant B</t>
        </is>
      </c>
      <c r="E2712" s="2" t="inlineStr">
        <is>
          <t>South</t>
        </is>
      </c>
      <c r="F2712" s="12" t="n">
        <v>46033</v>
      </c>
      <c r="G2712" s="12" t="n">
        <v>46045</v>
      </c>
      <c r="H2712" s="12" t="n">
        <v>46042</v>
      </c>
      <c r="I2712" s="12" t="n">
        <v>46041</v>
      </c>
      <c r="J2712" s="12" t="n">
        <v>46044</v>
      </c>
      <c r="K2712" s="2" t="n">
        <v>1051</v>
      </c>
      <c r="L2712" s="2" t="inlineStr">
        <is>
          <t>Sea</t>
        </is>
      </c>
      <c r="M2712" s="2" t="inlineStr">
        <is>
          <t>No Delay</t>
        </is>
      </c>
      <c r="N2712" s="4">
        <f>IF(I2712&lt;=H2712,1,0)</f>
        <v/>
      </c>
      <c r="O2712" s="4">
        <f>IF(J2712&lt;=G2712,1,0)</f>
        <v/>
      </c>
      <c r="P2712" s="4">
        <f>MAX(0,I2712-H2712)</f>
        <v/>
      </c>
      <c r="Q2712" s="4">
        <f>MAX(0,J2712-G2712)</f>
        <v/>
      </c>
      <c r="R2712" s="4">
        <f>IF(AND(N2712=1,O2712=1),"On Track",IF(O2712=0,"Customer Delivery Late","Ship Late"))</f>
        <v/>
      </c>
    </row>
    <row r="2713">
      <c r="A2713" s="2" t="inlineStr">
        <is>
          <t>ORD-02712</t>
        </is>
      </c>
      <c r="B2713" s="2" t="inlineStr">
        <is>
          <t>Customer 11</t>
        </is>
      </c>
      <c r="C2713" s="2" t="inlineStr">
        <is>
          <t>Sensor</t>
        </is>
      </c>
      <c r="D2713" s="2" t="inlineStr">
        <is>
          <t>Plant B</t>
        </is>
      </c>
      <c r="E2713" s="2" t="inlineStr">
        <is>
          <t>Export</t>
        </is>
      </c>
      <c r="F2713" s="12" t="n">
        <v>46042</v>
      </c>
      <c r="G2713" s="12" t="n">
        <v>46048</v>
      </c>
      <c r="H2713" s="12" t="n">
        <v>46043</v>
      </c>
      <c r="I2713" s="12" t="n">
        <v>46041</v>
      </c>
      <c r="J2713" s="12" t="n">
        <v>46046</v>
      </c>
      <c r="K2713" s="2" t="n">
        <v>1295</v>
      </c>
      <c r="L2713" s="2" t="inlineStr">
        <is>
          <t>Air</t>
        </is>
      </c>
      <c r="M2713" s="2" t="inlineStr">
        <is>
          <t>No Delay</t>
        </is>
      </c>
      <c r="N2713" s="4">
        <f>IF(I2713&lt;=H2713,1,0)</f>
        <v/>
      </c>
      <c r="O2713" s="4">
        <f>IF(J2713&lt;=G2713,1,0)</f>
        <v/>
      </c>
      <c r="P2713" s="4">
        <f>MAX(0,I2713-H2713)</f>
        <v/>
      </c>
      <c r="Q2713" s="4">
        <f>MAX(0,J2713-G2713)</f>
        <v/>
      </c>
      <c r="R2713" s="4">
        <f>IF(AND(N2713=1,O2713=1),"On Track",IF(O2713=0,"Customer Delivery Late","Ship Late"))</f>
        <v/>
      </c>
    </row>
    <row r="2714">
      <c r="A2714" s="2" t="inlineStr">
        <is>
          <t>ORD-02713</t>
        </is>
      </c>
      <c r="B2714" s="2" t="inlineStr">
        <is>
          <t>Customer 04</t>
        </is>
      </c>
      <c r="C2714" s="2" t="inlineStr">
        <is>
          <t>Relay</t>
        </is>
      </c>
      <c r="D2714" s="2" t="inlineStr">
        <is>
          <t>Plant A</t>
        </is>
      </c>
      <c r="E2714" s="2" t="inlineStr">
        <is>
          <t>Export</t>
        </is>
      </c>
      <c r="F2714" s="12" t="n">
        <v>46149</v>
      </c>
      <c r="G2714" s="12" t="n">
        <v>46162</v>
      </c>
      <c r="H2714" s="12" t="n">
        <v>46159</v>
      </c>
      <c r="I2714" s="12" t="n">
        <v>46157</v>
      </c>
      <c r="J2714" s="12" t="n">
        <v>46160</v>
      </c>
      <c r="K2714" s="2" t="n">
        <v>313</v>
      </c>
      <c r="L2714" s="2" t="inlineStr">
        <is>
          <t>Air</t>
        </is>
      </c>
      <c r="M2714" s="2" t="inlineStr">
        <is>
          <t>No Delay</t>
        </is>
      </c>
      <c r="N2714" s="4">
        <f>IF(I2714&lt;=H2714,1,0)</f>
        <v/>
      </c>
      <c r="O2714" s="4">
        <f>IF(J2714&lt;=G2714,1,0)</f>
        <v/>
      </c>
      <c r="P2714" s="4">
        <f>MAX(0,I2714-H2714)</f>
        <v/>
      </c>
      <c r="Q2714" s="4">
        <f>MAX(0,J2714-G2714)</f>
        <v/>
      </c>
      <c r="R2714" s="4">
        <f>IF(AND(N2714=1,O2714=1),"On Track",IF(O2714=0,"Customer Delivery Late","Ship Late"))</f>
        <v/>
      </c>
    </row>
    <row r="2715">
      <c r="A2715" s="2" t="inlineStr">
        <is>
          <t>ORD-02714</t>
        </is>
      </c>
      <c r="B2715" s="2" t="inlineStr">
        <is>
          <t>Customer 23</t>
        </is>
      </c>
      <c r="C2715" s="2" t="inlineStr">
        <is>
          <t>Sensor</t>
        </is>
      </c>
      <c r="D2715" s="2" t="inlineStr">
        <is>
          <t>Plant B</t>
        </is>
      </c>
      <c r="E2715" s="2" t="inlineStr">
        <is>
          <t>South</t>
        </is>
      </c>
      <c r="F2715" s="12" t="n">
        <v>46173</v>
      </c>
      <c r="G2715" s="12" t="n">
        <v>46185</v>
      </c>
      <c r="H2715" s="12" t="n">
        <v>46181</v>
      </c>
      <c r="I2715" s="12" t="n">
        <v>46181</v>
      </c>
      <c r="J2715" s="12" t="n">
        <v>46184</v>
      </c>
      <c r="K2715" s="2" t="n">
        <v>1238</v>
      </c>
      <c r="L2715" s="2" t="inlineStr">
        <is>
          <t>Air</t>
        </is>
      </c>
      <c r="M2715" s="2" t="inlineStr">
        <is>
          <t>No Delay</t>
        </is>
      </c>
      <c r="N2715" s="4">
        <f>IF(I2715&lt;=H2715,1,0)</f>
        <v/>
      </c>
      <c r="O2715" s="4">
        <f>IF(J2715&lt;=G2715,1,0)</f>
        <v/>
      </c>
      <c r="P2715" s="4">
        <f>MAX(0,I2715-H2715)</f>
        <v/>
      </c>
      <c r="Q2715" s="4">
        <f>MAX(0,J2715-G2715)</f>
        <v/>
      </c>
      <c r="R2715" s="4">
        <f>IF(AND(N2715=1,O2715=1),"On Track",IF(O2715=0,"Customer Delivery Late","Ship Late"))</f>
        <v/>
      </c>
    </row>
    <row r="2716">
      <c r="A2716" s="2" t="inlineStr">
        <is>
          <t>ORD-02715</t>
        </is>
      </c>
      <c r="B2716" s="2" t="inlineStr">
        <is>
          <t>Customer 28</t>
        </is>
      </c>
      <c r="C2716" s="2" t="inlineStr">
        <is>
          <t>Contactor</t>
        </is>
      </c>
      <c r="D2716" s="2" t="inlineStr">
        <is>
          <t>Plant B</t>
        </is>
      </c>
      <c r="E2716" s="2" t="inlineStr">
        <is>
          <t>Export</t>
        </is>
      </c>
      <c r="F2716" s="12" t="n">
        <v>46163</v>
      </c>
      <c r="G2716" s="12" t="n">
        <v>46177</v>
      </c>
      <c r="H2716" s="12" t="n">
        <v>46172</v>
      </c>
      <c r="I2716" s="12" t="n">
        <v>46171</v>
      </c>
      <c r="J2716" s="12" t="n">
        <v>46176</v>
      </c>
      <c r="K2716" s="2" t="n">
        <v>281</v>
      </c>
      <c r="L2716" s="2" t="inlineStr">
        <is>
          <t>Road</t>
        </is>
      </c>
      <c r="M2716" s="2" t="inlineStr">
        <is>
          <t>No Delay</t>
        </is>
      </c>
      <c r="N2716" s="4">
        <f>IF(I2716&lt;=H2716,1,0)</f>
        <v/>
      </c>
      <c r="O2716" s="4">
        <f>IF(J2716&lt;=G2716,1,0)</f>
        <v/>
      </c>
      <c r="P2716" s="4">
        <f>MAX(0,I2716-H2716)</f>
        <v/>
      </c>
      <c r="Q2716" s="4">
        <f>MAX(0,J2716-G2716)</f>
        <v/>
      </c>
      <c r="R2716" s="4">
        <f>IF(AND(N2716=1,O2716=1),"On Track",IF(O2716=0,"Customer Delivery Late","Ship Late"))</f>
        <v/>
      </c>
    </row>
    <row r="2717">
      <c r="A2717" s="2" t="inlineStr">
        <is>
          <t>ORD-02716</t>
        </is>
      </c>
      <c r="B2717" s="2" t="inlineStr">
        <is>
          <t>Customer 12</t>
        </is>
      </c>
      <c r="C2717" s="2" t="inlineStr">
        <is>
          <t>PLC</t>
        </is>
      </c>
      <c r="D2717" s="2" t="inlineStr">
        <is>
          <t>Plant B</t>
        </is>
      </c>
      <c r="E2717" s="2" t="inlineStr">
        <is>
          <t>North</t>
        </is>
      </c>
      <c r="F2717" s="12" t="n">
        <v>46196</v>
      </c>
      <c r="G2717" s="12" t="n">
        <v>46219</v>
      </c>
      <c r="H2717" s="12" t="n">
        <v>46216</v>
      </c>
      <c r="I2717" s="12" t="n">
        <v>46216</v>
      </c>
      <c r="J2717" s="12" t="n">
        <v>46218</v>
      </c>
      <c r="K2717" s="2" t="n">
        <v>355</v>
      </c>
      <c r="L2717" s="2" t="inlineStr">
        <is>
          <t>Air</t>
        </is>
      </c>
      <c r="M2717" s="2" t="inlineStr">
        <is>
          <t>No Delay</t>
        </is>
      </c>
      <c r="N2717" s="4">
        <f>IF(I2717&lt;=H2717,1,0)</f>
        <v/>
      </c>
      <c r="O2717" s="4">
        <f>IF(J2717&lt;=G2717,1,0)</f>
        <v/>
      </c>
      <c r="P2717" s="4">
        <f>MAX(0,I2717-H2717)</f>
        <v/>
      </c>
      <c r="Q2717" s="4">
        <f>MAX(0,J2717-G2717)</f>
        <v/>
      </c>
      <c r="R2717" s="4">
        <f>IF(AND(N2717=1,O2717=1),"On Track",IF(O2717=0,"Customer Delivery Late","Ship Late"))</f>
        <v/>
      </c>
    </row>
    <row r="2718">
      <c r="A2718" s="2" t="inlineStr">
        <is>
          <t>ORD-02717</t>
        </is>
      </c>
      <c r="B2718" s="2" t="inlineStr">
        <is>
          <t>Customer 05</t>
        </is>
      </c>
      <c r="C2718" s="2" t="inlineStr">
        <is>
          <t>Relay</t>
        </is>
      </c>
      <c r="D2718" s="2" t="inlineStr">
        <is>
          <t>Plant B</t>
        </is>
      </c>
      <c r="E2718" s="2" t="inlineStr">
        <is>
          <t>Central</t>
        </is>
      </c>
      <c r="F2718" s="12" t="n">
        <v>46133</v>
      </c>
      <c r="G2718" s="12" t="n">
        <v>46152</v>
      </c>
      <c r="H2718" s="12" t="n">
        <v>46149</v>
      </c>
      <c r="I2718" s="12" t="n">
        <v>46147</v>
      </c>
      <c r="J2718" s="12" t="n">
        <v>46150</v>
      </c>
      <c r="K2718" s="2" t="n">
        <v>1401</v>
      </c>
      <c r="L2718" s="2" t="inlineStr">
        <is>
          <t>Air</t>
        </is>
      </c>
      <c r="M2718" s="2" t="inlineStr">
        <is>
          <t>No Delay</t>
        </is>
      </c>
      <c r="N2718" s="4">
        <f>IF(I2718&lt;=H2718,1,0)</f>
        <v/>
      </c>
      <c r="O2718" s="4">
        <f>IF(J2718&lt;=G2718,1,0)</f>
        <v/>
      </c>
      <c r="P2718" s="4">
        <f>MAX(0,I2718-H2718)</f>
        <v/>
      </c>
      <c r="Q2718" s="4">
        <f>MAX(0,J2718-G2718)</f>
        <v/>
      </c>
      <c r="R2718" s="4">
        <f>IF(AND(N2718=1,O2718=1),"On Track",IF(O2718=0,"Customer Delivery Late","Ship Late"))</f>
        <v/>
      </c>
    </row>
    <row r="2719">
      <c r="A2719" s="2" t="inlineStr">
        <is>
          <t>ORD-02718</t>
        </is>
      </c>
      <c r="B2719" s="2" t="inlineStr">
        <is>
          <t>Customer 07</t>
        </is>
      </c>
      <c r="C2719" s="2" t="inlineStr">
        <is>
          <t>Sensor</t>
        </is>
      </c>
      <c r="D2719" s="2" t="inlineStr">
        <is>
          <t>Plant A</t>
        </is>
      </c>
      <c r="E2719" s="2" t="inlineStr">
        <is>
          <t>Export</t>
        </is>
      </c>
      <c r="F2719" s="12" t="n">
        <v>46124</v>
      </c>
      <c r="G2719" s="12" t="n">
        <v>46140</v>
      </c>
      <c r="H2719" s="12" t="n">
        <v>46138</v>
      </c>
      <c r="I2719" s="12" t="n">
        <v>46137</v>
      </c>
      <c r="J2719" s="12" t="n">
        <v>46138</v>
      </c>
      <c r="K2719" s="2" t="n">
        <v>1314</v>
      </c>
      <c r="L2719" s="2" t="inlineStr">
        <is>
          <t>Road</t>
        </is>
      </c>
      <c r="M2719" s="2" t="inlineStr">
        <is>
          <t>No Delay</t>
        </is>
      </c>
      <c r="N2719" s="4">
        <f>IF(I2719&lt;=H2719,1,0)</f>
        <v/>
      </c>
      <c r="O2719" s="4">
        <f>IF(J2719&lt;=G2719,1,0)</f>
        <v/>
      </c>
      <c r="P2719" s="4">
        <f>MAX(0,I2719-H2719)</f>
        <v/>
      </c>
      <c r="Q2719" s="4">
        <f>MAX(0,J2719-G2719)</f>
        <v/>
      </c>
      <c r="R2719" s="4">
        <f>IF(AND(N2719=1,O2719=1),"On Track",IF(O2719=0,"Customer Delivery Late","Ship Late"))</f>
        <v/>
      </c>
    </row>
    <row r="2720">
      <c r="A2720" s="2" t="inlineStr">
        <is>
          <t>ORD-02719</t>
        </is>
      </c>
      <c r="B2720" s="2" t="inlineStr">
        <is>
          <t>Customer 20</t>
        </is>
      </c>
      <c r="C2720" s="2" t="inlineStr">
        <is>
          <t>Drive</t>
        </is>
      </c>
      <c r="D2720" s="2" t="inlineStr">
        <is>
          <t>Plant B</t>
        </is>
      </c>
      <c r="E2720" s="2" t="inlineStr">
        <is>
          <t>Export</t>
        </is>
      </c>
      <c r="F2720" s="12" t="n">
        <v>46037</v>
      </c>
      <c r="G2720" s="12" t="n">
        <v>46052</v>
      </c>
      <c r="H2720" s="12" t="n">
        <v>46049</v>
      </c>
      <c r="I2720" s="12" t="n">
        <v>46048</v>
      </c>
      <c r="J2720" s="12" t="n">
        <v>46051</v>
      </c>
      <c r="K2720" s="2" t="n">
        <v>393</v>
      </c>
      <c r="L2720" s="2" t="inlineStr">
        <is>
          <t>Road</t>
        </is>
      </c>
      <c r="M2720" s="2" t="inlineStr">
        <is>
          <t>No Delay</t>
        </is>
      </c>
      <c r="N2720" s="4">
        <f>IF(I2720&lt;=H2720,1,0)</f>
        <v/>
      </c>
      <c r="O2720" s="4">
        <f>IF(J2720&lt;=G2720,1,0)</f>
        <v/>
      </c>
      <c r="P2720" s="4">
        <f>MAX(0,I2720-H2720)</f>
        <v/>
      </c>
      <c r="Q2720" s="4">
        <f>MAX(0,J2720-G2720)</f>
        <v/>
      </c>
      <c r="R2720" s="4">
        <f>IF(AND(N2720=1,O2720=1),"On Track",IF(O2720=0,"Customer Delivery Late","Ship Late"))</f>
        <v/>
      </c>
    </row>
    <row r="2721">
      <c r="A2721" s="2" t="inlineStr">
        <is>
          <t>ORD-02720</t>
        </is>
      </c>
      <c r="B2721" s="2" t="inlineStr">
        <is>
          <t>Customer 02</t>
        </is>
      </c>
      <c r="C2721" s="2" t="inlineStr">
        <is>
          <t>Drive</t>
        </is>
      </c>
      <c r="D2721" s="2" t="inlineStr">
        <is>
          <t>Plant A</t>
        </is>
      </c>
      <c r="E2721" s="2" t="inlineStr">
        <is>
          <t>South</t>
        </is>
      </c>
      <c r="F2721" s="12" t="n">
        <v>46131</v>
      </c>
      <c r="G2721" s="12" t="n">
        <v>46153</v>
      </c>
      <c r="H2721" s="12" t="n">
        <v>46151</v>
      </c>
      <c r="I2721" s="12" t="n">
        <v>46151</v>
      </c>
      <c r="J2721" s="12" t="n">
        <v>46153</v>
      </c>
      <c r="K2721" s="2" t="n">
        <v>1198</v>
      </c>
      <c r="L2721" s="2" t="inlineStr">
        <is>
          <t>Road</t>
        </is>
      </c>
      <c r="M2721" s="2" t="inlineStr">
        <is>
          <t>No Delay</t>
        </is>
      </c>
      <c r="N2721" s="4">
        <f>IF(I2721&lt;=H2721,1,0)</f>
        <v/>
      </c>
      <c r="O2721" s="4">
        <f>IF(J2721&lt;=G2721,1,0)</f>
        <v/>
      </c>
      <c r="P2721" s="4">
        <f>MAX(0,I2721-H2721)</f>
        <v/>
      </c>
      <c r="Q2721" s="4">
        <f>MAX(0,J2721-G2721)</f>
        <v/>
      </c>
      <c r="R2721" s="4">
        <f>IF(AND(N2721=1,O2721=1),"On Track",IF(O2721=0,"Customer Delivery Late","Ship Late"))</f>
        <v/>
      </c>
    </row>
    <row r="2722">
      <c r="A2722" s="2" t="inlineStr">
        <is>
          <t>ORD-02721</t>
        </is>
      </c>
      <c r="B2722" s="2" t="inlineStr">
        <is>
          <t>Customer 03</t>
        </is>
      </c>
      <c r="C2722" s="2" t="inlineStr">
        <is>
          <t>Drive</t>
        </is>
      </c>
      <c r="D2722" s="2" t="inlineStr">
        <is>
          <t>Plant B</t>
        </is>
      </c>
      <c r="E2722" s="2" t="inlineStr">
        <is>
          <t>Export</t>
        </is>
      </c>
      <c r="F2722" s="12" t="n">
        <v>46030</v>
      </c>
      <c r="G2722" s="12" t="n">
        <v>46051</v>
      </c>
      <c r="H2722" s="12" t="n">
        <v>46047</v>
      </c>
      <c r="I2722" s="12" t="n">
        <v>46045</v>
      </c>
      <c r="J2722" s="12" t="n">
        <v>46049</v>
      </c>
      <c r="K2722" s="2" t="n">
        <v>1155</v>
      </c>
      <c r="L2722" s="2" t="inlineStr">
        <is>
          <t>Air</t>
        </is>
      </c>
      <c r="M2722" s="2" t="inlineStr">
        <is>
          <t>No Delay</t>
        </is>
      </c>
      <c r="N2722" s="4">
        <f>IF(I2722&lt;=H2722,1,0)</f>
        <v/>
      </c>
      <c r="O2722" s="4">
        <f>IF(J2722&lt;=G2722,1,0)</f>
        <v/>
      </c>
      <c r="P2722" s="4">
        <f>MAX(0,I2722-H2722)</f>
        <v/>
      </c>
      <c r="Q2722" s="4">
        <f>MAX(0,J2722-G2722)</f>
        <v/>
      </c>
      <c r="R2722" s="4">
        <f>IF(AND(N2722=1,O2722=1),"On Track",IF(O2722=0,"Customer Delivery Late","Ship Late"))</f>
        <v/>
      </c>
    </row>
    <row r="2723">
      <c r="A2723" s="2" t="inlineStr">
        <is>
          <t>ORD-02722</t>
        </is>
      </c>
      <c r="B2723" s="2" t="inlineStr">
        <is>
          <t>Customer 29</t>
        </is>
      </c>
      <c r="C2723" s="2" t="inlineStr">
        <is>
          <t>Breaker</t>
        </is>
      </c>
      <c r="D2723" s="2" t="inlineStr">
        <is>
          <t>Plant C</t>
        </is>
      </c>
      <c r="E2723" s="2" t="inlineStr">
        <is>
          <t>Central</t>
        </is>
      </c>
      <c r="F2723" s="12" t="n">
        <v>46063</v>
      </c>
      <c r="G2723" s="12" t="n">
        <v>46070</v>
      </c>
      <c r="H2723" s="12" t="n">
        <v>46065</v>
      </c>
      <c r="I2723" s="12" t="n">
        <v>46063</v>
      </c>
      <c r="J2723" s="12" t="n">
        <v>46068</v>
      </c>
      <c r="K2723" s="2" t="n">
        <v>150</v>
      </c>
      <c r="L2723" s="2" t="inlineStr">
        <is>
          <t>Sea</t>
        </is>
      </c>
      <c r="M2723" s="2" t="inlineStr">
        <is>
          <t>No Delay</t>
        </is>
      </c>
      <c r="N2723" s="4">
        <f>IF(I2723&lt;=H2723,1,0)</f>
        <v/>
      </c>
      <c r="O2723" s="4">
        <f>IF(J2723&lt;=G2723,1,0)</f>
        <v/>
      </c>
      <c r="P2723" s="4">
        <f>MAX(0,I2723-H2723)</f>
        <v/>
      </c>
      <c r="Q2723" s="4">
        <f>MAX(0,J2723-G2723)</f>
        <v/>
      </c>
      <c r="R2723" s="4">
        <f>IF(AND(N2723=1,O2723=1),"On Track",IF(O2723=0,"Customer Delivery Late","Ship Late"))</f>
        <v/>
      </c>
    </row>
    <row r="2724">
      <c r="A2724" s="2" t="inlineStr">
        <is>
          <t>ORD-02723</t>
        </is>
      </c>
      <c r="B2724" s="2" t="inlineStr">
        <is>
          <t>Customer 02</t>
        </is>
      </c>
      <c r="C2724" s="2" t="inlineStr">
        <is>
          <t>Drive</t>
        </is>
      </c>
      <c r="D2724" s="2" t="inlineStr">
        <is>
          <t>Plant B</t>
        </is>
      </c>
      <c r="E2724" s="2" t="inlineStr">
        <is>
          <t>Central</t>
        </is>
      </c>
      <c r="F2724" s="12" t="n">
        <v>46197</v>
      </c>
      <c r="G2724" s="12" t="n">
        <v>46215</v>
      </c>
      <c r="H2724" s="12" t="n">
        <v>46214</v>
      </c>
      <c r="I2724" s="12" t="n">
        <v>46214</v>
      </c>
      <c r="J2724" s="12" t="n">
        <v>46215</v>
      </c>
      <c r="K2724" s="2" t="n">
        <v>1233</v>
      </c>
      <c r="L2724" s="2" t="inlineStr">
        <is>
          <t>Road</t>
        </is>
      </c>
      <c r="M2724" s="2" t="inlineStr">
        <is>
          <t>No Delay</t>
        </is>
      </c>
      <c r="N2724" s="4">
        <f>IF(I2724&lt;=H2724,1,0)</f>
        <v/>
      </c>
      <c r="O2724" s="4">
        <f>IF(J2724&lt;=G2724,1,0)</f>
        <v/>
      </c>
      <c r="P2724" s="4">
        <f>MAX(0,I2724-H2724)</f>
        <v/>
      </c>
      <c r="Q2724" s="4">
        <f>MAX(0,J2724-G2724)</f>
        <v/>
      </c>
      <c r="R2724" s="4">
        <f>IF(AND(N2724=1,O2724=1),"On Track",IF(O2724=0,"Customer Delivery Late","Ship Late"))</f>
        <v/>
      </c>
    </row>
    <row r="2725">
      <c r="A2725" s="2" t="inlineStr">
        <is>
          <t>ORD-02724</t>
        </is>
      </c>
      <c r="B2725" s="2" t="inlineStr">
        <is>
          <t>Customer 02</t>
        </is>
      </c>
      <c r="C2725" s="2" t="inlineStr">
        <is>
          <t>Breaker</t>
        </is>
      </c>
      <c r="D2725" s="2" t="inlineStr">
        <is>
          <t>Plant C</t>
        </is>
      </c>
      <c r="E2725" s="2" t="inlineStr">
        <is>
          <t>Central</t>
        </is>
      </c>
      <c r="F2725" s="12" t="n">
        <v>46046</v>
      </c>
      <c r="G2725" s="12" t="n">
        <v>46054</v>
      </c>
      <c r="H2725" s="12" t="n">
        <v>46051</v>
      </c>
      <c r="I2725" s="12" t="n">
        <v>46049</v>
      </c>
      <c r="J2725" s="12" t="n">
        <v>46052</v>
      </c>
      <c r="K2725" s="2" t="n">
        <v>1414</v>
      </c>
      <c r="L2725" s="2" t="inlineStr">
        <is>
          <t>Sea</t>
        </is>
      </c>
      <c r="M2725" s="2" t="inlineStr">
        <is>
          <t>No Delay</t>
        </is>
      </c>
      <c r="N2725" s="4">
        <f>IF(I2725&lt;=H2725,1,0)</f>
        <v/>
      </c>
      <c r="O2725" s="4">
        <f>IF(J2725&lt;=G2725,1,0)</f>
        <v/>
      </c>
      <c r="P2725" s="4">
        <f>MAX(0,I2725-H2725)</f>
        <v/>
      </c>
      <c r="Q2725" s="4">
        <f>MAX(0,J2725-G2725)</f>
        <v/>
      </c>
      <c r="R2725" s="4">
        <f>IF(AND(N2725=1,O2725=1),"On Track",IF(O2725=0,"Customer Delivery Late","Ship Late"))</f>
        <v/>
      </c>
    </row>
    <row r="2726">
      <c r="A2726" s="2" t="inlineStr">
        <is>
          <t>ORD-02725</t>
        </is>
      </c>
      <c r="B2726" s="2" t="inlineStr">
        <is>
          <t>Customer 22</t>
        </is>
      </c>
      <c r="C2726" s="2" t="inlineStr">
        <is>
          <t>PLC</t>
        </is>
      </c>
      <c r="D2726" s="2" t="inlineStr">
        <is>
          <t>Plant C</t>
        </is>
      </c>
      <c r="E2726" s="2" t="inlineStr">
        <is>
          <t>Export</t>
        </is>
      </c>
      <c r="F2726" s="12" t="n">
        <v>46083</v>
      </c>
      <c r="G2726" s="12" t="n">
        <v>46094</v>
      </c>
      <c r="H2726" s="12" t="n">
        <v>46089</v>
      </c>
      <c r="I2726" s="12" t="n">
        <v>46088</v>
      </c>
      <c r="J2726" s="12" t="n">
        <v>46093</v>
      </c>
      <c r="K2726" s="2" t="n">
        <v>1072</v>
      </c>
      <c r="L2726" s="2" t="inlineStr">
        <is>
          <t>Road</t>
        </is>
      </c>
      <c r="M2726" s="2" t="inlineStr">
        <is>
          <t>No Delay</t>
        </is>
      </c>
      <c r="N2726" s="4">
        <f>IF(I2726&lt;=H2726,1,0)</f>
        <v/>
      </c>
      <c r="O2726" s="4">
        <f>IF(J2726&lt;=G2726,1,0)</f>
        <v/>
      </c>
      <c r="P2726" s="4">
        <f>MAX(0,I2726-H2726)</f>
        <v/>
      </c>
      <c r="Q2726" s="4">
        <f>MAX(0,J2726-G2726)</f>
        <v/>
      </c>
      <c r="R2726" s="4">
        <f>IF(AND(N2726=1,O2726=1),"On Track",IF(O2726=0,"Customer Delivery Late","Ship Late"))</f>
        <v/>
      </c>
    </row>
    <row r="2727">
      <c r="A2727" s="2" t="inlineStr">
        <is>
          <t>ORD-02726</t>
        </is>
      </c>
      <c r="B2727" s="2" t="inlineStr">
        <is>
          <t>Customer 15</t>
        </is>
      </c>
      <c r="C2727" s="2" t="inlineStr">
        <is>
          <t>Contactor</t>
        </is>
      </c>
      <c r="D2727" s="2" t="inlineStr">
        <is>
          <t>Plant B</t>
        </is>
      </c>
      <c r="E2727" s="2" t="inlineStr">
        <is>
          <t>Export</t>
        </is>
      </c>
      <c r="F2727" s="12" t="n">
        <v>46190</v>
      </c>
      <c r="G2727" s="12" t="n">
        <v>46197</v>
      </c>
      <c r="H2727" s="12" t="n">
        <v>46192</v>
      </c>
      <c r="I2727" s="12" t="n">
        <v>46190</v>
      </c>
      <c r="J2727" s="12" t="n">
        <v>46195</v>
      </c>
      <c r="K2727" s="2" t="n">
        <v>895</v>
      </c>
      <c r="L2727" s="2" t="inlineStr">
        <is>
          <t>Air</t>
        </is>
      </c>
      <c r="M2727" s="2" t="inlineStr">
        <is>
          <t>No Delay</t>
        </is>
      </c>
      <c r="N2727" s="4">
        <f>IF(I2727&lt;=H2727,1,0)</f>
        <v/>
      </c>
      <c r="O2727" s="4">
        <f>IF(J2727&lt;=G2727,1,0)</f>
        <v/>
      </c>
      <c r="P2727" s="4">
        <f>MAX(0,I2727-H2727)</f>
        <v/>
      </c>
      <c r="Q2727" s="4">
        <f>MAX(0,J2727-G2727)</f>
        <v/>
      </c>
      <c r="R2727" s="4">
        <f>IF(AND(N2727=1,O2727=1),"On Track",IF(O2727=0,"Customer Delivery Late","Ship Late"))</f>
        <v/>
      </c>
    </row>
    <row r="2728">
      <c r="A2728" s="2" t="inlineStr">
        <is>
          <t>ORD-02727</t>
        </is>
      </c>
      <c r="B2728" s="2" t="inlineStr">
        <is>
          <t>Customer 03</t>
        </is>
      </c>
      <c r="C2728" s="2" t="inlineStr">
        <is>
          <t>Relay</t>
        </is>
      </c>
      <c r="D2728" s="2" t="inlineStr">
        <is>
          <t>Plant B</t>
        </is>
      </c>
      <c r="E2728" s="2" t="inlineStr">
        <is>
          <t>Central</t>
        </is>
      </c>
      <c r="F2728" s="12" t="n">
        <v>46086</v>
      </c>
      <c r="G2728" s="12" t="n">
        <v>46099</v>
      </c>
      <c r="H2728" s="12" t="n">
        <v>46097</v>
      </c>
      <c r="I2728" s="12" t="n">
        <v>46097</v>
      </c>
      <c r="J2728" s="12" t="n">
        <v>46099</v>
      </c>
      <c r="K2728" s="2" t="n">
        <v>838</v>
      </c>
      <c r="L2728" s="2" t="inlineStr">
        <is>
          <t>Air</t>
        </is>
      </c>
      <c r="M2728" s="2" t="inlineStr">
        <is>
          <t>No Delay</t>
        </is>
      </c>
      <c r="N2728" s="4">
        <f>IF(I2728&lt;=H2728,1,0)</f>
        <v/>
      </c>
      <c r="O2728" s="4">
        <f>IF(J2728&lt;=G2728,1,0)</f>
        <v/>
      </c>
      <c r="P2728" s="4">
        <f>MAX(0,I2728-H2728)</f>
        <v/>
      </c>
      <c r="Q2728" s="4">
        <f>MAX(0,J2728-G2728)</f>
        <v/>
      </c>
      <c r="R2728" s="4">
        <f>IF(AND(N2728=1,O2728=1),"On Track",IF(O2728=0,"Customer Delivery Late","Ship Late"))</f>
        <v/>
      </c>
    </row>
    <row r="2729">
      <c r="A2729" s="2" t="inlineStr">
        <is>
          <t>ORD-02728</t>
        </is>
      </c>
      <c r="B2729" s="2" t="inlineStr">
        <is>
          <t>Customer 09</t>
        </is>
      </c>
      <c r="C2729" s="2" t="inlineStr">
        <is>
          <t>Switchgear</t>
        </is>
      </c>
      <c r="D2729" s="2" t="inlineStr">
        <is>
          <t>Plant C</t>
        </is>
      </c>
      <c r="E2729" s="2" t="inlineStr">
        <is>
          <t>Central</t>
        </is>
      </c>
      <c r="F2729" s="12" t="n">
        <v>46097</v>
      </c>
      <c r="G2729" s="12" t="n">
        <v>46117</v>
      </c>
      <c r="H2729" s="12" t="n">
        <v>46114</v>
      </c>
      <c r="I2729" s="12" t="n">
        <v>46113</v>
      </c>
      <c r="J2729" s="12" t="n">
        <v>46116</v>
      </c>
      <c r="K2729" s="2" t="n">
        <v>1411</v>
      </c>
      <c r="L2729" s="2" t="inlineStr">
        <is>
          <t>Road</t>
        </is>
      </c>
      <c r="M2729" s="2" t="inlineStr">
        <is>
          <t>No Delay</t>
        </is>
      </c>
      <c r="N2729" s="4">
        <f>IF(I2729&lt;=H2729,1,0)</f>
        <v/>
      </c>
      <c r="O2729" s="4">
        <f>IF(J2729&lt;=G2729,1,0)</f>
        <v/>
      </c>
      <c r="P2729" s="4">
        <f>MAX(0,I2729-H2729)</f>
        <v/>
      </c>
      <c r="Q2729" s="4">
        <f>MAX(0,J2729-G2729)</f>
        <v/>
      </c>
      <c r="R2729" s="4">
        <f>IF(AND(N2729=1,O2729=1),"On Track",IF(O2729=0,"Customer Delivery Late","Ship Late"))</f>
        <v/>
      </c>
    </row>
    <row r="2730">
      <c r="A2730" s="2" t="inlineStr">
        <is>
          <t>ORD-02729</t>
        </is>
      </c>
      <c r="B2730" s="2" t="inlineStr">
        <is>
          <t>Customer 23</t>
        </is>
      </c>
      <c r="C2730" s="2" t="inlineStr">
        <is>
          <t>Switchgear</t>
        </is>
      </c>
      <c r="D2730" s="2" t="inlineStr">
        <is>
          <t>Plant B</t>
        </is>
      </c>
      <c r="E2730" s="2" t="inlineStr">
        <is>
          <t>South</t>
        </is>
      </c>
      <c r="F2730" s="12" t="n">
        <v>46149</v>
      </c>
      <c r="G2730" s="12" t="n">
        <v>46173</v>
      </c>
      <c r="H2730" s="12" t="n">
        <v>46169</v>
      </c>
      <c r="I2730" s="12" t="n">
        <v>46168</v>
      </c>
      <c r="J2730" s="12" t="n">
        <v>46173</v>
      </c>
      <c r="K2730" s="2" t="n">
        <v>568</v>
      </c>
      <c r="L2730" s="2" t="inlineStr">
        <is>
          <t>Sea</t>
        </is>
      </c>
      <c r="M2730" s="2" t="inlineStr">
        <is>
          <t>No Delay</t>
        </is>
      </c>
      <c r="N2730" s="4">
        <f>IF(I2730&lt;=H2730,1,0)</f>
        <v/>
      </c>
      <c r="O2730" s="4">
        <f>IF(J2730&lt;=G2730,1,0)</f>
        <v/>
      </c>
      <c r="P2730" s="4">
        <f>MAX(0,I2730-H2730)</f>
        <v/>
      </c>
      <c r="Q2730" s="4">
        <f>MAX(0,J2730-G2730)</f>
        <v/>
      </c>
      <c r="R2730" s="4">
        <f>IF(AND(N2730=1,O2730=1),"On Track",IF(O2730=0,"Customer Delivery Late","Ship Late"))</f>
        <v/>
      </c>
    </row>
    <row r="2731">
      <c r="A2731" s="2" t="inlineStr">
        <is>
          <t>ORD-02730</t>
        </is>
      </c>
      <c r="B2731" s="2" t="inlineStr">
        <is>
          <t>Customer 09</t>
        </is>
      </c>
      <c r="C2731" s="2" t="inlineStr">
        <is>
          <t>Power Supply</t>
        </is>
      </c>
      <c r="D2731" s="2" t="inlineStr">
        <is>
          <t>Plant C</t>
        </is>
      </c>
      <c r="E2731" s="2" t="inlineStr">
        <is>
          <t>Central</t>
        </is>
      </c>
      <c r="F2731" s="12" t="n">
        <v>46168</v>
      </c>
      <c r="G2731" s="12" t="n">
        <v>46178</v>
      </c>
      <c r="H2731" s="12" t="n">
        <v>46175</v>
      </c>
      <c r="I2731" s="12" t="n">
        <v>46174</v>
      </c>
      <c r="J2731" s="12" t="n">
        <v>46177</v>
      </c>
      <c r="K2731" s="2" t="n">
        <v>1175</v>
      </c>
      <c r="L2731" s="2" t="inlineStr">
        <is>
          <t>Sea</t>
        </is>
      </c>
      <c r="M2731" s="2" t="inlineStr">
        <is>
          <t>No Delay</t>
        </is>
      </c>
      <c r="N2731" s="4">
        <f>IF(I2731&lt;=H2731,1,0)</f>
        <v/>
      </c>
      <c r="O2731" s="4">
        <f>IF(J2731&lt;=G2731,1,0)</f>
        <v/>
      </c>
      <c r="P2731" s="4">
        <f>MAX(0,I2731-H2731)</f>
        <v/>
      </c>
      <c r="Q2731" s="4">
        <f>MAX(0,J2731-G2731)</f>
        <v/>
      </c>
      <c r="R2731" s="4">
        <f>IF(AND(N2731=1,O2731=1),"On Track",IF(O2731=0,"Customer Delivery Late","Ship Late"))</f>
        <v/>
      </c>
    </row>
    <row r="2732">
      <c r="A2732" s="2" t="inlineStr">
        <is>
          <t>ORD-02731</t>
        </is>
      </c>
      <c r="B2732" s="2" t="inlineStr">
        <is>
          <t>Customer 21</t>
        </is>
      </c>
      <c r="C2732" s="2" t="inlineStr">
        <is>
          <t>Relay</t>
        </is>
      </c>
      <c r="D2732" s="2" t="inlineStr">
        <is>
          <t>Plant A</t>
        </is>
      </c>
      <c r="E2732" s="2" t="inlineStr">
        <is>
          <t>South</t>
        </is>
      </c>
      <c r="F2732" s="12" t="n">
        <v>46203</v>
      </c>
      <c r="G2732" s="12" t="n">
        <v>46218</v>
      </c>
      <c r="H2732" s="12" t="n">
        <v>46216</v>
      </c>
      <c r="I2732" s="12" t="n">
        <v>46215</v>
      </c>
      <c r="J2732" s="12" t="n">
        <v>46217</v>
      </c>
      <c r="K2732" s="2" t="n">
        <v>30</v>
      </c>
      <c r="L2732" s="2" t="inlineStr">
        <is>
          <t>Road</t>
        </is>
      </c>
      <c r="M2732" s="2" t="inlineStr">
        <is>
          <t>No Delay</t>
        </is>
      </c>
      <c r="N2732" s="4">
        <f>IF(I2732&lt;=H2732,1,0)</f>
        <v/>
      </c>
      <c r="O2732" s="4">
        <f>IF(J2732&lt;=G2732,1,0)</f>
        <v/>
      </c>
      <c r="P2732" s="4">
        <f>MAX(0,I2732-H2732)</f>
        <v/>
      </c>
      <c r="Q2732" s="4">
        <f>MAX(0,J2732-G2732)</f>
        <v/>
      </c>
      <c r="R2732" s="4">
        <f>IF(AND(N2732=1,O2732=1),"On Track",IF(O2732=0,"Customer Delivery Late","Ship Late"))</f>
        <v/>
      </c>
    </row>
    <row r="2733">
      <c r="A2733" s="2" t="inlineStr">
        <is>
          <t>ORD-02732</t>
        </is>
      </c>
      <c r="B2733" s="2" t="inlineStr">
        <is>
          <t>Customer 19</t>
        </is>
      </c>
      <c r="C2733" s="2" t="inlineStr">
        <is>
          <t>Power Supply</t>
        </is>
      </c>
      <c r="D2733" s="2" t="inlineStr">
        <is>
          <t>Plant B</t>
        </is>
      </c>
      <c r="E2733" s="2" t="inlineStr">
        <is>
          <t>Export</t>
        </is>
      </c>
      <c r="F2733" s="12" t="n">
        <v>46183</v>
      </c>
      <c r="G2733" s="12" t="n">
        <v>46200</v>
      </c>
      <c r="H2733" s="12" t="n">
        <v>46195</v>
      </c>
      <c r="I2733" s="12" t="n">
        <v>46195</v>
      </c>
      <c r="J2733" s="12" t="n">
        <v>46200</v>
      </c>
      <c r="K2733" s="2" t="n">
        <v>1377</v>
      </c>
      <c r="L2733" s="2" t="inlineStr">
        <is>
          <t>Sea</t>
        </is>
      </c>
      <c r="M2733" s="2" t="inlineStr">
        <is>
          <t>No Delay</t>
        </is>
      </c>
      <c r="N2733" s="4">
        <f>IF(I2733&lt;=H2733,1,0)</f>
        <v/>
      </c>
      <c r="O2733" s="4">
        <f>IF(J2733&lt;=G2733,1,0)</f>
        <v/>
      </c>
      <c r="P2733" s="4">
        <f>MAX(0,I2733-H2733)</f>
        <v/>
      </c>
      <c r="Q2733" s="4">
        <f>MAX(0,J2733-G2733)</f>
        <v/>
      </c>
      <c r="R2733" s="4">
        <f>IF(AND(N2733=1,O2733=1),"On Track",IF(O2733=0,"Customer Delivery Late","Ship Late"))</f>
        <v/>
      </c>
    </row>
    <row r="2734">
      <c r="A2734" s="2" t="inlineStr">
        <is>
          <t>ORD-02733</t>
        </is>
      </c>
      <c r="B2734" s="2" t="inlineStr">
        <is>
          <t>Customer 21</t>
        </is>
      </c>
      <c r="C2734" s="2" t="inlineStr">
        <is>
          <t>Relay</t>
        </is>
      </c>
      <c r="D2734" s="2" t="inlineStr">
        <is>
          <t>Plant B</t>
        </is>
      </c>
      <c r="E2734" s="2" t="inlineStr">
        <is>
          <t>Export</t>
        </is>
      </c>
      <c r="F2734" s="12" t="n">
        <v>46039</v>
      </c>
      <c r="G2734" s="12" t="n">
        <v>46047</v>
      </c>
      <c r="H2734" s="12" t="n">
        <v>46042</v>
      </c>
      <c r="I2734" s="12" t="n">
        <v>46040</v>
      </c>
      <c r="J2734" s="12" t="n">
        <v>46045</v>
      </c>
      <c r="K2734" s="2" t="n">
        <v>1157</v>
      </c>
      <c r="L2734" s="2" t="inlineStr">
        <is>
          <t>Air</t>
        </is>
      </c>
      <c r="M2734" s="2" t="inlineStr">
        <is>
          <t>No Delay</t>
        </is>
      </c>
      <c r="N2734" s="4">
        <f>IF(I2734&lt;=H2734,1,0)</f>
        <v/>
      </c>
      <c r="O2734" s="4">
        <f>IF(J2734&lt;=G2734,1,0)</f>
        <v/>
      </c>
      <c r="P2734" s="4">
        <f>MAX(0,I2734-H2734)</f>
        <v/>
      </c>
      <c r="Q2734" s="4">
        <f>MAX(0,J2734-G2734)</f>
        <v/>
      </c>
      <c r="R2734" s="4">
        <f>IF(AND(N2734=1,O2734=1),"On Track",IF(O2734=0,"Customer Delivery Late","Ship Late"))</f>
        <v/>
      </c>
    </row>
    <row r="2735">
      <c r="A2735" s="2" t="inlineStr">
        <is>
          <t>ORD-02734</t>
        </is>
      </c>
      <c r="B2735" s="2" t="inlineStr">
        <is>
          <t>Customer 25</t>
        </is>
      </c>
      <c r="C2735" s="2" t="inlineStr">
        <is>
          <t>Sensor</t>
        </is>
      </c>
      <c r="D2735" s="2" t="inlineStr">
        <is>
          <t>Plant A</t>
        </is>
      </c>
      <c r="E2735" s="2" t="inlineStr">
        <is>
          <t>Export</t>
        </is>
      </c>
      <c r="F2735" s="12" t="n">
        <v>46058</v>
      </c>
      <c r="G2735" s="12" t="n">
        <v>46068</v>
      </c>
      <c r="H2735" s="12" t="n">
        <v>46067</v>
      </c>
      <c r="I2735" s="12" t="n">
        <v>46065</v>
      </c>
      <c r="J2735" s="12" t="n">
        <v>46066</v>
      </c>
      <c r="K2735" s="2" t="n">
        <v>1393</v>
      </c>
      <c r="L2735" s="2" t="inlineStr">
        <is>
          <t>Sea</t>
        </is>
      </c>
      <c r="M2735" s="2" t="inlineStr">
        <is>
          <t>No Delay</t>
        </is>
      </c>
      <c r="N2735" s="4">
        <f>IF(I2735&lt;=H2735,1,0)</f>
        <v/>
      </c>
      <c r="O2735" s="4">
        <f>IF(J2735&lt;=G2735,1,0)</f>
        <v/>
      </c>
      <c r="P2735" s="4">
        <f>MAX(0,I2735-H2735)</f>
        <v/>
      </c>
      <c r="Q2735" s="4">
        <f>MAX(0,J2735-G2735)</f>
        <v/>
      </c>
      <c r="R2735" s="4">
        <f>IF(AND(N2735=1,O2735=1),"On Track",IF(O2735=0,"Customer Delivery Late","Ship Late"))</f>
        <v/>
      </c>
    </row>
    <row r="2736">
      <c r="A2736" s="2" t="inlineStr">
        <is>
          <t>ORD-02735</t>
        </is>
      </c>
      <c r="B2736" s="2" t="inlineStr">
        <is>
          <t>Customer 02</t>
        </is>
      </c>
      <c r="C2736" s="2" t="inlineStr">
        <is>
          <t>Sensor</t>
        </is>
      </c>
      <c r="D2736" s="2" t="inlineStr">
        <is>
          <t>Plant B</t>
        </is>
      </c>
      <c r="E2736" s="2" t="inlineStr">
        <is>
          <t>South</t>
        </is>
      </c>
      <c r="F2736" s="12" t="n">
        <v>46039</v>
      </c>
      <c r="G2736" s="12" t="n">
        <v>46050</v>
      </c>
      <c r="H2736" s="12" t="n">
        <v>46045</v>
      </c>
      <c r="I2736" s="12" t="n">
        <v>46044</v>
      </c>
      <c r="J2736" s="12" t="n">
        <v>46049</v>
      </c>
      <c r="K2736" s="2" t="n">
        <v>1206</v>
      </c>
      <c r="L2736" s="2" t="inlineStr">
        <is>
          <t>Air</t>
        </is>
      </c>
      <c r="M2736" s="2" t="inlineStr">
        <is>
          <t>No Delay</t>
        </is>
      </c>
      <c r="N2736" s="4">
        <f>IF(I2736&lt;=H2736,1,0)</f>
        <v/>
      </c>
      <c r="O2736" s="4">
        <f>IF(J2736&lt;=G2736,1,0)</f>
        <v/>
      </c>
      <c r="P2736" s="4">
        <f>MAX(0,I2736-H2736)</f>
        <v/>
      </c>
      <c r="Q2736" s="4">
        <f>MAX(0,J2736-G2736)</f>
        <v/>
      </c>
      <c r="R2736" s="4">
        <f>IF(AND(N2736=1,O2736=1),"On Track",IF(O2736=0,"Customer Delivery Late","Ship Late"))</f>
        <v/>
      </c>
    </row>
    <row r="2737">
      <c r="A2737" s="2" t="inlineStr">
        <is>
          <t>ORD-02736</t>
        </is>
      </c>
      <c r="B2737" s="2" t="inlineStr">
        <is>
          <t>Customer 18</t>
        </is>
      </c>
      <c r="C2737" s="2" t="inlineStr">
        <is>
          <t>Breaker</t>
        </is>
      </c>
      <c r="D2737" s="2" t="inlineStr">
        <is>
          <t>Plant A</t>
        </is>
      </c>
      <c r="E2737" s="2" t="inlineStr">
        <is>
          <t>South</t>
        </is>
      </c>
      <c r="F2737" s="12" t="n">
        <v>46198</v>
      </c>
      <c r="G2737" s="12" t="n">
        <v>46213</v>
      </c>
      <c r="H2737" s="12" t="n">
        <v>46209</v>
      </c>
      <c r="I2737" s="12" t="n">
        <v>46209</v>
      </c>
      <c r="J2737" s="12" t="n">
        <v>46213</v>
      </c>
      <c r="K2737" s="2" t="n">
        <v>700</v>
      </c>
      <c r="L2737" s="2" t="inlineStr">
        <is>
          <t>Road</t>
        </is>
      </c>
      <c r="M2737" s="2" t="inlineStr">
        <is>
          <t>No Delay</t>
        </is>
      </c>
      <c r="N2737" s="4">
        <f>IF(I2737&lt;=H2737,1,0)</f>
        <v/>
      </c>
      <c r="O2737" s="4">
        <f>IF(J2737&lt;=G2737,1,0)</f>
        <v/>
      </c>
      <c r="P2737" s="4">
        <f>MAX(0,I2737-H2737)</f>
        <v/>
      </c>
      <c r="Q2737" s="4">
        <f>MAX(0,J2737-G2737)</f>
        <v/>
      </c>
      <c r="R2737" s="4">
        <f>IF(AND(N2737=1,O2737=1),"On Track",IF(O2737=0,"Customer Delivery Late","Ship Late"))</f>
        <v/>
      </c>
    </row>
    <row r="2738">
      <c r="A2738" s="2" t="inlineStr">
        <is>
          <t>ORD-02737</t>
        </is>
      </c>
      <c r="B2738" s="2" t="inlineStr">
        <is>
          <t>Customer 14</t>
        </is>
      </c>
      <c r="C2738" s="2" t="inlineStr">
        <is>
          <t>PLC</t>
        </is>
      </c>
      <c r="D2738" s="2" t="inlineStr">
        <is>
          <t>Plant A</t>
        </is>
      </c>
      <c r="E2738" s="2" t="inlineStr">
        <is>
          <t>Export</t>
        </is>
      </c>
      <c r="F2738" s="12" t="n">
        <v>46056</v>
      </c>
      <c r="G2738" s="12" t="n">
        <v>46073</v>
      </c>
      <c r="H2738" s="12" t="n">
        <v>46069</v>
      </c>
      <c r="I2738" s="12" t="n">
        <v>46068</v>
      </c>
      <c r="J2738" s="12" t="n">
        <v>46073</v>
      </c>
      <c r="K2738" s="2" t="n">
        <v>84</v>
      </c>
      <c r="L2738" s="2" t="inlineStr">
        <is>
          <t>Air</t>
        </is>
      </c>
      <c r="M2738" s="2" t="inlineStr">
        <is>
          <t>No Delay</t>
        </is>
      </c>
      <c r="N2738" s="4">
        <f>IF(I2738&lt;=H2738,1,0)</f>
        <v/>
      </c>
      <c r="O2738" s="4">
        <f>IF(J2738&lt;=G2738,1,0)</f>
        <v/>
      </c>
      <c r="P2738" s="4">
        <f>MAX(0,I2738-H2738)</f>
        <v/>
      </c>
      <c r="Q2738" s="4">
        <f>MAX(0,J2738-G2738)</f>
        <v/>
      </c>
      <c r="R2738" s="4">
        <f>IF(AND(N2738=1,O2738=1),"On Track",IF(O2738=0,"Customer Delivery Late","Ship Late"))</f>
        <v/>
      </c>
    </row>
    <row r="2739">
      <c r="A2739" s="2" t="inlineStr">
        <is>
          <t>ORD-02738</t>
        </is>
      </c>
      <c r="B2739" s="2" t="inlineStr">
        <is>
          <t>Customer 06</t>
        </is>
      </c>
      <c r="C2739" s="2" t="inlineStr">
        <is>
          <t>Breaker</t>
        </is>
      </c>
      <c r="D2739" s="2" t="inlineStr">
        <is>
          <t>Plant A</t>
        </is>
      </c>
      <c r="E2739" s="2" t="inlineStr">
        <is>
          <t>South</t>
        </is>
      </c>
      <c r="F2739" s="12" t="n">
        <v>46128</v>
      </c>
      <c r="G2739" s="12" t="n">
        <v>46136</v>
      </c>
      <c r="H2739" s="12" t="n">
        <v>46133</v>
      </c>
      <c r="I2739" s="12" t="n">
        <v>46132</v>
      </c>
      <c r="J2739" s="12" t="n">
        <v>46135</v>
      </c>
      <c r="K2739" s="2" t="n">
        <v>319</v>
      </c>
      <c r="L2739" s="2" t="inlineStr">
        <is>
          <t>Road</t>
        </is>
      </c>
      <c r="M2739" s="2" t="inlineStr">
        <is>
          <t>No Delay</t>
        </is>
      </c>
      <c r="N2739" s="4">
        <f>IF(I2739&lt;=H2739,1,0)</f>
        <v/>
      </c>
      <c r="O2739" s="4">
        <f>IF(J2739&lt;=G2739,1,0)</f>
        <v/>
      </c>
      <c r="P2739" s="4">
        <f>MAX(0,I2739-H2739)</f>
        <v/>
      </c>
      <c r="Q2739" s="4">
        <f>MAX(0,J2739-G2739)</f>
        <v/>
      </c>
      <c r="R2739" s="4">
        <f>IF(AND(N2739=1,O2739=1),"On Track",IF(O2739=0,"Customer Delivery Late","Ship Late"))</f>
        <v/>
      </c>
    </row>
    <row r="2740">
      <c r="A2740" s="2" t="inlineStr">
        <is>
          <t>ORD-02739</t>
        </is>
      </c>
      <c r="B2740" s="2" t="inlineStr">
        <is>
          <t>Customer 08</t>
        </is>
      </c>
      <c r="C2740" s="2" t="inlineStr">
        <is>
          <t>Drive</t>
        </is>
      </c>
      <c r="D2740" s="2" t="inlineStr">
        <is>
          <t>Plant A</t>
        </is>
      </c>
      <c r="E2740" s="2" t="inlineStr">
        <is>
          <t>North</t>
        </is>
      </c>
      <c r="F2740" s="12" t="n">
        <v>46198</v>
      </c>
      <c r="G2740" s="12" t="n">
        <v>46219</v>
      </c>
      <c r="H2740" s="12" t="n">
        <v>46215</v>
      </c>
      <c r="I2740" s="12" t="n">
        <v>46214</v>
      </c>
      <c r="J2740" s="12" t="n">
        <v>46218</v>
      </c>
      <c r="K2740" s="2" t="n">
        <v>1180</v>
      </c>
      <c r="L2740" s="2" t="inlineStr">
        <is>
          <t>Sea</t>
        </is>
      </c>
      <c r="M2740" s="2" t="inlineStr">
        <is>
          <t>No Delay</t>
        </is>
      </c>
      <c r="N2740" s="4">
        <f>IF(I2740&lt;=H2740,1,0)</f>
        <v/>
      </c>
      <c r="O2740" s="4">
        <f>IF(J2740&lt;=G2740,1,0)</f>
        <v/>
      </c>
      <c r="P2740" s="4">
        <f>MAX(0,I2740-H2740)</f>
        <v/>
      </c>
      <c r="Q2740" s="4">
        <f>MAX(0,J2740-G2740)</f>
        <v/>
      </c>
      <c r="R2740" s="4">
        <f>IF(AND(N2740=1,O2740=1),"On Track",IF(O2740=0,"Customer Delivery Late","Ship Late"))</f>
        <v/>
      </c>
    </row>
    <row r="2741">
      <c r="A2741" s="2" t="inlineStr">
        <is>
          <t>ORD-02740</t>
        </is>
      </c>
      <c r="B2741" s="2" t="inlineStr">
        <is>
          <t>Customer 29</t>
        </is>
      </c>
      <c r="C2741" s="2" t="inlineStr">
        <is>
          <t>Drive</t>
        </is>
      </c>
      <c r="D2741" s="2" t="inlineStr">
        <is>
          <t>Plant A</t>
        </is>
      </c>
      <c r="E2741" s="2" t="inlineStr">
        <is>
          <t>North</t>
        </is>
      </c>
      <c r="F2741" s="12" t="n">
        <v>46111</v>
      </c>
      <c r="G2741" s="12" t="n">
        <v>46116</v>
      </c>
      <c r="H2741" s="12" t="n">
        <v>46113</v>
      </c>
      <c r="I2741" s="12" t="n">
        <v>46113</v>
      </c>
      <c r="J2741" s="12" t="n">
        <v>46116</v>
      </c>
      <c r="K2741" s="2" t="n">
        <v>1291</v>
      </c>
      <c r="L2741" s="2" t="inlineStr">
        <is>
          <t>Air</t>
        </is>
      </c>
      <c r="M2741" s="2" t="inlineStr">
        <is>
          <t>No Delay</t>
        </is>
      </c>
      <c r="N2741" s="4">
        <f>IF(I2741&lt;=H2741,1,0)</f>
        <v/>
      </c>
      <c r="O2741" s="4">
        <f>IF(J2741&lt;=G2741,1,0)</f>
        <v/>
      </c>
      <c r="P2741" s="4">
        <f>MAX(0,I2741-H2741)</f>
        <v/>
      </c>
      <c r="Q2741" s="4">
        <f>MAX(0,J2741-G2741)</f>
        <v/>
      </c>
      <c r="R2741" s="4">
        <f>IF(AND(N2741=1,O2741=1),"On Track",IF(O2741=0,"Customer Delivery Late","Ship Late"))</f>
        <v/>
      </c>
    </row>
    <row r="2742">
      <c r="A2742" s="2" t="inlineStr">
        <is>
          <t>ORD-02741</t>
        </is>
      </c>
      <c r="B2742" s="2" t="inlineStr">
        <is>
          <t>Customer 07</t>
        </is>
      </c>
      <c r="C2742" s="2" t="inlineStr">
        <is>
          <t>Relay</t>
        </is>
      </c>
      <c r="D2742" s="2" t="inlineStr">
        <is>
          <t>Plant B</t>
        </is>
      </c>
      <c r="E2742" s="2" t="inlineStr">
        <is>
          <t>North</t>
        </is>
      </c>
      <c r="F2742" s="12" t="n">
        <v>46071</v>
      </c>
      <c r="G2742" s="12" t="n">
        <v>46081</v>
      </c>
      <c r="H2742" s="12" t="n">
        <v>46079</v>
      </c>
      <c r="I2742" s="12" t="n">
        <v>46079</v>
      </c>
      <c r="J2742" s="12" t="n">
        <v>46081</v>
      </c>
      <c r="K2742" s="2" t="n">
        <v>581</v>
      </c>
      <c r="L2742" s="2" t="inlineStr">
        <is>
          <t>Road</t>
        </is>
      </c>
      <c r="M2742" s="2" t="inlineStr">
        <is>
          <t>No Delay</t>
        </is>
      </c>
      <c r="N2742" s="4">
        <f>IF(I2742&lt;=H2742,1,0)</f>
        <v/>
      </c>
      <c r="O2742" s="4">
        <f>IF(J2742&lt;=G2742,1,0)</f>
        <v/>
      </c>
      <c r="P2742" s="4">
        <f>MAX(0,I2742-H2742)</f>
        <v/>
      </c>
      <c r="Q2742" s="4">
        <f>MAX(0,J2742-G2742)</f>
        <v/>
      </c>
      <c r="R2742" s="4">
        <f>IF(AND(N2742=1,O2742=1),"On Track",IF(O2742=0,"Customer Delivery Late","Ship Late"))</f>
        <v/>
      </c>
    </row>
    <row r="2743">
      <c r="A2743" s="2" t="inlineStr">
        <is>
          <t>ORD-02742</t>
        </is>
      </c>
      <c r="B2743" s="2" t="inlineStr">
        <is>
          <t>Customer 03</t>
        </is>
      </c>
      <c r="C2743" s="2" t="inlineStr">
        <is>
          <t>Switchgear</t>
        </is>
      </c>
      <c r="D2743" s="2" t="inlineStr">
        <is>
          <t>Plant A</t>
        </is>
      </c>
      <c r="E2743" s="2" t="inlineStr">
        <is>
          <t>North</t>
        </is>
      </c>
      <c r="F2743" s="12" t="n">
        <v>46076</v>
      </c>
      <c r="G2743" s="12" t="n">
        <v>46087</v>
      </c>
      <c r="H2743" s="12" t="n">
        <v>46082</v>
      </c>
      <c r="I2743" s="12" t="n">
        <v>46081</v>
      </c>
      <c r="J2743" s="12" t="n">
        <v>46087</v>
      </c>
      <c r="K2743" s="2" t="n">
        <v>754</v>
      </c>
      <c r="L2743" s="2" t="inlineStr">
        <is>
          <t>Road</t>
        </is>
      </c>
      <c r="M2743" s="2" t="inlineStr">
        <is>
          <t>No Delay</t>
        </is>
      </c>
      <c r="N2743" s="4">
        <f>IF(I2743&lt;=H2743,1,0)</f>
        <v/>
      </c>
      <c r="O2743" s="4">
        <f>IF(J2743&lt;=G2743,1,0)</f>
        <v/>
      </c>
      <c r="P2743" s="4">
        <f>MAX(0,I2743-H2743)</f>
        <v/>
      </c>
      <c r="Q2743" s="4">
        <f>MAX(0,J2743-G2743)</f>
        <v/>
      </c>
      <c r="R2743" s="4">
        <f>IF(AND(N2743=1,O2743=1),"On Track",IF(O2743=0,"Customer Delivery Late","Ship Late"))</f>
        <v/>
      </c>
    </row>
    <row r="2744">
      <c r="A2744" s="2" t="inlineStr">
        <is>
          <t>ORD-02743</t>
        </is>
      </c>
      <c r="B2744" s="2" t="inlineStr">
        <is>
          <t>Customer 25</t>
        </is>
      </c>
      <c r="C2744" s="2" t="inlineStr">
        <is>
          <t>Power Supply</t>
        </is>
      </c>
      <c r="D2744" s="2" t="inlineStr">
        <is>
          <t>Plant B</t>
        </is>
      </c>
      <c r="E2744" s="2" t="inlineStr">
        <is>
          <t>North</t>
        </is>
      </c>
      <c r="F2744" s="12" t="n">
        <v>46055</v>
      </c>
      <c r="G2744" s="12" t="n">
        <v>46079</v>
      </c>
      <c r="H2744" s="12" t="n">
        <v>46078</v>
      </c>
      <c r="I2744" s="12" t="n">
        <v>46077</v>
      </c>
      <c r="J2744" s="12" t="n">
        <v>46078</v>
      </c>
      <c r="K2744" s="2" t="n">
        <v>693</v>
      </c>
      <c r="L2744" s="2" t="inlineStr">
        <is>
          <t>Road</t>
        </is>
      </c>
      <c r="M2744" s="2" t="inlineStr">
        <is>
          <t>No Delay</t>
        </is>
      </c>
      <c r="N2744" s="4">
        <f>IF(I2744&lt;=H2744,1,0)</f>
        <v/>
      </c>
      <c r="O2744" s="4">
        <f>IF(J2744&lt;=G2744,1,0)</f>
        <v/>
      </c>
      <c r="P2744" s="4">
        <f>MAX(0,I2744-H2744)</f>
        <v/>
      </c>
      <c r="Q2744" s="4">
        <f>MAX(0,J2744-G2744)</f>
        <v/>
      </c>
      <c r="R2744" s="4">
        <f>IF(AND(N2744=1,O2744=1),"On Track",IF(O2744=0,"Customer Delivery Late","Ship Late"))</f>
        <v/>
      </c>
    </row>
    <row r="2745">
      <c r="A2745" s="2" t="inlineStr">
        <is>
          <t>ORD-02744</t>
        </is>
      </c>
      <c r="B2745" s="2" t="inlineStr">
        <is>
          <t>Customer 26</t>
        </is>
      </c>
      <c r="C2745" s="2" t="inlineStr">
        <is>
          <t>Sensor</t>
        </is>
      </c>
      <c r="D2745" s="2" t="inlineStr">
        <is>
          <t>Plant A</t>
        </is>
      </c>
      <c r="E2745" s="2" t="inlineStr">
        <is>
          <t>South</t>
        </is>
      </c>
      <c r="F2745" s="12" t="n">
        <v>46144</v>
      </c>
      <c r="G2745" s="12" t="n">
        <v>46149</v>
      </c>
      <c r="H2745" s="12" t="n">
        <v>46147</v>
      </c>
      <c r="I2745" s="12" t="n">
        <v>46147</v>
      </c>
      <c r="J2745" s="12" t="n">
        <v>46148</v>
      </c>
      <c r="K2745" s="2" t="n">
        <v>1041</v>
      </c>
      <c r="L2745" s="2" t="inlineStr">
        <is>
          <t>Road</t>
        </is>
      </c>
      <c r="M2745" s="2" t="inlineStr">
        <is>
          <t>No Delay</t>
        </is>
      </c>
      <c r="N2745" s="4">
        <f>IF(I2745&lt;=H2745,1,0)</f>
        <v/>
      </c>
      <c r="O2745" s="4">
        <f>IF(J2745&lt;=G2745,1,0)</f>
        <v/>
      </c>
      <c r="P2745" s="4">
        <f>MAX(0,I2745-H2745)</f>
        <v/>
      </c>
      <c r="Q2745" s="4">
        <f>MAX(0,J2745-G2745)</f>
        <v/>
      </c>
      <c r="R2745" s="4">
        <f>IF(AND(N2745=1,O2745=1),"On Track",IF(O2745=0,"Customer Delivery Late","Ship Late"))</f>
        <v/>
      </c>
    </row>
    <row r="2746">
      <c r="A2746" s="2" t="inlineStr">
        <is>
          <t>ORD-02745</t>
        </is>
      </c>
      <c r="B2746" s="2" t="inlineStr">
        <is>
          <t>Customer 14</t>
        </is>
      </c>
      <c r="C2746" s="2" t="inlineStr">
        <is>
          <t>Contactor</t>
        </is>
      </c>
      <c r="D2746" s="2" t="inlineStr">
        <is>
          <t>Plant A</t>
        </is>
      </c>
      <c r="E2746" s="2" t="inlineStr">
        <is>
          <t>Central</t>
        </is>
      </c>
      <c r="F2746" s="12" t="n">
        <v>46034</v>
      </c>
      <c r="G2746" s="12" t="n">
        <v>46048</v>
      </c>
      <c r="H2746" s="12" t="n">
        <v>46047</v>
      </c>
      <c r="I2746" s="12" t="n">
        <v>46046</v>
      </c>
      <c r="J2746" s="12" t="n">
        <v>46047</v>
      </c>
      <c r="K2746" s="2" t="n">
        <v>296</v>
      </c>
      <c r="L2746" s="2" t="inlineStr">
        <is>
          <t>Road</t>
        </is>
      </c>
      <c r="M2746" s="2" t="inlineStr">
        <is>
          <t>No Delay</t>
        </is>
      </c>
      <c r="N2746" s="4">
        <f>IF(I2746&lt;=H2746,1,0)</f>
        <v/>
      </c>
      <c r="O2746" s="4">
        <f>IF(J2746&lt;=G2746,1,0)</f>
        <v/>
      </c>
      <c r="P2746" s="4">
        <f>MAX(0,I2746-H2746)</f>
        <v/>
      </c>
      <c r="Q2746" s="4">
        <f>MAX(0,J2746-G2746)</f>
        <v/>
      </c>
      <c r="R2746" s="4">
        <f>IF(AND(N2746=1,O2746=1),"On Track",IF(O2746=0,"Customer Delivery Late","Ship Late"))</f>
        <v/>
      </c>
    </row>
    <row r="2747">
      <c r="A2747" s="2" t="inlineStr">
        <is>
          <t>ORD-02746</t>
        </is>
      </c>
      <c r="B2747" s="2" t="inlineStr">
        <is>
          <t>Customer 15</t>
        </is>
      </c>
      <c r="C2747" s="2" t="inlineStr">
        <is>
          <t>PLC</t>
        </is>
      </c>
      <c r="D2747" s="2" t="inlineStr">
        <is>
          <t>Plant A</t>
        </is>
      </c>
      <c r="E2747" s="2" t="inlineStr">
        <is>
          <t>North</t>
        </is>
      </c>
      <c r="F2747" s="12" t="n">
        <v>46125</v>
      </c>
      <c r="G2747" s="12" t="n">
        <v>46147</v>
      </c>
      <c r="H2747" s="12" t="n">
        <v>46142</v>
      </c>
      <c r="I2747" s="12" t="n">
        <v>46141</v>
      </c>
      <c r="J2747" s="12" t="n">
        <v>46146</v>
      </c>
      <c r="K2747" s="2" t="n">
        <v>590</v>
      </c>
      <c r="L2747" s="2" t="inlineStr">
        <is>
          <t>Road</t>
        </is>
      </c>
      <c r="M2747" s="2" t="inlineStr">
        <is>
          <t>No Delay</t>
        </is>
      </c>
      <c r="N2747" s="4">
        <f>IF(I2747&lt;=H2747,1,0)</f>
        <v/>
      </c>
      <c r="O2747" s="4">
        <f>IF(J2747&lt;=G2747,1,0)</f>
        <v/>
      </c>
      <c r="P2747" s="4">
        <f>MAX(0,I2747-H2747)</f>
        <v/>
      </c>
      <c r="Q2747" s="4">
        <f>MAX(0,J2747-G2747)</f>
        <v/>
      </c>
      <c r="R2747" s="4">
        <f>IF(AND(N2747=1,O2747=1),"On Track",IF(O2747=0,"Customer Delivery Late","Ship Late"))</f>
        <v/>
      </c>
    </row>
    <row r="2748">
      <c r="A2748" s="2" t="inlineStr">
        <is>
          <t>ORD-02747</t>
        </is>
      </c>
      <c r="B2748" s="2" t="inlineStr">
        <is>
          <t>Customer 14</t>
        </is>
      </c>
      <c r="C2748" s="2" t="inlineStr">
        <is>
          <t>Drive</t>
        </is>
      </c>
      <c r="D2748" s="2" t="inlineStr">
        <is>
          <t>Plant B</t>
        </is>
      </c>
      <c r="E2748" s="2" t="inlineStr">
        <is>
          <t>North</t>
        </is>
      </c>
      <c r="F2748" s="12" t="n">
        <v>46044</v>
      </c>
      <c r="G2748" s="12" t="n">
        <v>46068</v>
      </c>
      <c r="H2748" s="12" t="n">
        <v>46066</v>
      </c>
      <c r="I2748" s="12" t="n">
        <v>46064</v>
      </c>
      <c r="J2748" s="12" t="n">
        <v>46066</v>
      </c>
      <c r="K2748" s="2" t="n">
        <v>369</v>
      </c>
      <c r="L2748" s="2" t="inlineStr">
        <is>
          <t>Road</t>
        </is>
      </c>
      <c r="M2748" s="2" t="inlineStr">
        <is>
          <t>No Delay</t>
        </is>
      </c>
      <c r="N2748" s="4">
        <f>IF(I2748&lt;=H2748,1,0)</f>
        <v/>
      </c>
      <c r="O2748" s="4">
        <f>IF(J2748&lt;=G2748,1,0)</f>
        <v/>
      </c>
      <c r="P2748" s="4">
        <f>MAX(0,I2748-H2748)</f>
        <v/>
      </c>
      <c r="Q2748" s="4">
        <f>MAX(0,J2748-G2748)</f>
        <v/>
      </c>
      <c r="R2748" s="4">
        <f>IF(AND(N2748=1,O2748=1),"On Track",IF(O2748=0,"Customer Delivery Late","Ship Late"))</f>
        <v/>
      </c>
    </row>
    <row r="2749">
      <c r="A2749" s="2" t="inlineStr">
        <is>
          <t>ORD-02748</t>
        </is>
      </c>
      <c r="B2749" s="2" t="inlineStr">
        <is>
          <t>Customer 25</t>
        </is>
      </c>
      <c r="C2749" s="2" t="inlineStr">
        <is>
          <t>Relay</t>
        </is>
      </c>
      <c r="D2749" s="2" t="inlineStr">
        <is>
          <t>Plant B</t>
        </is>
      </c>
      <c r="E2749" s="2" t="inlineStr">
        <is>
          <t>Export</t>
        </is>
      </c>
      <c r="F2749" s="12" t="n">
        <v>46074</v>
      </c>
      <c r="G2749" s="12" t="n">
        <v>46091</v>
      </c>
      <c r="H2749" s="12" t="n">
        <v>46090</v>
      </c>
      <c r="I2749" s="12" t="n">
        <v>46089</v>
      </c>
      <c r="J2749" s="12" t="n">
        <v>46091</v>
      </c>
      <c r="K2749" s="2" t="n">
        <v>677</v>
      </c>
      <c r="L2749" s="2" t="inlineStr">
        <is>
          <t>Air</t>
        </is>
      </c>
      <c r="M2749" s="2" t="inlineStr">
        <is>
          <t>No Delay</t>
        </is>
      </c>
      <c r="N2749" s="4">
        <f>IF(I2749&lt;=H2749,1,0)</f>
        <v/>
      </c>
      <c r="O2749" s="4">
        <f>IF(J2749&lt;=G2749,1,0)</f>
        <v/>
      </c>
      <c r="P2749" s="4">
        <f>MAX(0,I2749-H2749)</f>
        <v/>
      </c>
      <c r="Q2749" s="4">
        <f>MAX(0,J2749-G2749)</f>
        <v/>
      </c>
      <c r="R2749" s="4">
        <f>IF(AND(N2749=1,O2749=1),"On Track",IF(O2749=0,"Customer Delivery Late","Ship Late"))</f>
        <v/>
      </c>
    </row>
    <row r="2750">
      <c r="A2750" s="2" t="inlineStr">
        <is>
          <t>ORD-02749</t>
        </is>
      </c>
      <c r="B2750" s="2" t="inlineStr">
        <is>
          <t>Customer 29</t>
        </is>
      </c>
      <c r="C2750" s="2" t="inlineStr">
        <is>
          <t>Switchgear</t>
        </is>
      </c>
      <c r="D2750" s="2" t="inlineStr">
        <is>
          <t>Plant C</t>
        </is>
      </c>
      <c r="E2750" s="2" t="inlineStr">
        <is>
          <t>North</t>
        </is>
      </c>
      <c r="F2750" s="12" t="n">
        <v>46109</v>
      </c>
      <c r="G2750" s="12" t="n">
        <v>46118</v>
      </c>
      <c r="H2750" s="12" t="n">
        <v>46114</v>
      </c>
      <c r="I2750" s="12" t="n">
        <v>46112</v>
      </c>
      <c r="J2750" s="12" t="n">
        <v>46116</v>
      </c>
      <c r="K2750" s="2" t="n">
        <v>304</v>
      </c>
      <c r="L2750" s="2" t="inlineStr">
        <is>
          <t>Air</t>
        </is>
      </c>
      <c r="M2750" s="2" t="inlineStr">
        <is>
          <t>No Delay</t>
        </is>
      </c>
      <c r="N2750" s="4">
        <f>IF(I2750&lt;=H2750,1,0)</f>
        <v/>
      </c>
      <c r="O2750" s="4">
        <f>IF(J2750&lt;=G2750,1,0)</f>
        <v/>
      </c>
      <c r="P2750" s="4">
        <f>MAX(0,I2750-H2750)</f>
        <v/>
      </c>
      <c r="Q2750" s="4">
        <f>MAX(0,J2750-G2750)</f>
        <v/>
      </c>
      <c r="R2750" s="4">
        <f>IF(AND(N2750=1,O2750=1),"On Track",IF(O2750=0,"Customer Delivery Late","Ship Late"))</f>
        <v/>
      </c>
    </row>
    <row r="2751">
      <c r="A2751" s="2" t="inlineStr">
        <is>
          <t>ORD-02750</t>
        </is>
      </c>
      <c r="B2751" s="2" t="inlineStr">
        <is>
          <t>Customer 14</t>
        </is>
      </c>
      <c r="C2751" s="2" t="inlineStr">
        <is>
          <t>Breaker</t>
        </is>
      </c>
      <c r="D2751" s="2" t="inlineStr">
        <is>
          <t>Plant B</t>
        </is>
      </c>
      <c r="E2751" s="2" t="inlineStr">
        <is>
          <t>Export</t>
        </is>
      </c>
      <c r="F2751" s="12" t="n">
        <v>46103</v>
      </c>
      <c r="G2751" s="12" t="n">
        <v>46111</v>
      </c>
      <c r="H2751" s="12" t="n">
        <v>46110</v>
      </c>
      <c r="I2751" s="12" t="n">
        <v>46109</v>
      </c>
      <c r="J2751" s="12" t="n">
        <v>46111</v>
      </c>
      <c r="K2751" s="2" t="n">
        <v>165</v>
      </c>
      <c r="L2751" s="2" t="inlineStr">
        <is>
          <t>Road</t>
        </is>
      </c>
      <c r="M2751" s="2" t="inlineStr">
        <is>
          <t>No Delay</t>
        </is>
      </c>
      <c r="N2751" s="4">
        <f>IF(I2751&lt;=H2751,1,0)</f>
        <v/>
      </c>
      <c r="O2751" s="4">
        <f>IF(J2751&lt;=G2751,1,0)</f>
        <v/>
      </c>
      <c r="P2751" s="4">
        <f>MAX(0,I2751-H2751)</f>
        <v/>
      </c>
      <c r="Q2751" s="4">
        <f>MAX(0,J2751-G2751)</f>
        <v/>
      </c>
      <c r="R2751" s="4">
        <f>IF(AND(N2751=1,O2751=1),"On Track",IF(O2751=0,"Customer Delivery Late","Ship Late"))</f>
        <v/>
      </c>
    </row>
    <row r="2752">
      <c r="A2752" s="2" t="inlineStr">
        <is>
          <t>ORD-02751</t>
        </is>
      </c>
      <c r="B2752" s="2" t="inlineStr">
        <is>
          <t>Customer 06</t>
        </is>
      </c>
      <c r="C2752" s="2" t="inlineStr">
        <is>
          <t>PLC</t>
        </is>
      </c>
      <c r="D2752" s="2" t="inlineStr">
        <is>
          <t>Plant B</t>
        </is>
      </c>
      <c r="E2752" s="2" t="inlineStr">
        <is>
          <t>Central</t>
        </is>
      </c>
      <c r="F2752" s="12" t="n">
        <v>46068</v>
      </c>
      <c r="G2752" s="12" t="n">
        <v>46075</v>
      </c>
      <c r="H2752" s="12" t="n">
        <v>46070</v>
      </c>
      <c r="I2752" s="12" t="n">
        <v>46069</v>
      </c>
      <c r="J2752" s="12" t="n">
        <v>46075</v>
      </c>
      <c r="K2752" s="2" t="n">
        <v>1186</v>
      </c>
      <c r="L2752" s="2" t="inlineStr">
        <is>
          <t>Road</t>
        </is>
      </c>
      <c r="M2752" s="2" t="inlineStr">
        <is>
          <t>No Delay</t>
        </is>
      </c>
      <c r="N2752" s="4">
        <f>IF(I2752&lt;=H2752,1,0)</f>
        <v/>
      </c>
      <c r="O2752" s="4">
        <f>IF(J2752&lt;=G2752,1,0)</f>
        <v/>
      </c>
      <c r="P2752" s="4">
        <f>MAX(0,I2752-H2752)</f>
        <v/>
      </c>
      <c r="Q2752" s="4">
        <f>MAX(0,J2752-G2752)</f>
        <v/>
      </c>
      <c r="R2752" s="4">
        <f>IF(AND(N2752=1,O2752=1),"On Track",IF(O2752=0,"Customer Delivery Late","Ship Late"))</f>
        <v/>
      </c>
    </row>
    <row r="2753">
      <c r="A2753" s="2" t="inlineStr">
        <is>
          <t>ORD-02752</t>
        </is>
      </c>
      <c r="B2753" s="2" t="inlineStr">
        <is>
          <t>Customer 19</t>
        </is>
      </c>
      <c r="C2753" s="2" t="inlineStr">
        <is>
          <t>Drive</t>
        </is>
      </c>
      <c r="D2753" s="2" t="inlineStr">
        <is>
          <t>Plant A</t>
        </is>
      </c>
      <c r="E2753" s="2" t="inlineStr">
        <is>
          <t>Export</t>
        </is>
      </c>
      <c r="F2753" s="12" t="n">
        <v>46201</v>
      </c>
      <c r="G2753" s="12" t="n">
        <v>46213</v>
      </c>
      <c r="H2753" s="12" t="n">
        <v>46212</v>
      </c>
      <c r="I2753" s="12" t="n">
        <v>46211</v>
      </c>
      <c r="J2753" s="12" t="n">
        <v>46213</v>
      </c>
      <c r="K2753" s="2" t="n">
        <v>687</v>
      </c>
      <c r="L2753" s="2" t="inlineStr">
        <is>
          <t>Air</t>
        </is>
      </c>
      <c r="M2753" s="2" t="inlineStr">
        <is>
          <t>No Delay</t>
        </is>
      </c>
      <c r="N2753" s="4">
        <f>IF(I2753&lt;=H2753,1,0)</f>
        <v/>
      </c>
      <c r="O2753" s="4">
        <f>IF(J2753&lt;=G2753,1,0)</f>
        <v/>
      </c>
      <c r="P2753" s="4">
        <f>MAX(0,I2753-H2753)</f>
        <v/>
      </c>
      <c r="Q2753" s="4">
        <f>MAX(0,J2753-G2753)</f>
        <v/>
      </c>
      <c r="R2753" s="4">
        <f>IF(AND(N2753=1,O2753=1),"On Track",IF(O2753=0,"Customer Delivery Late","Ship Late"))</f>
        <v/>
      </c>
    </row>
    <row r="2754">
      <c r="A2754" s="2" t="inlineStr">
        <is>
          <t>ORD-02753</t>
        </is>
      </c>
      <c r="B2754" s="2" t="inlineStr">
        <is>
          <t>Customer 05</t>
        </is>
      </c>
      <c r="C2754" s="2" t="inlineStr">
        <is>
          <t>Sensor</t>
        </is>
      </c>
      <c r="D2754" s="2" t="inlineStr">
        <is>
          <t>Plant A</t>
        </is>
      </c>
      <c r="E2754" s="2" t="inlineStr">
        <is>
          <t>Export</t>
        </is>
      </c>
      <c r="F2754" s="12" t="n">
        <v>46037</v>
      </c>
      <c r="G2754" s="12" t="n">
        <v>46056</v>
      </c>
      <c r="H2754" s="12" t="n">
        <v>46051</v>
      </c>
      <c r="I2754" s="12" t="n">
        <v>46049</v>
      </c>
      <c r="J2754" s="12" t="n">
        <v>46055</v>
      </c>
      <c r="K2754" s="2" t="n">
        <v>1409</v>
      </c>
      <c r="L2754" s="2" t="inlineStr">
        <is>
          <t>Air</t>
        </is>
      </c>
      <c r="M2754" s="2" t="inlineStr">
        <is>
          <t>No Delay</t>
        </is>
      </c>
      <c r="N2754" s="4">
        <f>IF(I2754&lt;=H2754,1,0)</f>
        <v/>
      </c>
      <c r="O2754" s="4">
        <f>IF(J2754&lt;=G2754,1,0)</f>
        <v/>
      </c>
      <c r="P2754" s="4">
        <f>MAX(0,I2754-H2754)</f>
        <v/>
      </c>
      <c r="Q2754" s="4">
        <f>MAX(0,J2754-G2754)</f>
        <v/>
      </c>
      <c r="R2754" s="4">
        <f>IF(AND(N2754=1,O2754=1),"On Track",IF(O2754=0,"Customer Delivery Late","Ship Late"))</f>
        <v/>
      </c>
    </row>
    <row r="2755">
      <c r="A2755" s="2" t="inlineStr">
        <is>
          <t>ORD-02754</t>
        </is>
      </c>
      <c r="B2755" s="2" t="inlineStr">
        <is>
          <t>Customer 05</t>
        </is>
      </c>
      <c r="C2755" s="2" t="inlineStr">
        <is>
          <t>Breaker</t>
        </is>
      </c>
      <c r="D2755" s="2" t="inlineStr">
        <is>
          <t>Plant B</t>
        </is>
      </c>
      <c r="E2755" s="2" t="inlineStr">
        <is>
          <t>North</t>
        </is>
      </c>
      <c r="F2755" s="12" t="n">
        <v>46128</v>
      </c>
      <c r="G2755" s="12" t="n">
        <v>46149</v>
      </c>
      <c r="H2755" s="12" t="n">
        <v>46146</v>
      </c>
      <c r="I2755" s="12" t="n">
        <v>46146</v>
      </c>
      <c r="J2755" s="12" t="n">
        <v>46148</v>
      </c>
      <c r="K2755" s="2" t="n">
        <v>1346</v>
      </c>
      <c r="L2755" s="2" t="inlineStr">
        <is>
          <t>Road</t>
        </is>
      </c>
      <c r="M2755" s="2" t="inlineStr">
        <is>
          <t>No Delay</t>
        </is>
      </c>
      <c r="N2755" s="4">
        <f>IF(I2755&lt;=H2755,1,0)</f>
        <v/>
      </c>
      <c r="O2755" s="4">
        <f>IF(J2755&lt;=G2755,1,0)</f>
        <v/>
      </c>
      <c r="P2755" s="4">
        <f>MAX(0,I2755-H2755)</f>
        <v/>
      </c>
      <c r="Q2755" s="4">
        <f>MAX(0,J2755-G2755)</f>
        <v/>
      </c>
      <c r="R2755" s="4">
        <f>IF(AND(N2755=1,O2755=1),"On Track",IF(O2755=0,"Customer Delivery Late","Ship Late"))</f>
        <v/>
      </c>
    </row>
    <row r="2756">
      <c r="A2756" s="2" t="inlineStr">
        <is>
          <t>ORD-02755</t>
        </is>
      </c>
      <c r="B2756" s="2" t="inlineStr">
        <is>
          <t>Customer 07</t>
        </is>
      </c>
      <c r="C2756" s="2" t="inlineStr">
        <is>
          <t>Sensor</t>
        </is>
      </c>
      <c r="D2756" s="2" t="inlineStr">
        <is>
          <t>Plant B</t>
        </is>
      </c>
      <c r="E2756" s="2" t="inlineStr">
        <is>
          <t>South</t>
        </is>
      </c>
      <c r="F2756" s="12" t="n">
        <v>46105</v>
      </c>
      <c r="G2756" s="12" t="n">
        <v>46119</v>
      </c>
      <c r="H2756" s="12" t="n">
        <v>46114</v>
      </c>
      <c r="I2756" s="12" t="n">
        <v>46113</v>
      </c>
      <c r="J2756" s="12" t="n">
        <v>46117</v>
      </c>
      <c r="K2756" s="2" t="n">
        <v>1491</v>
      </c>
      <c r="L2756" s="2" t="inlineStr">
        <is>
          <t>Road</t>
        </is>
      </c>
      <c r="M2756" s="2" t="inlineStr">
        <is>
          <t>No Delay</t>
        </is>
      </c>
      <c r="N2756" s="4">
        <f>IF(I2756&lt;=H2756,1,0)</f>
        <v/>
      </c>
      <c r="O2756" s="4">
        <f>IF(J2756&lt;=G2756,1,0)</f>
        <v/>
      </c>
      <c r="P2756" s="4">
        <f>MAX(0,I2756-H2756)</f>
        <v/>
      </c>
      <c r="Q2756" s="4">
        <f>MAX(0,J2756-G2756)</f>
        <v/>
      </c>
      <c r="R2756" s="4">
        <f>IF(AND(N2756=1,O2756=1),"On Track",IF(O2756=0,"Customer Delivery Late","Ship Late"))</f>
        <v/>
      </c>
    </row>
    <row r="2757">
      <c r="A2757" s="2" t="inlineStr">
        <is>
          <t>ORD-02756</t>
        </is>
      </c>
      <c r="B2757" s="2" t="inlineStr">
        <is>
          <t>Customer 12</t>
        </is>
      </c>
      <c r="C2757" s="2" t="inlineStr">
        <is>
          <t>Sensor</t>
        </is>
      </c>
      <c r="D2757" s="2" t="inlineStr">
        <is>
          <t>Plant A</t>
        </is>
      </c>
      <c r="E2757" s="2" t="inlineStr">
        <is>
          <t>Export</t>
        </is>
      </c>
      <c r="F2757" s="12" t="n">
        <v>46080</v>
      </c>
      <c r="G2757" s="12" t="n">
        <v>46098</v>
      </c>
      <c r="H2757" s="12" t="n">
        <v>46096</v>
      </c>
      <c r="I2757" s="12" t="n">
        <v>46094</v>
      </c>
      <c r="J2757" s="12" t="n">
        <v>46096</v>
      </c>
      <c r="K2757" s="2" t="n">
        <v>1444</v>
      </c>
      <c r="L2757" s="2" t="inlineStr">
        <is>
          <t>Road</t>
        </is>
      </c>
      <c r="M2757" s="2" t="inlineStr">
        <is>
          <t>No Delay</t>
        </is>
      </c>
      <c r="N2757" s="4">
        <f>IF(I2757&lt;=H2757,1,0)</f>
        <v/>
      </c>
      <c r="O2757" s="4">
        <f>IF(J2757&lt;=G2757,1,0)</f>
        <v/>
      </c>
      <c r="P2757" s="4">
        <f>MAX(0,I2757-H2757)</f>
        <v/>
      </c>
      <c r="Q2757" s="4">
        <f>MAX(0,J2757-G2757)</f>
        <v/>
      </c>
      <c r="R2757" s="4">
        <f>IF(AND(N2757=1,O2757=1),"On Track",IF(O2757=0,"Customer Delivery Late","Ship Late"))</f>
        <v/>
      </c>
    </row>
    <row r="2758">
      <c r="A2758" s="2" t="inlineStr">
        <is>
          <t>ORD-02757</t>
        </is>
      </c>
      <c r="B2758" s="2" t="inlineStr">
        <is>
          <t>Customer 30</t>
        </is>
      </c>
      <c r="C2758" s="2" t="inlineStr">
        <is>
          <t>Switchgear</t>
        </is>
      </c>
      <c r="D2758" s="2" t="inlineStr">
        <is>
          <t>Plant A</t>
        </is>
      </c>
      <c r="E2758" s="2" t="inlineStr">
        <is>
          <t>Central</t>
        </is>
      </c>
      <c r="F2758" s="12" t="n">
        <v>46023</v>
      </c>
      <c r="G2758" s="12" t="n">
        <v>46046</v>
      </c>
      <c r="H2758" s="12" t="n">
        <v>46041</v>
      </c>
      <c r="I2758" s="12" t="n">
        <v>46039</v>
      </c>
      <c r="J2758" s="12" t="n">
        <v>46044</v>
      </c>
      <c r="K2758" s="2" t="n">
        <v>206</v>
      </c>
      <c r="L2758" s="2" t="inlineStr">
        <is>
          <t>Air</t>
        </is>
      </c>
      <c r="M2758" s="2" t="inlineStr">
        <is>
          <t>No Delay</t>
        </is>
      </c>
      <c r="N2758" s="4">
        <f>IF(I2758&lt;=H2758,1,0)</f>
        <v/>
      </c>
      <c r="O2758" s="4">
        <f>IF(J2758&lt;=G2758,1,0)</f>
        <v/>
      </c>
      <c r="P2758" s="4">
        <f>MAX(0,I2758-H2758)</f>
        <v/>
      </c>
      <c r="Q2758" s="4">
        <f>MAX(0,J2758-G2758)</f>
        <v/>
      </c>
      <c r="R2758" s="4">
        <f>IF(AND(N2758=1,O2758=1),"On Track",IF(O2758=0,"Customer Delivery Late","Ship Late"))</f>
        <v/>
      </c>
    </row>
    <row r="2759">
      <c r="A2759" s="2" t="inlineStr">
        <is>
          <t>ORD-02758</t>
        </is>
      </c>
      <c r="B2759" s="2" t="inlineStr">
        <is>
          <t>Customer 29</t>
        </is>
      </c>
      <c r="C2759" s="2" t="inlineStr">
        <is>
          <t>PLC</t>
        </is>
      </c>
      <c r="D2759" s="2" t="inlineStr">
        <is>
          <t>Plant A</t>
        </is>
      </c>
      <c r="E2759" s="2" t="inlineStr">
        <is>
          <t>Export</t>
        </is>
      </c>
      <c r="F2759" s="12" t="n">
        <v>46025</v>
      </c>
      <c r="G2759" s="12" t="n">
        <v>46038</v>
      </c>
      <c r="H2759" s="12" t="n">
        <v>46034</v>
      </c>
      <c r="I2759" s="12" t="n">
        <v>46032</v>
      </c>
      <c r="J2759" s="12" t="n">
        <v>46037</v>
      </c>
      <c r="K2759" s="2" t="n">
        <v>199</v>
      </c>
      <c r="L2759" s="2" t="inlineStr">
        <is>
          <t>Air</t>
        </is>
      </c>
      <c r="M2759" s="2" t="inlineStr">
        <is>
          <t>No Delay</t>
        </is>
      </c>
      <c r="N2759" s="4">
        <f>IF(I2759&lt;=H2759,1,0)</f>
        <v/>
      </c>
      <c r="O2759" s="4">
        <f>IF(J2759&lt;=G2759,1,0)</f>
        <v/>
      </c>
      <c r="P2759" s="4">
        <f>MAX(0,I2759-H2759)</f>
        <v/>
      </c>
      <c r="Q2759" s="4">
        <f>MAX(0,J2759-G2759)</f>
        <v/>
      </c>
      <c r="R2759" s="4">
        <f>IF(AND(N2759=1,O2759=1),"On Track",IF(O2759=0,"Customer Delivery Late","Ship Late"))</f>
        <v/>
      </c>
    </row>
    <row r="2760">
      <c r="A2760" s="2" t="inlineStr">
        <is>
          <t>ORD-02759</t>
        </is>
      </c>
      <c r="B2760" s="2" t="inlineStr">
        <is>
          <t>Customer 12</t>
        </is>
      </c>
      <c r="C2760" s="2" t="inlineStr">
        <is>
          <t>Breaker</t>
        </is>
      </c>
      <c r="D2760" s="2" t="inlineStr">
        <is>
          <t>Plant B</t>
        </is>
      </c>
      <c r="E2760" s="2" t="inlineStr">
        <is>
          <t>North</t>
        </is>
      </c>
      <c r="F2760" s="12" t="n">
        <v>46187</v>
      </c>
      <c r="G2760" s="12" t="n">
        <v>46209</v>
      </c>
      <c r="H2760" s="12" t="n">
        <v>46206</v>
      </c>
      <c r="I2760" s="12" t="n">
        <v>46204</v>
      </c>
      <c r="J2760" s="12" t="n">
        <v>46207</v>
      </c>
      <c r="K2760" s="2" t="n">
        <v>1020</v>
      </c>
      <c r="L2760" s="2" t="inlineStr">
        <is>
          <t>Sea</t>
        </is>
      </c>
      <c r="M2760" s="2" t="inlineStr">
        <is>
          <t>No Delay</t>
        </is>
      </c>
      <c r="N2760" s="4">
        <f>IF(I2760&lt;=H2760,1,0)</f>
        <v/>
      </c>
      <c r="O2760" s="4">
        <f>IF(J2760&lt;=G2760,1,0)</f>
        <v/>
      </c>
      <c r="P2760" s="4">
        <f>MAX(0,I2760-H2760)</f>
        <v/>
      </c>
      <c r="Q2760" s="4">
        <f>MAX(0,J2760-G2760)</f>
        <v/>
      </c>
      <c r="R2760" s="4">
        <f>IF(AND(N2760=1,O2760=1),"On Track",IF(O2760=0,"Customer Delivery Late","Ship Late"))</f>
        <v/>
      </c>
    </row>
    <row r="2761">
      <c r="A2761" s="2" t="inlineStr">
        <is>
          <t>ORD-02760</t>
        </is>
      </c>
      <c r="B2761" s="2" t="inlineStr">
        <is>
          <t>Customer 24</t>
        </is>
      </c>
      <c r="C2761" s="2" t="inlineStr">
        <is>
          <t>Drive</t>
        </is>
      </c>
      <c r="D2761" s="2" t="inlineStr">
        <is>
          <t>Plant C</t>
        </is>
      </c>
      <c r="E2761" s="2" t="inlineStr">
        <is>
          <t>North</t>
        </is>
      </c>
      <c r="F2761" s="12" t="n">
        <v>46083</v>
      </c>
      <c r="G2761" s="12" t="n">
        <v>46106</v>
      </c>
      <c r="H2761" s="12" t="n">
        <v>46104</v>
      </c>
      <c r="I2761" s="12" t="n">
        <v>46104</v>
      </c>
      <c r="J2761" s="12" t="n">
        <v>46105</v>
      </c>
      <c r="K2761" s="2" t="n">
        <v>785</v>
      </c>
      <c r="L2761" s="2" t="inlineStr">
        <is>
          <t>Sea</t>
        </is>
      </c>
      <c r="M2761" s="2" t="inlineStr">
        <is>
          <t>No Delay</t>
        </is>
      </c>
      <c r="N2761" s="4">
        <f>IF(I2761&lt;=H2761,1,0)</f>
        <v/>
      </c>
      <c r="O2761" s="4">
        <f>IF(J2761&lt;=G2761,1,0)</f>
        <v/>
      </c>
      <c r="P2761" s="4">
        <f>MAX(0,I2761-H2761)</f>
        <v/>
      </c>
      <c r="Q2761" s="4">
        <f>MAX(0,J2761-G2761)</f>
        <v/>
      </c>
      <c r="R2761" s="4">
        <f>IF(AND(N2761=1,O2761=1),"On Track",IF(O2761=0,"Customer Delivery Late","Ship Late"))</f>
        <v/>
      </c>
    </row>
    <row r="2762">
      <c r="A2762" s="2" t="inlineStr">
        <is>
          <t>ORD-02761</t>
        </is>
      </c>
      <c r="B2762" s="2" t="inlineStr">
        <is>
          <t>Customer 29</t>
        </is>
      </c>
      <c r="C2762" s="2" t="inlineStr">
        <is>
          <t>Power Supply</t>
        </is>
      </c>
      <c r="D2762" s="2" t="inlineStr">
        <is>
          <t>Plant B</t>
        </is>
      </c>
      <c r="E2762" s="2" t="inlineStr">
        <is>
          <t>Export</t>
        </is>
      </c>
      <c r="F2762" s="12" t="n">
        <v>46163</v>
      </c>
      <c r="G2762" s="12" t="n">
        <v>46174</v>
      </c>
      <c r="H2762" s="12" t="n">
        <v>46172</v>
      </c>
      <c r="I2762" s="12" t="n">
        <v>46170</v>
      </c>
      <c r="J2762" s="12" t="n">
        <v>46173</v>
      </c>
      <c r="K2762" s="2" t="n">
        <v>67</v>
      </c>
      <c r="L2762" s="2" t="inlineStr">
        <is>
          <t>Sea</t>
        </is>
      </c>
      <c r="M2762" s="2" t="inlineStr">
        <is>
          <t>No Delay</t>
        </is>
      </c>
      <c r="N2762" s="4">
        <f>IF(I2762&lt;=H2762,1,0)</f>
        <v/>
      </c>
      <c r="O2762" s="4">
        <f>IF(J2762&lt;=G2762,1,0)</f>
        <v/>
      </c>
      <c r="P2762" s="4">
        <f>MAX(0,I2762-H2762)</f>
        <v/>
      </c>
      <c r="Q2762" s="4">
        <f>MAX(0,J2762-G2762)</f>
        <v/>
      </c>
      <c r="R2762" s="4">
        <f>IF(AND(N2762=1,O2762=1),"On Track",IF(O2762=0,"Customer Delivery Late","Ship Late"))</f>
        <v/>
      </c>
    </row>
    <row r="2763">
      <c r="A2763" s="2" t="inlineStr">
        <is>
          <t>ORD-02762</t>
        </is>
      </c>
      <c r="B2763" s="2" t="inlineStr">
        <is>
          <t>Customer 24</t>
        </is>
      </c>
      <c r="C2763" s="2" t="inlineStr">
        <is>
          <t>Drive</t>
        </is>
      </c>
      <c r="D2763" s="2" t="inlineStr">
        <is>
          <t>Plant C</t>
        </is>
      </c>
      <c r="E2763" s="2" t="inlineStr">
        <is>
          <t>Central</t>
        </is>
      </c>
      <c r="F2763" s="12" t="n">
        <v>46177</v>
      </c>
      <c r="G2763" s="12" t="n">
        <v>46190</v>
      </c>
      <c r="H2763" s="12" t="n">
        <v>46187</v>
      </c>
      <c r="I2763" s="12" t="n">
        <v>46186</v>
      </c>
      <c r="J2763" s="12" t="n">
        <v>46189</v>
      </c>
      <c r="K2763" s="2" t="n">
        <v>764</v>
      </c>
      <c r="L2763" s="2" t="inlineStr">
        <is>
          <t>Air</t>
        </is>
      </c>
      <c r="M2763" s="2" t="inlineStr">
        <is>
          <t>No Delay</t>
        </is>
      </c>
      <c r="N2763" s="4">
        <f>IF(I2763&lt;=H2763,1,0)</f>
        <v/>
      </c>
      <c r="O2763" s="4">
        <f>IF(J2763&lt;=G2763,1,0)</f>
        <v/>
      </c>
      <c r="P2763" s="4">
        <f>MAX(0,I2763-H2763)</f>
        <v/>
      </c>
      <c r="Q2763" s="4">
        <f>MAX(0,J2763-G2763)</f>
        <v/>
      </c>
      <c r="R2763" s="4">
        <f>IF(AND(N2763=1,O2763=1),"On Track",IF(O2763=0,"Customer Delivery Late","Ship Late"))</f>
        <v/>
      </c>
    </row>
    <row r="2764">
      <c r="A2764" s="2" t="inlineStr">
        <is>
          <t>ORD-02763</t>
        </is>
      </c>
      <c r="B2764" s="2" t="inlineStr">
        <is>
          <t>Customer 01</t>
        </is>
      </c>
      <c r="C2764" s="2" t="inlineStr">
        <is>
          <t>Switchgear</t>
        </is>
      </c>
      <c r="D2764" s="2" t="inlineStr">
        <is>
          <t>Plant C</t>
        </is>
      </c>
      <c r="E2764" s="2" t="inlineStr">
        <is>
          <t>South</t>
        </is>
      </c>
      <c r="F2764" s="12" t="n">
        <v>46028</v>
      </c>
      <c r="G2764" s="12" t="n">
        <v>46048</v>
      </c>
      <c r="H2764" s="12" t="n">
        <v>46044</v>
      </c>
      <c r="I2764" s="12" t="n">
        <v>46042</v>
      </c>
      <c r="J2764" s="12" t="n">
        <v>46046</v>
      </c>
      <c r="K2764" s="2" t="n">
        <v>881</v>
      </c>
      <c r="L2764" s="2" t="inlineStr">
        <is>
          <t>Road</t>
        </is>
      </c>
      <c r="M2764" s="2" t="inlineStr">
        <is>
          <t>No Delay</t>
        </is>
      </c>
      <c r="N2764" s="4">
        <f>IF(I2764&lt;=H2764,1,0)</f>
        <v/>
      </c>
      <c r="O2764" s="4">
        <f>IF(J2764&lt;=G2764,1,0)</f>
        <v/>
      </c>
      <c r="P2764" s="4">
        <f>MAX(0,I2764-H2764)</f>
        <v/>
      </c>
      <c r="Q2764" s="4">
        <f>MAX(0,J2764-G2764)</f>
        <v/>
      </c>
      <c r="R2764" s="4">
        <f>IF(AND(N2764=1,O2764=1),"On Track",IF(O2764=0,"Customer Delivery Late","Ship Late"))</f>
        <v/>
      </c>
    </row>
    <row r="2765">
      <c r="A2765" s="2" t="inlineStr">
        <is>
          <t>ORD-02764</t>
        </is>
      </c>
      <c r="B2765" s="2" t="inlineStr">
        <is>
          <t>Customer 05</t>
        </is>
      </c>
      <c r="C2765" s="2" t="inlineStr">
        <is>
          <t>Power Supply</t>
        </is>
      </c>
      <c r="D2765" s="2" t="inlineStr">
        <is>
          <t>Plant C</t>
        </is>
      </c>
      <c r="E2765" s="2" t="inlineStr">
        <is>
          <t>North</t>
        </is>
      </c>
      <c r="F2765" s="12" t="n">
        <v>46190</v>
      </c>
      <c r="G2765" s="12" t="n">
        <v>46200</v>
      </c>
      <c r="H2765" s="12" t="n">
        <v>46196</v>
      </c>
      <c r="I2765" s="12" t="n">
        <v>46196</v>
      </c>
      <c r="J2765" s="12" t="n">
        <v>46200</v>
      </c>
      <c r="K2765" s="2" t="n">
        <v>258</v>
      </c>
      <c r="L2765" s="2" t="inlineStr">
        <is>
          <t>Sea</t>
        </is>
      </c>
      <c r="M2765" s="2" t="inlineStr">
        <is>
          <t>No Delay</t>
        </is>
      </c>
      <c r="N2765" s="4">
        <f>IF(I2765&lt;=H2765,1,0)</f>
        <v/>
      </c>
      <c r="O2765" s="4">
        <f>IF(J2765&lt;=G2765,1,0)</f>
        <v/>
      </c>
      <c r="P2765" s="4">
        <f>MAX(0,I2765-H2765)</f>
        <v/>
      </c>
      <c r="Q2765" s="4">
        <f>MAX(0,J2765-G2765)</f>
        <v/>
      </c>
      <c r="R2765" s="4">
        <f>IF(AND(N2765=1,O2765=1),"On Track",IF(O2765=0,"Customer Delivery Late","Ship Late"))</f>
        <v/>
      </c>
    </row>
    <row r="2766">
      <c r="A2766" s="2" t="inlineStr">
        <is>
          <t>ORD-02765</t>
        </is>
      </c>
      <c r="B2766" s="2" t="inlineStr">
        <is>
          <t>Customer 19</t>
        </is>
      </c>
      <c r="C2766" s="2" t="inlineStr">
        <is>
          <t>Contactor</t>
        </is>
      </c>
      <c r="D2766" s="2" t="inlineStr">
        <is>
          <t>Plant C</t>
        </is>
      </c>
      <c r="E2766" s="2" t="inlineStr">
        <is>
          <t>South</t>
        </is>
      </c>
      <c r="F2766" s="12" t="n">
        <v>46134</v>
      </c>
      <c r="G2766" s="12" t="n">
        <v>46155</v>
      </c>
      <c r="H2766" s="12" t="n">
        <v>46154</v>
      </c>
      <c r="I2766" s="12" t="n">
        <v>46152</v>
      </c>
      <c r="J2766" s="12" t="n">
        <v>46153</v>
      </c>
      <c r="K2766" s="2" t="n">
        <v>1180</v>
      </c>
      <c r="L2766" s="2" t="inlineStr">
        <is>
          <t>Road</t>
        </is>
      </c>
      <c r="M2766" s="2" t="inlineStr">
        <is>
          <t>No Delay</t>
        </is>
      </c>
      <c r="N2766" s="4">
        <f>IF(I2766&lt;=H2766,1,0)</f>
        <v/>
      </c>
      <c r="O2766" s="4">
        <f>IF(J2766&lt;=G2766,1,0)</f>
        <v/>
      </c>
      <c r="P2766" s="4">
        <f>MAX(0,I2766-H2766)</f>
        <v/>
      </c>
      <c r="Q2766" s="4">
        <f>MAX(0,J2766-G2766)</f>
        <v/>
      </c>
      <c r="R2766" s="4">
        <f>IF(AND(N2766=1,O2766=1),"On Track",IF(O2766=0,"Customer Delivery Late","Ship Late"))</f>
        <v/>
      </c>
    </row>
    <row r="2767">
      <c r="A2767" s="2" t="inlineStr">
        <is>
          <t>ORD-02766</t>
        </is>
      </c>
      <c r="B2767" s="2" t="inlineStr">
        <is>
          <t>Customer 22</t>
        </is>
      </c>
      <c r="C2767" s="2" t="inlineStr">
        <is>
          <t>Relay</t>
        </is>
      </c>
      <c r="D2767" s="2" t="inlineStr">
        <is>
          <t>Plant C</t>
        </is>
      </c>
      <c r="E2767" s="2" t="inlineStr">
        <is>
          <t>North</t>
        </is>
      </c>
      <c r="F2767" s="12" t="n">
        <v>46165</v>
      </c>
      <c r="G2767" s="12" t="n">
        <v>46172</v>
      </c>
      <c r="H2767" s="12" t="n">
        <v>46168</v>
      </c>
      <c r="I2767" s="12" t="n">
        <v>46166</v>
      </c>
      <c r="J2767" s="12" t="n">
        <v>46170</v>
      </c>
      <c r="K2767" s="2" t="n">
        <v>715</v>
      </c>
      <c r="L2767" s="2" t="inlineStr">
        <is>
          <t>Sea</t>
        </is>
      </c>
      <c r="M2767" s="2" t="inlineStr">
        <is>
          <t>No Delay</t>
        </is>
      </c>
      <c r="N2767" s="4">
        <f>IF(I2767&lt;=H2767,1,0)</f>
        <v/>
      </c>
      <c r="O2767" s="4">
        <f>IF(J2767&lt;=G2767,1,0)</f>
        <v/>
      </c>
      <c r="P2767" s="4">
        <f>MAX(0,I2767-H2767)</f>
        <v/>
      </c>
      <c r="Q2767" s="4">
        <f>MAX(0,J2767-G2767)</f>
        <v/>
      </c>
      <c r="R2767" s="4">
        <f>IF(AND(N2767=1,O2767=1),"On Track",IF(O2767=0,"Customer Delivery Late","Ship Late"))</f>
        <v/>
      </c>
    </row>
    <row r="2768">
      <c r="A2768" s="2" t="inlineStr">
        <is>
          <t>ORD-02767</t>
        </is>
      </c>
      <c r="B2768" s="2" t="inlineStr">
        <is>
          <t>Customer 22</t>
        </is>
      </c>
      <c r="C2768" s="2" t="inlineStr">
        <is>
          <t>Switchgear</t>
        </is>
      </c>
      <c r="D2768" s="2" t="inlineStr">
        <is>
          <t>Plant A</t>
        </is>
      </c>
      <c r="E2768" s="2" t="inlineStr">
        <is>
          <t>Export</t>
        </is>
      </c>
      <c r="F2768" s="12" t="n">
        <v>46193</v>
      </c>
      <c r="G2768" s="12" t="n">
        <v>46214</v>
      </c>
      <c r="H2768" s="12" t="n">
        <v>46210</v>
      </c>
      <c r="I2768" s="12" t="n">
        <v>46209</v>
      </c>
      <c r="J2768" s="12" t="n">
        <v>46212</v>
      </c>
      <c r="K2768" s="2" t="n">
        <v>1047</v>
      </c>
      <c r="L2768" s="2" t="inlineStr">
        <is>
          <t>Road</t>
        </is>
      </c>
      <c r="M2768" s="2" t="inlineStr">
        <is>
          <t>No Delay</t>
        </is>
      </c>
      <c r="N2768" s="4">
        <f>IF(I2768&lt;=H2768,1,0)</f>
        <v/>
      </c>
      <c r="O2768" s="4">
        <f>IF(J2768&lt;=G2768,1,0)</f>
        <v/>
      </c>
      <c r="P2768" s="4">
        <f>MAX(0,I2768-H2768)</f>
        <v/>
      </c>
      <c r="Q2768" s="4">
        <f>MAX(0,J2768-G2768)</f>
        <v/>
      </c>
      <c r="R2768" s="4">
        <f>IF(AND(N2768=1,O2768=1),"On Track",IF(O2768=0,"Customer Delivery Late","Ship Late"))</f>
        <v/>
      </c>
    </row>
    <row r="2769">
      <c r="A2769" s="2" t="inlineStr">
        <is>
          <t>ORD-02768</t>
        </is>
      </c>
      <c r="B2769" s="2" t="inlineStr">
        <is>
          <t>Customer 16</t>
        </is>
      </c>
      <c r="C2769" s="2" t="inlineStr">
        <is>
          <t>Switchgear</t>
        </is>
      </c>
      <c r="D2769" s="2" t="inlineStr">
        <is>
          <t>Plant A</t>
        </is>
      </c>
      <c r="E2769" s="2" t="inlineStr">
        <is>
          <t>South</t>
        </is>
      </c>
      <c r="F2769" s="12" t="n">
        <v>46048</v>
      </c>
      <c r="G2769" s="12" t="n">
        <v>46056</v>
      </c>
      <c r="H2769" s="12" t="n">
        <v>46051</v>
      </c>
      <c r="I2769" s="12" t="n">
        <v>46051</v>
      </c>
      <c r="J2769" s="12" t="n">
        <v>46056</v>
      </c>
      <c r="K2769" s="2" t="n">
        <v>1227</v>
      </c>
      <c r="L2769" s="2" t="inlineStr">
        <is>
          <t>Air</t>
        </is>
      </c>
      <c r="M2769" s="2" t="inlineStr">
        <is>
          <t>No Delay</t>
        </is>
      </c>
      <c r="N2769" s="4">
        <f>IF(I2769&lt;=H2769,1,0)</f>
        <v/>
      </c>
      <c r="O2769" s="4">
        <f>IF(J2769&lt;=G2769,1,0)</f>
        <v/>
      </c>
      <c r="P2769" s="4">
        <f>MAX(0,I2769-H2769)</f>
        <v/>
      </c>
      <c r="Q2769" s="4">
        <f>MAX(0,J2769-G2769)</f>
        <v/>
      </c>
      <c r="R2769" s="4">
        <f>IF(AND(N2769=1,O2769=1),"On Track",IF(O2769=0,"Customer Delivery Late","Ship Late"))</f>
        <v/>
      </c>
    </row>
    <row r="2770">
      <c r="A2770" s="2" t="inlineStr">
        <is>
          <t>ORD-02769</t>
        </is>
      </c>
      <c r="B2770" s="2" t="inlineStr">
        <is>
          <t>Customer 07</t>
        </is>
      </c>
      <c r="C2770" s="2" t="inlineStr">
        <is>
          <t>Drive</t>
        </is>
      </c>
      <c r="D2770" s="2" t="inlineStr">
        <is>
          <t>Plant B</t>
        </is>
      </c>
      <c r="E2770" s="2" t="inlineStr">
        <is>
          <t>Central</t>
        </is>
      </c>
      <c r="F2770" s="12" t="n">
        <v>46122</v>
      </c>
      <c r="G2770" s="12" t="n">
        <v>46145</v>
      </c>
      <c r="H2770" s="12" t="n">
        <v>46144</v>
      </c>
      <c r="I2770" s="12" t="n">
        <v>46147</v>
      </c>
      <c r="J2770" s="12" t="n">
        <v>46148</v>
      </c>
      <c r="K2770" s="2" t="n">
        <v>1175</v>
      </c>
      <c r="L2770" s="2" t="inlineStr">
        <is>
          <t>Sea</t>
        </is>
      </c>
      <c r="M2770" s="2" t="inlineStr">
        <is>
          <t>Material Shortage</t>
        </is>
      </c>
      <c r="N2770" s="4">
        <f>IF(I2770&lt;=H2770,1,0)</f>
        <v/>
      </c>
      <c r="O2770" s="4">
        <f>IF(J2770&lt;=G2770,1,0)</f>
        <v/>
      </c>
      <c r="P2770" s="4">
        <f>MAX(0,I2770-H2770)</f>
        <v/>
      </c>
      <c r="Q2770" s="4">
        <f>MAX(0,J2770-G2770)</f>
        <v/>
      </c>
      <c r="R2770" s="4">
        <f>IF(AND(N2770=1,O2770=1),"On Track",IF(O2770=0,"Customer Delivery Late","Ship Late"))</f>
        <v/>
      </c>
    </row>
    <row r="2771">
      <c r="A2771" s="2" t="inlineStr">
        <is>
          <t>ORD-02770</t>
        </is>
      </c>
      <c r="B2771" s="2" t="inlineStr">
        <is>
          <t>Customer 16</t>
        </is>
      </c>
      <c r="C2771" s="2" t="inlineStr">
        <is>
          <t>Drive</t>
        </is>
      </c>
      <c r="D2771" s="2" t="inlineStr">
        <is>
          <t>Plant A</t>
        </is>
      </c>
      <c r="E2771" s="2" t="inlineStr">
        <is>
          <t>Export</t>
        </is>
      </c>
      <c r="F2771" s="12" t="n">
        <v>46192</v>
      </c>
      <c r="G2771" s="12" t="n">
        <v>46211</v>
      </c>
      <c r="H2771" s="12" t="n">
        <v>46208</v>
      </c>
      <c r="I2771" s="12" t="n">
        <v>46208</v>
      </c>
      <c r="J2771" s="12" t="n">
        <v>46211</v>
      </c>
      <c r="K2771" s="2" t="n">
        <v>966</v>
      </c>
      <c r="L2771" s="2" t="inlineStr">
        <is>
          <t>Sea</t>
        </is>
      </c>
      <c r="M2771" s="2" t="inlineStr">
        <is>
          <t>No Delay</t>
        </is>
      </c>
      <c r="N2771" s="4">
        <f>IF(I2771&lt;=H2771,1,0)</f>
        <v/>
      </c>
      <c r="O2771" s="4">
        <f>IF(J2771&lt;=G2771,1,0)</f>
        <v/>
      </c>
      <c r="P2771" s="4">
        <f>MAX(0,I2771-H2771)</f>
        <v/>
      </c>
      <c r="Q2771" s="4">
        <f>MAX(0,J2771-G2771)</f>
        <v/>
      </c>
      <c r="R2771" s="4">
        <f>IF(AND(N2771=1,O2771=1),"On Track",IF(O2771=0,"Customer Delivery Late","Ship Late"))</f>
        <v/>
      </c>
    </row>
    <row r="2772">
      <c r="A2772" s="2" t="inlineStr">
        <is>
          <t>ORD-02771</t>
        </is>
      </c>
      <c r="B2772" s="2" t="inlineStr">
        <is>
          <t>Customer 05</t>
        </is>
      </c>
      <c r="C2772" s="2" t="inlineStr">
        <is>
          <t>Contactor</t>
        </is>
      </c>
      <c r="D2772" s="2" t="inlineStr">
        <is>
          <t>Plant B</t>
        </is>
      </c>
      <c r="E2772" s="2" t="inlineStr">
        <is>
          <t>Export</t>
        </is>
      </c>
      <c r="F2772" s="12" t="n">
        <v>46091</v>
      </c>
      <c r="G2772" s="12" t="n">
        <v>46112</v>
      </c>
      <c r="H2772" s="12" t="n">
        <v>46108</v>
      </c>
      <c r="I2772" s="12" t="n">
        <v>46106</v>
      </c>
      <c r="J2772" s="12" t="n">
        <v>46111</v>
      </c>
      <c r="K2772" s="2" t="n">
        <v>546</v>
      </c>
      <c r="L2772" s="2" t="inlineStr">
        <is>
          <t>Sea</t>
        </is>
      </c>
      <c r="M2772" s="2" t="inlineStr">
        <is>
          <t>No Delay</t>
        </is>
      </c>
      <c r="N2772" s="4">
        <f>IF(I2772&lt;=H2772,1,0)</f>
        <v/>
      </c>
      <c r="O2772" s="4">
        <f>IF(J2772&lt;=G2772,1,0)</f>
        <v/>
      </c>
      <c r="P2772" s="4">
        <f>MAX(0,I2772-H2772)</f>
        <v/>
      </c>
      <c r="Q2772" s="4">
        <f>MAX(0,J2772-G2772)</f>
        <v/>
      </c>
      <c r="R2772" s="4">
        <f>IF(AND(N2772=1,O2772=1),"On Track",IF(O2772=0,"Customer Delivery Late","Ship Late"))</f>
        <v/>
      </c>
    </row>
    <row r="2773">
      <c r="A2773" s="2" t="inlineStr">
        <is>
          <t>ORD-02772</t>
        </is>
      </c>
      <c r="B2773" s="2" t="inlineStr">
        <is>
          <t>Customer 22</t>
        </is>
      </c>
      <c r="C2773" s="2" t="inlineStr">
        <is>
          <t>Drive</t>
        </is>
      </c>
      <c r="D2773" s="2" t="inlineStr">
        <is>
          <t>Plant C</t>
        </is>
      </c>
      <c r="E2773" s="2" t="inlineStr">
        <is>
          <t>South</t>
        </is>
      </c>
      <c r="F2773" s="12" t="n">
        <v>46138</v>
      </c>
      <c r="G2773" s="12" t="n">
        <v>46152</v>
      </c>
      <c r="H2773" s="12" t="n">
        <v>46148</v>
      </c>
      <c r="I2773" s="12" t="n">
        <v>46146</v>
      </c>
      <c r="J2773" s="12" t="n">
        <v>46151</v>
      </c>
      <c r="K2773" s="2" t="n">
        <v>452</v>
      </c>
      <c r="L2773" s="2" t="inlineStr">
        <is>
          <t>Sea</t>
        </is>
      </c>
      <c r="M2773" s="2" t="inlineStr">
        <is>
          <t>No Delay</t>
        </is>
      </c>
      <c r="N2773" s="4">
        <f>IF(I2773&lt;=H2773,1,0)</f>
        <v/>
      </c>
      <c r="O2773" s="4">
        <f>IF(J2773&lt;=G2773,1,0)</f>
        <v/>
      </c>
      <c r="P2773" s="4">
        <f>MAX(0,I2773-H2773)</f>
        <v/>
      </c>
      <c r="Q2773" s="4">
        <f>MAX(0,J2773-G2773)</f>
        <v/>
      </c>
      <c r="R2773" s="4">
        <f>IF(AND(N2773=1,O2773=1),"On Track",IF(O2773=0,"Customer Delivery Late","Ship Late"))</f>
        <v/>
      </c>
    </row>
    <row r="2774">
      <c r="A2774" s="2" t="inlineStr">
        <is>
          <t>ORD-02773</t>
        </is>
      </c>
      <c r="B2774" s="2" t="inlineStr">
        <is>
          <t>Customer 05</t>
        </is>
      </c>
      <c r="C2774" s="2" t="inlineStr">
        <is>
          <t>Breaker</t>
        </is>
      </c>
      <c r="D2774" s="2" t="inlineStr">
        <is>
          <t>Plant A</t>
        </is>
      </c>
      <c r="E2774" s="2" t="inlineStr">
        <is>
          <t>Central</t>
        </is>
      </c>
      <c r="F2774" s="12" t="n">
        <v>46083</v>
      </c>
      <c r="G2774" s="12" t="n">
        <v>46099</v>
      </c>
      <c r="H2774" s="12" t="n">
        <v>46095</v>
      </c>
      <c r="I2774" s="12" t="n">
        <v>46095</v>
      </c>
      <c r="J2774" s="12" t="n">
        <v>46098</v>
      </c>
      <c r="K2774" s="2" t="n">
        <v>136</v>
      </c>
      <c r="L2774" s="2" t="inlineStr">
        <is>
          <t>Sea</t>
        </is>
      </c>
      <c r="M2774" s="2" t="inlineStr">
        <is>
          <t>No Delay</t>
        </is>
      </c>
      <c r="N2774" s="4">
        <f>IF(I2774&lt;=H2774,1,0)</f>
        <v/>
      </c>
      <c r="O2774" s="4">
        <f>IF(J2774&lt;=G2774,1,0)</f>
        <v/>
      </c>
      <c r="P2774" s="4">
        <f>MAX(0,I2774-H2774)</f>
        <v/>
      </c>
      <c r="Q2774" s="4">
        <f>MAX(0,J2774-G2774)</f>
        <v/>
      </c>
      <c r="R2774" s="4">
        <f>IF(AND(N2774=1,O2774=1),"On Track",IF(O2774=0,"Customer Delivery Late","Ship Late"))</f>
        <v/>
      </c>
    </row>
    <row r="2775">
      <c r="A2775" s="2" t="inlineStr">
        <is>
          <t>ORD-02774</t>
        </is>
      </c>
      <c r="B2775" s="2" t="inlineStr">
        <is>
          <t>Customer 04</t>
        </is>
      </c>
      <c r="C2775" s="2" t="inlineStr">
        <is>
          <t>Contactor</t>
        </is>
      </c>
      <c r="D2775" s="2" t="inlineStr">
        <is>
          <t>Plant C</t>
        </is>
      </c>
      <c r="E2775" s="2" t="inlineStr">
        <is>
          <t>Export</t>
        </is>
      </c>
      <c r="F2775" s="12" t="n">
        <v>46120</v>
      </c>
      <c r="G2775" s="12" t="n">
        <v>46133</v>
      </c>
      <c r="H2775" s="12" t="n">
        <v>46129</v>
      </c>
      <c r="I2775" s="12" t="n">
        <v>46127</v>
      </c>
      <c r="J2775" s="12" t="n">
        <v>46131</v>
      </c>
      <c r="K2775" s="2" t="n">
        <v>1208</v>
      </c>
      <c r="L2775" s="2" t="inlineStr">
        <is>
          <t>Sea</t>
        </is>
      </c>
      <c r="M2775" s="2" t="inlineStr">
        <is>
          <t>No Delay</t>
        </is>
      </c>
      <c r="N2775" s="4">
        <f>IF(I2775&lt;=H2775,1,0)</f>
        <v/>
      </c>
      <c r="O2775" s="4">
        <f>IF(J2775&lt;=G2775,1,0)</f>
        <v/>
      </c>
      <c r="P2775" s="4">
        <f>MAX(0,I2775-H2775)</f>
        <v/>
      </c>
      <c r="Q2775" s="4">
        <f>MAX(0,J2775-G2775)</f>
        <v/>
      </c>
      <c r="R2775" s="4">
        <f>IF(AND(N2775=1,O2775=1),"On Track",IF(O2775=0,"Customer Delivery Late","Ship Late"))</f>
        <v/>
      </c>
    </row>
    <row r="2776">
      <c r="A2776" s="2" t="inlineStr">
        <is>
          <t>ORD-02775</t>
        </is>
      </c>
      <c r="B2776" s="2" t="inlineStr">
        <is>
          <t>Customer 18</t>
        </is>
      </c>
      <c r="C2776" s="2" t="inlineStr">
        <is>
          <t>Switchgear</t>
        </is>
      </c>
      <c r="D2776" s="2" t="inlineStr">
        <is>
          <t>Plant C</t>
        </is>
      </c>
      <c r="E2776" s="2" t="inlineStr">
        <is>
          <t>Central</t>
        </is>
      </c>
      <c r="F2776" s="12" t="n">
        <v>46071</v>
      </c>
      <c r="G2776" s="12" t="n">
        <v>46082</v>
      </c>
      <c r="H2776" s="12" t="n">
        <v>46079</v>
      </c>
      <c r="I2776" s="12" t="n">
        <v>46077</v>
      </c>
      <c r="J2776" s="12" t="n">
        <v>46079</v>
      </c>
      <c r="K2776" s="2" t="n">
        <v>91</v>
      </c>
      <c r="L2776" s="2" t="inlineStr">
        <is>
          <t>Air</t>
        </is>
      </c>
      <c r="M2776" s="2" t="inlineStr">
        <is>
          <t>No Delay</t>
        </is>
      </c>
      <c r="N2776" s="4">
        <f>IF(I2776&lt;=H2776,1,0)</f>
        <v/>
      </c>
      <c r="O2776" s="4">
        <f>IF(J2776&lt;=G2776,1,0)</f>
        <v/>
      </c>
      <c r="P2776" s="4">
        <f>MAX(0,I2776-H2776)</f>
        <v/>
      </c>
      <c r="Q2776" s="4">
        <f>MAX(0,J2776-G2776)</f>
        <v/>
      </c>
      <c r="R2776" s="4">
        <f>IF(AND(N2776=1,O2776=1),"On Track",IF(O2776=0,"Customer Delivery Late","Ship Late"))</f>
        <v/>
      </c>
    </row>
    <row r="2777">
      <c r="A2777" s="2" t="inlineStr">
        <is>
          <t>ORD-02776</t>
        </is>
      </c>
      <c r="B2777" s="2" t="inlineStr">
        <is>
          <t>Customer 11</t>
        </is>
      </c>
      <c r="C2777" s="2" t="inlineStr">
        <is>
          <t>Drive</t>
        </is>
      </c>
      <c r="D2777" s="2" t="inlineStr">
        <is>
          <t>Plant A</t>
        </is>
      </c>
      <c r="E2777" s="2" t="inlineStr">
        <is>
          <t>Export</t>
        </is>
      </c>
      <c r="F2777" s="12" t="n">
        <v>46187</v>
      </c>
      <c r="G2777" s="12" t="n">
        <v>46204</v>
      </c>
      <c r="H2777" s="12" t="n">
        <v>46199</v>
      </c>
      <c r="I2777" s="12" t="n">
        <v>46199</v>
      </c>
      <c r="J2777" s="12" t="n">
        <v>46204</v>
      </c>
      <c r="K2777" s="2" t="n">
        <v>1422</v>
      </c>
      <c r="L2777" s="2" t="inlineStr">
        <is>
          <t>Road</t>
        </is>
      </c>
      <c r="M2777" s="2" t="inlineStr">
        <is>
          <t>No Delay</t>
        </is>
      </c>
      <c r="N2777" s="4">
        <f>IF(I2777&lt;=H2777,1,0)</f>
        <v/>
      </c>
      <c r="O2777" s="4">
        <f>IF(J2777&lt;=G2777,1,0)</f>
        <v/>
      </c>
      <c r="P2777" s="4">
        <f>MAX(0,I2777-H2777)</f>
        <v/>
      </c>
      <c r="Q2777" s="4">
        <f>MAX(0,J2777-G2777)</f>
        <v/>
      </c>
      <c r="R2777" s="4">
        <f>IF(AND(N2777=1,O2777=1),"On Track",IF(O2777=0,"Customer Delivery Late","Ship Late"))</f>
        <v/>
      </c>
    </row>
    <row r="2778">
      <c r="A2778" s="2" t="inlineStr">
        <is>
          <t>ORD-02777</t>
        </is>
      </c>
      <c r="B2778" s="2" t="inlineStr">
        <is>
          <t>Customer 04</t>
        </is>
      </c>
      <c r="C2778" s="2" t="inlineStr">
        <is>
          <t>Contactor</t>
        </is>
      </c>
      <c r="D2778" s="2" t="inlineStr">
        <is>
          <t>Plant A</t>
        </is>
      </c>
      <c r="E2778" s="2" t="inlineStr">
        <is>
          <t>Central</t>
        </is>
      </c>
      <c r="F2778" s="12" t="n">
        <v>46036</v>
      </c>
      <c r="G2778" s="12" t="n">
        <v>46045</v>
      </c>
      <c r="H2778" s="12" t="n">
        <v>46040</v>
      </c>
      <c r="I2778" s="12" t="n">
        <v>46040</v>
      </c>
      <c r="J2778" s="12" t="n">
        <v>46045</v>
      </c>
      <c r="K2778" s="2" t="n">
        <v>835</v>
      </c>
      <c r="L2778" s="2" t="inlineStr">
        <is>
          <t>Sea</t>
        </is>
      </c>
      <c r="M2778" s="2" t="inlineStr">
        <is>
          <t>No Delay</t>
        </is>
      </c>
      <c r="N2778" s="4">
        <f>IF(I2778&lt;=H2778,1,0)</f>
        <v/>
      </c>
      <c r="O2778" s="4">
        <f>IF(J2778&lt;=G2778,1,0)</f>
        <v/>
      </c>
      <c r="P2778" s="4">
        <f>MAX(0,I2778-H2778)</f>
        <v/>
      </c>
      <c r="Q2778" s="4">
        <f>MAX(0,J2778-G2778)</f>
        <v/>
      </c>
      <c r="R2778" s="4">
        <f>IF(AND(N2778=1,O2778=1),"On Track",IF(O2778=0,"Customer Delivery Late","Ship Late"))</f>
        <v/>
      </c>
    </row>
    <row r="2779">
      <c r="A2779" s="2" t="inlineStr">
        <is>
          <t>ORD-02778</t>
        </is>
      </c>
      <c r="B2779" s="2" t="inlineStr">
        <is>
          <t>Customer 06</t>
        </is>
      </c>
      <c r="C2779" s="2" t="inlineStr">
        <is>
          <t>Relay</t>
        </is>
      </c>
      <c r="D2779" s="2" t="inlineStr">
        <is>
          <t>Plant A</t>
        </is>
      </c>
      <c r="E2779" s="2" t="inlineStr">
        <is>
          <t>Central</t>
        </is>
      </c>
      <c r="F2779" s="12" t="n">
        <v>46193</v>
      </c>
      <c r="G2779" s="12" t="n">
        <v>46216</v>
      </c>
      <c r="H2779" s="12" t="n">
        <v>46214</v>
      </c>
      <c r="I2779" s="12" t="n">
        <v>46213</v>
      </c>
      <c r="J2779" s="12" t="n">
        <v>46215</v>
      </c>
      <c r="K2779" s="2" t="n">
        <v>179</v>
      </c>
      <c r="L2779" s="2" t="inlineStr">
        <is>
          <t>Air</t>
        </is>
      </c>
      <c r="M2779" s="2" t="inlineStr">
        <is>
          <t>No Delay</t>
        </is>
      </c>
      <c r="N2779" s="4">
        <f>IF(I2779&lt;=H2779,1,0)</f>
        <v/>
      </c>
      <c r="O2779" s="4">
        <f>IF(J2779&lt;=G2779,1,0)</f>
        <v/>
      </c>
      <c r="P2779" s="4">
        <f>MAX(0,I2779-H2779)</f>
        <v/>
      </c>
      <c r="Q2779" s="4">
        <f>MAX(0,J2779-G2779)</f>
        <v/>
      </c>
      <c r="R2779" s="4">
        <f>IF(AND(N2779=1,O2779=1),"On Track",IF(O2779=0,"Customer Delivery Late","Ship Late"))</f>
        <v/>
      </c>
    </row>
    <row r="2780">
      <c r="A2780" s="2" t="inlineStr">
        <is>
          <t>ORD-02779</t>
        </is>
      </c>
      <c r="B2780" s="2" t="inlineStr">
        <is>
          <t>Customer 22</t>
        </is>
      </c>
      <c r="C2780" s="2" t="inlineStr">
        <is>
          <t>Switchgear</t>
        </is>
      </c>
      <c r="D2780" s="2" t="inlineStr">
        <is>
          <t>Plant B</t>
        </is>
      </c>
      <c r="E2780" s="2" t="inlineStr">
        <is>
          <t>North</t>
        </is>
      </c>
      <c r="F2780" s="12" t="n">
        <v>46188</v>
      </c>
      <c r="G2780" s="12" t="n">
        <v>46207</v>
      </c>
      <c r="H2780" s="12" t="n">
        <v>46202</v>
      </c>
      <c r="I2780" s="12" t="n">
        <v>46200</v>
      </c>
      <c r="J2780" s="12" t="n">
        <v>46206</v>
      </c>
      <c r="K2780" s="2" t="n">
        <v>657</v>
      </c>
      <c r="L2780" s="2" t="inlineStr">
        <is>
          <t>Air</t>
        </is>
      </c>
      <c r="M2780" s="2" t="inlineStr">
        <is>
          <t>No Delay</t>
        </is>
      </c>
      <c r="N2780" s="4">
        <f>IF(I2780&lt;=H2780,1,0)</f>
        <v/>
      </c>
      <c r="O2780" s="4">
        <f>IF(J2780&lt;=G2780,1,0)</f>
        <v/>
      </c>
      <c r="P2780" s="4">
        <f>MAX(0,I2780-H2780)</f>
        <v/>
      </c>
      <c r="Q2780" s="4">
        <f>MAX(0,J2780-G2780)</f>
        <v/>
      </c>
      <c r="R2780" s="4">
        <f>IF(AND(N2780=1,O2780=1),"On Track",IF(O2780=0,"Customer Delivery Late","Ship Late"))</f>
        <v/>
      </c>
    </row>
    <row r="2781">
      <c r="A2781" s="2" t="inlineStr">
        <is>
          <t>ORD-02780</t>
        </is>
      </c>
      <c r="B2781" s="2" t="inlineStr">
        <is>
          <t>Customer 03</t>
        </is>
      </c>
      <c r="C2781" s="2" t="inlineStr">
        <is>
          <t>Relay</t>
        </is>
      </c>
      <c r="D2781" s="2" t="inlineStr">
        <is>
          <t>Plant C</t>
        </is>
      </c>
      <c r="E2781" s="2" t="inlineStr">
        <is>
          <t>South</t>
        </is>
      </c>
      <c r="F2781" s="12" t="n">
        <v>46146</v>
      </c>
      <c r="G2781" s="12" t="n">
        <v>46166</v>
      </c>
      <c r="H2781" s="12" t="n">
        <v>46162</v>
      </c>
      <c r="I2781" s="12" t="n">
        <v>46162</v>
      </c>
      <c r="J2781" s="12" t="n">
        <v>46166</v>
      </c>
      <c r="K2781" s="2" t="n">
        <v>443</v>
      </c>
      <c r="L2781" s="2" t="inlineStr">
        <is>
          <t>Air</t>
        </is>
      </c>
      <c r="M2781" s="2" t="inlineStr">
        <is>
          <t>No Delay</t>
        </is>
      </c>
      <c r="N2781" s="4">
        <f>IF(I2781&lt;=H2781,1,0)</f>
        <v/>
      </c>
      <c r="O2781" s="4">
        <f>IF(J2781&lt;=G2781,1,0)</f>
        <v/>
      </c>
      <c r="P2781" s="4">
        <f>MAX(0,I2781-H2781)</f>
        <v/>
      </c>
      <c r="Q2781" s="4">
        <f>MAX(0,J2781-G2781)</f>
        <v/>
      </c>
      <c r="R2781" s="4">
        <f>IF(AND(N2781=1,O2781=1),"On Track",IF(O2781=0,"Customer Delivery Late","Ship Late"))</f>
        <v/>
      </c>
    </row>
    <row r="2782">
      <c r="A2782" s="2" t="inlineStr">
        <is>
          <t>ORD-02781</t>
        </is>
      </c>
      <c r="B2782" s="2" t="inlineStr">
        <is>
          <t>Customer 16</t>
        </is>
      </c>
      <c r="C2782" s="2" t="inlineStr">
        <is>
          <t>Drive</t>
        </is>
      </c>
      <c r="D2782" s="2" t="inlineStr">
        <is>
          <t>Plant A</t>
        </is>
      </c>
      <c r="E2782" s="2" t="inlineStr">
        <is>
          <t>Central</t>
        </is>
      </c>
      <c r="F2782" s="12" t="n">
        <v>46187</v>
      </c>
      <c r="G2782" s="12" t="n">
        <v>46202</v>
      </c>
      <c r="H2782" s="12" t="n">
        <v>46200</v>
      </c>
      <c r="I2782" s="12" t="n">
        <v>46200</v>
      </c>
      <c r="J2782" s="12" t="n">
        <v>46201</v>
      </c>
      <c r="K2782" s="2" t="n">
        <v>950</v>
      </c>
      <c r="L2782" s="2" t="inlineStr">
        <is>
          <t>Road</t>
        </is>
      </c>
      <c r="M2782" s="2" t="inlineStr">
        <is>
          <t>No Delay</t>
        </is>
      </c>
      <c r="N2782" s="4">
        <f>IF(I2782&lt;=H2782,1,0)</f>
        <v/>
      </c>
      <c r="O2782" s="4">
        <f>IF(J2782&lt;=G2782,1,0)</f>
        <v/>
      </c>
      <c r="P2782" s="4">
        <f>MAX(0,I2782-H2782)</f>
        <v/>
      </c>
      <c r="Q2782" s="4">
        <f>MAX(0,J2782-G2782)</f>
        <v/>
      </c>
      <c r="R2782" s="4">
        <f>IF(AND(N2782=1,O2782=1),"On Track",IF(O2782=0,"Customer Delivery Late","Ship Late"))</f>
        <v/>
      </c>
    </row>
    <row r="2783">
      <c r="A2783" s="2" t="inlineStr">
        <is>
          <t>ORD-02782</t>
        </is>
      </c>
      <c r="B2783" s="2" t="inlineStr">
        <is>
          <t>Customer 28</t>
        </is>
      </c>
      <c r="C2783" s="2" t="inlineStr">
        <is>
          <t>Drive</t>
        </is>
      </c>
      <c r="D2783" s="2" t="inlineStr">
        <is>
          <t>Plant B</t>
        </is>
      </c>
      <c r="E2783" s="2" t="inlineStr">
        <is>
          <t>South</t>
        </is>
      </c>
      <c r="F2783" s="12" t="n">
        <v>46035</v>
      </c>
      <c r="G2783" s="12" t="n">
        <v>46059</v>
      </c>
      <c r="H2783" s="12" t="n">
        <v>46056</v>
      </c>
      <c r="I2783" s="12" t="n">
        <v>46056</v>
      </c>
      <c r="J2783" s="12" t="n">
        <v>46059</v>
      </c>
      <c r="K2783" s="2" t="n">
        <v>865</v>
      </c>
      <c r="L2783" s="2" t="inlineStr">
        <is>
          <t>Road</t>
        </is>
      </c>
      <c r="M2783" s="2" t="inlineStr">
        <is>
          <t>No Delay</t>
        </is>
      </c>
      <c r="N2783" s="4">
        <f>IF(I2783&lt;=H2783,1,0)</f>
        <v/>
      </c>
      <c r="O2783" s="4">
        <f>IF(J2783&lt;=G2783,1,0)</f>
        <v/>
      </c>
      <c r="P2783" s="4">
        <f>MAX(0,I2783-H2783)</f>
        <v/>
      </c>
      <c r="Q2783" s="4">
        <f>MAX(0,J2783-G2783)</f>
        <v/>
      </c>
      <c r="R2783" s="4">
        <f>IF(AND(N2783=1,O2783=1),"On Track",IF(O2783=0,"Customer Delivery Late","Ship Late"))</f>
        <v/>
      </c>
    </row>
    <row r="2784">
      <c r="A2784" s="2" t="inlineStr">
        <is>
          <t>ORD-02783</t>
        </is>
      </c>
      <c r="B2784" s="2" t="inlineStr">
        <is>
          <t>Customer 27</t>
        </is>
      </c>
      <c r="C2784" s="2" t="inlineStr">
        <is>
          <t>Switchgear</t>
        </is>
      </c>
      <c r="D2784" s="2" t="inlineStr">
        <is>
          <t>Plant A</t>
        </is>
      </c>
      <c r="E2784" s="2" t="inlineStr">
        <is>
          <t>South</t>
        </is>
      </c>
      <c r="F2784" s="12" t="n">
        <v>46179</v>
      </c>
      <c r="G2784" s="12" t="n">
        <v>46192</v>
      </c>
      <c r="H2784" s="12" t="n">
        <v>46190</v>
      </c>
      <c r="I2784" s="12" t="n">
        <v>46188</v>
      </c>
      <c r="J2784" s="12" t="n">
        <v>46191</v>
      </c>
      <c r="K2784" s="2" t="n">
        <v>674</v>
      </c>
      <c r="L2784" s="2" t="inlineStr">
        <is>
          <t>Road</t>
        </is>
      </c>
      <c r="M2784" s="2" t="inlineStr">
        <is>
          <t>No Delay</t>
        </is>
      </c>
      <c r="N2784" s="4">
        <f>IF(I2784&lt;=H2784,1,0)</f>
        <v/>
      </c>
      <c r="O2784" s="4">
        <f>IF(J2784&lt;=G2784,1,0)</f>
        <v/>
      </c>
      <c r="P2784" s="4">
        <f>MAX(0,I2784-H2784)</f>
        <v/>
      </c>
      <c r="Q2784" s="4">
        <f>MAX(0,J2784-G2784)</f>
        <v/>
      </c>
      <c r="R2784" s="4">
        <f>IF(AND(N2784=1,O2784=1),"On Track",IF(O2784=0,"Customer Delivery Late","Ship Late"))</f>
        <v/>
      </c>
    </row>
    <row r="2785">
      <c r="A2785" s="2" t="inlineStr">
        <is>
          <t>ORD-02784</t>
        </is>
      </c>
      <c r="B2785" s="2" t="inlineStr">
        <is>
          <t>Customer 02</t>
        </is>
      </c>
      <c r="C2785" s="2" t="inlineStr">
        <is>
          <t>Contactor</t>
        </is>
      </c>
      <c r="D2785" s="2" t="inlineStr">
        <is>
          <t>Plant A</t>
        </is>
      </c>
      <c r="E2785" s="2" t="inlineStr">
        <is>
          <t>South</t>
        </is>
      </c>
      <c r="F2785" s="12" t="n">
        <v>46125</v>
      </c>
      <c r="G2785" s="12" t="n">
        <v>46148</v>
      </c>
      <c r="H2785" s="12" t="n">
        <v>46145</v>
      </c>
      <c r="I2785" s="12" t="n">
        <v>46145</v>
      </c>
      <c r="J2785" s="12" t="n">
        <v>46148</v>
      </c>
      <c r="K2785" s="2" t="n">
        <v>308</v>
      </c>
      <c r="L2785" s="2" t="inlineStr">
        <is>
          <t>Air</t>
        </is>
      </c>
      <c r="M2785" s="2" t="inlineStr">
        <is>
          <t>No Delay</t>
        </is>
      </c>
      <c r="N2785" s="4">
        <f>IF(I2785&lt;=H2785,1,0)</f>
        <v/>
      </c>
      <c r="O2785" s="4">
        <f>IF(J2785&lt;=G2785,1,0)</f>
        <v/>
      </c>
      <c r="P2785" s="4">
        <f>MAX(0,I2785-H2785)</f>
        <v/>
      </c>
      <c r="Q2785" s="4">
        <f>MAX(0,J2785-G2785)</f>
        <v/>
      </c>
      <c r="R2785" s="4">
        <f>IF(AND(N2785=1,O2785=1),"On Track",IF(O2785=0,"Customer Delivery Late","Ship Late"))</f>
        <v/>
      </c>
    </row>
    <row r="2786">
      <c r="A2786" s="2" t="inlineStr">
        <is>
          <t>ORD-02785</t>
        </is>
      </c>
      <c r="B2786" s="2" t="inlineStr">
        <is>
          <t>Customer 30</t>
        </is>
      </c>
      <c r="C2786" s="2" t="inlineStr">
        <is>
          <t>Breaker</t>
        </is>
      </c>
      <c r="D2786" s="2" t="inlineStr">
        <is>
          <t>Plant A</t>
        </is>
      </c>
      <c r="E2786" s="2" t="inlineStr">
        <is>
          <t>North</t>
        </is>
      </c>
      <c r="F2786" s="12" t="n">
        <v>46174</v>
      </c>
      <c r="G2786" s="12" t="n">
        <v>46194</v>
      </c>
      <c r="H2786" s="12" t="n">
        <v>46191</v>
      </c>
      <c r="I2786" s="12" t="n">
        <v>46190</v>
      </c>
      <c r="J2786" s="12" t="n">
        <v>46194</v>
      </c>
      <c r="K2786" s="2" t="n">
        <v>1044</v>
      </c>
      <c r="L2786" s="2" t="inlineStr">
        <is>
          <t>Sea</t>
        </is>
      </c>
      <c r="M2786" s="2" t="inlineStr">
        <is>
          <t>No Delay</t>
        </is>
      </c>
      <c r="N2786" s="4">
        <f>IF(I2786&lt;=H2786,1,0)</f>
        <v/>
      </c>
      <c r="O2786" s="4">
        <f>IF(J2786&lt;=G2786,1,0)</f>
        <v/>
      </c>
      <c r="P2786" s="4">
        <f>MAX(0,I2786-H2786)</f>
        <v/>
      </c>
      <c r="Q2786" s="4">
        <f>MAX(0,J2786-G2786)</f>
        <v/>
      </c>
      <c r="R2786" s="4">
        <f>IF(AND(N2786=1,O2786=1),"On Track",IF(O2786=0,"Customer Delivery Late","Ship Late"))</f>
        <v/>
      </c>
    </row>
    <row r="2787">
      <c r="A2787" s="2" t="inlineStr">
        <is>
          <t>ORD-02786</t>
        </is>
      </c>
      <c r="B2787" s="2" t="inlineStr">
        <is>
          <t>Customer 25</t>
        </is>
      </c>
      <c r="C2787" s="2" t="inlineStr">
        <is>
          <t>PLC</t>
        </is>
      </c>
      <c r="D2787" s="2" t="inlineStr">
        <is>
          <t>Plant B</t>
        </is>
      </c>
      <c r="E2787" s="2" t="inlineStr">
        <is>
          <t>Export</t>
        </is>
      </c>
      <c r="F2787" s="12" t="n">
        <v>46186</v>
      </c>
      <c r="G2787" s="12" t="n">
        <v>46210</v>
      </c>
      <c r="H2787" s="12" t="n">
        <v>46206</v>
      </c>
      <c r="I2787" s="12" t="n">
        <v>46206</v>
      </c>
      <c r="J2787" s="12" t="n">
        <v>46210</v>
      </c>
      <c r="K2787" s="2" t="n">
        <v>667</v>
      </c>
      <c r="L2787" s="2" t="inlineStr">
        <is>
          <t>Road</t>
        </is>
      </c>
      <c r="M2787" s="2" t="inlineStr">
        <is>
          <t>No Delay</t>
        </is>
      </c>
      <c r="N2787" s="4">
        <f>IF(I2787&lt;=H2787,1,0)</f>
        <v/>
      </c>
      <c r="O2787" s="4">
        <f>IF(J2787&lt;=G2787,1,0)</f>
        <v/>
      </c>
      <c r="P2787" s="4">
        <f>MAX(0,I2787-H2787)</f>
        <v/>
      </c>
      <c r="Q2787" s="4">
        <f>MAX(0,J2787-G2787)</f>
        <v/>
      </c>
      <c r="R2787" s="4">
        <f>IF(AND(N2787=1,O2787=1),"On Track",IF(O2787=0,"Customer Delivery Late","Ship Late"))</f>
        <v/>
      </c>
    </row>
    <row r="2788">
      <c r="A2788" s="2" t="inlineStr">
        <is>
          <t>ORD-02787</t>
        </is>
      </c>
      <c r="B2788" s="2" t="inlineStr">
        <is>
          <t>Customer 16</t>
        </is>
      </c>
      <c r="C2788" s="2" t="inlineStr">
        <is>
          <t>Breaker</t>
        </is>
      </c>
      <c r="D2788" s="2" t="inlineStr">
        <is>
          <t>Plant A</t>
        </is>
      </c>
      <c r="E2788" s="2" t="inlineStr">
        <is>
          <t>South</t>
        </is>
      </c>
      <c r="F2788" s="12" t="n">
        <v>46158</v>
      </c>
      <c r="G2788" s="12" t="n">
        <v>46172</v>
      </c>
      <c r="H2788" s="12" t="n">
        <v>46167</v>
      </c>
      <c r="I2788" s="12" t="n">
        <v>46165</v>
      </c>
      <c r="J2788" s="12" t="n">
        <v>46169</v>
      </c>
      <c r="K2788" s="2" t="n">
        <v>948</v>
      </c>
      <c r="L2788" s="2" t="inlineStr">
        <is>
          <t>Air</t>
        </is>
      </c>
      <c r="M2788" s="2" t="inlineStr">
        <is>
          <t>No Delay</t>
        </is>
      </c>
      <c r="N2788" s="4">
        <f>IF(I2788&lt;=H2788,1,0)</f>
        <v/>
      </c>
      <c r="O2788" s="4">
        <f>IF(J2788&lt;=G2788,1,0)</f>
        <v/>
      </c>
      <c r="P2788" s="4">
        <f>MAX(0,I2788-H2788)</f>
        <v/>
      </c>
      <c r="Q2788" s="4">
        <f>MAX(0,J2788-G2788)</f>
        <v/>
      </c>
      <c r="R2788" s="4">
        <f>IF(AND(N2788=1,O2788=1),"On Track",IF(O2788=0,"Customer Delivery Late","Ship Late"))</f>
        <v/>
      </c>
    </row>
    <row r="2789">
      <c r="A2789" s="2" t="inlineStr">
        <is>
          <t>ORD-02788</t>
        </is>
      </c>
      <c r="B2789" s="2" t="inlineStr">
        <is>
          <t>Customer 10</t>
        </is>
      </c>
      <c r="C2789" s="2" t="inlineStr">
        <is>
          <t>Drive</t>
        </is>
      </c>
      <c r="D2789" s="2" t="inlineStr">
        <is>
          <t>Plant B</t>
        </is>
      </c>
      <c r="E2789" s="2" t="inlineStr">
        <is>
          <t>South</t>
        </is>
      </c>
      <c r="F2789" s="12" t="n">
        <v>46124</v>
      </c>
      <c r="G2789" s="12" t="n">
        <v>46130</v>
      </c>
      <c r="H2789" s="12" t="n">
        <v>46129</v>
      </c>
      <c r="I2789" s="12" t="n">
        <v>46128</v>
      </c>
      <c r="J2789" s="12" t="n">
        <v>46129</v>
      </c>
      <c r="K2789" s="2" t="n">
        <v>862</v>
      </c>
      <c r="L2789" s="2" t="inlineStr">
        <is>
          <t>Road</t>
        </is>
      </c>
      <c r="M2789" s="2" t="inlineStr">
        <is>
          <t>No Delay</t>
        </is>
      </c>
      <c r="N2789" s="4">
        <f>IF(I2789&lt;=H2789,1,0)</f>
        <v/>
      </c>
      <c r="O2789" s="4">
        <f>IF(J2789&lt;=G2789,1,0)</f>
        <v/>
      </c>
      <c r="P2789" s="4">
        <f>MAX(0,I2789-H2789)</f>
        <v/>
      </c>
      <c r="Q2789" s="4">
        <f>MAX(0,J2789-G2789)</f>
        <v/>
      </c>
      <c r="R2789" s="4">
        <f>IF(AND(N2789=1,O2789=1),"On Track",IF(O2789=0,"Customer Delivery Late","Ship Late"))</f>
        <v/>
      </c>
    </row>
    <row r="2790">
      <c r="A2790" s="2" t="inlineStr">
        <is>
          <t>ORD-02789</t>
        </is>
      </c>
      <c r="B2790" s="2" t="inlineStr">
        <is>
          <t>Customer 23</t>
        </is>
      </c>
      <c r="C2790" s="2" t="inlineStr">
        <is>
          <t>Relay</t>
        </is>
      </c>
      <c r="D2790" s="2" t="inlineStr">
        <is>
          <t>Plant A</t>
        </is>
      </c>
      <c r="E2790" s="2" t="inlineStr">
        <is>
          <t>Central</t>
        </is>
      </c>
      <c r="F2790" s="12" t="n">
        <v>46023</v>
      </c>
      <c r="G2790" s="12" t="n">
        <v>46033</v>
      </c>
      <c r="H2790" s="12" t="n">
        <v>46032</v>
      </c>
      <c r="I2790" s="12" t="n">
        <v>46031</v>
      </c>
      <c r="J2790" s="12" t="n">
        <v>46032</v>
      </c>
      <c r="K2790" s="2" t="n">
        <v>1176</v>
      </c>
      <c r="L2790" s="2" t="inlineStr">
        <is>
          <t>Air</t>
        </is>
      </c>
      <c r="M2790" s="2" t="inlineStr">
        <is>
          <t>No Delay</t>
        </is>
      </c>
      <c r="N2790" s="4">
        <f>IF(I2790&lt;=H2790,1,0)</f>
        <v/>
      </c>
      <c r="O2790" s="4">
        <f>IF(J2790&lt;=G2790,1,0)</f>
        <v/>
      </c>
      <c r="P2790" s="4">
        <f>MAX(0,I2790-H2790)</f>
        <v/>
      </c>
      <c r="Q2790" s="4">
        <f>MAX(0,J2790-G2790)</f>
        <v/>
      </c>
      <c r="R2790" s="4">
        <f>IF(AND(N2790=1,O2790=1),"On Track",IF(O2790=0,"Customer Delivery Late","Ship Late"))</f>
        <v/>
      </c>
    </row>
    <row r="2791">
      <c r="A2791" s="2" t="inlineStr">
        <is>
          <t>ORD-02790</t>
        </is>
      </c>
      <c r="B2791" s="2" t="inlineStr">
        <is>
          <t>Customer 13</t>
        </is>
      </c>
      <c r="C2791" s="2" t="inlineStr">
        <is>
          <t>Breaker</t>
        </is>
      </c>
      <c r="D2791" s="2" t="inlineStr">
        <is>
          <t>Plant C</t>
        </is>
      </c>
      <c r="E2791" s="2" t="inlineStr">
        <is>
          <t>South</t>
        </is>
      </c>
      <c r="F2791" s="12" t="n">
        <v>46024</v>
      </c>
      <c r="G2791" s="12" t="n">
        <v>46044</v>
      </c>
      <c r="H2791" s="12" t="n">
        <v>46043</v>
      </c>
      <c r="I2791" s="12" t="n">
        <v>46041</v>
      </c>
      <c r="J2791" s="12" t="n">
        <v>46042</v>
      </c>
      <c r="K2791" s="2" t="n">
        <v>540</v>
      </c>
      <c r="L2791" s="2" t="inlineStr">
        <is>
          <t>Air</t>
        </is>
      </c>
      <c r="M2791" s="2" t="inlineStr">
        <is>
          <t>No Delay</t>
        </is>
      </c>
      <c r="N2791" s="4">
        <f>IF(I2791&lt;=H2791,1,0)</f>
        <v/>
      </c>
      <c r="O2791" s="4">
        <f>IF(J2791&lt;=G2791,1,0)</f>
        <v/>
      </c>
      <c r="P2791" s="4">
        <f>MAX(0,I2791-H2791)</f>
        <v/>
      </c>
      <c r="Q2791" s="4">
        <f>MAX(0,J2791-G2791)</f>
        <v/>
      </c>
      <c r="R2791" s="4">
        <f>IF(AND(N2791=1,O2791=1),"On Track",IF(O2791=0,"Customer Delivery Late","Ship Late"))</f>
        <v/>
      </c>
    </row>
    <row r="2792">
      <c r="A2792" s="2" t="inlineStr">
        <is>
          <t>ORD-02791</t>
        </is>
      </c>
      <c r="B2792" s="2" t="inlineStr">
        <is>
          <t>Customer 25</t>
        </is>
      </c>
      <c r="C2792" s="2" t="inlineStr">
        <is>
          <t>Drive</t>
        </is>
      </c>
      <c r="D2792" s="2" t="inlineStr">
        <is>
          <t>Plant A</t>
        </is>
      </c>
      <c r="E2792" s="2" t="inlineStr">
        <is>
          <t>Export</t>
        </is>
      </c>
      <c r="F2792" s="12" t="n">
        <v>46198</v>
      </c>
      <c r="G2792" s="12" t="n">
        <v>46204</v>
      </c>
      <c r="H2792" s="12" t="n">
        <v>46203</v>
      </c>
      <c r="I2792" s="12" t="n">
        <v>46201</v>
      </c>
      <c r="J2792" s="12" t="n">
        <v>46202</v>
      </c>
      <c r="K2792" s="2" t="n">
        <v>398</v>
      </c>
      <c r="L2792" s="2" t="inlineStr">
        <is>
          <t>Air</t>
        </is>
      </c>
      <c r="M2792" s="2" t="inlineStr">
        <is>
          <t>No Delay</t>
        </is>
      </c>
      <c r="N2792" s="4">
        <f>IF(I2792&lt;=H2792,1,0)</f>
        <v/>
      </c>
      <c r="O2792" s="4">
        <f>IF(J2792&lt;=G2792,1,0)</f>
        <v/>
      </c>
      <c r="P2792" s="4">
        <f>MAX(0,I2792-H2792)</f>
        <v/>
      </c>
      <c r="Q2792" s="4">
        <f>MAX(0,J2792-G2792)</f>
        <v/>
      </c>
      <c r="R2792" s="4">
        <f>IF(AND(N2792=1,O2792=1),"On Track",IF(O2792=0,"Customer Delivery Late","Ship Late"))</f>
        <v/>
      </c>
    </row>
    <row r="2793">
      <c r="A2793" s="2" t="inlineStr">
        <is>
          <t>ORD-02792</t>
        </is>
      </c>
      <c r="B2793" s="2" t="inlineStr">
        <is>
          <t>Customer 10</t>
        </is>
      </c>
      <c r="C2793" s="2" t="inlineStr">
        <is>
          <t>Contactor</t>
        </is>
      </c>
      <c r="D2793" s="2" t="inlineStr">
        <is>
          <t>Plant B</t>
        </is>
      </c>
      <c r="E2793" s="2" t="inlineStr">
        <is>
          <t>South</t>
        </is>
      </c>
      <c r="F2793" s="12" t="n">
        <v>46057</v>
      </c>
      <c r="G2793" s="12" t="n">
        <v>46064</v>
      </c>
      <c r="H2793" s="12" t="n">
        <v>46061</v>
      </c>
      <c r="I2793" s="12" t="n">
        <v>46061</v>
      </c>
      <c r="J2793" s="12" t="n">
        <v>46066</v>
      </c>
      <c r="K2793" s="2" t="n">
        <v>827</v>
      </c>
      <c r="L2793" s="2" t="inlineStr">
        <is>
          <t>Road</t>
        </is>
      </c>
      <c r="M2793" s="2" t="inlineStr">
        <is>
          <t>Production Delay</t>
        </is>
      </c>
      <c r="N2793" s="4">
        <f>IF(I2793&lt;=H2793,1,0)</f>
        <v/>
      </c>
      <c r="O2793" s="4">
        <f>IF(J2793&lt;=G2793,1,0)</f>
        <v/>
      </c>
      <c r="P2793" s="4">
        <f>MAX(0,I2793-H2793)</f>
        <v/>
      </c>
      <c r="Q2793" s="4">
        <f>MAX(0,J2793-G2793)</f>
        <v/>
      </c>
      <c r="R2793" s="4">
        <f>IF(AND(N2793=1,O2793=1),"On Track",IF(O2793=0,"Customer Delivery Late","Ship Late"))</f>
        <v/>
      </c>
    </row>
    <row r="2794">
      <c r="A2794" s="2" t="inlineStr">
        <is>
          <t>ORD-02793</t>
        </is>
      </c>
      <c r="B2794" s="2" t="inlineStr">
        <is>
          <t>Customer 03</t>
        </is>
      </c>
      <c r="C2794" s="2" t="inlineStr">
        <is>
          <t>Drive</t>
        </is>
      </c>
      <c r="D2794" s="2" t="inlineStr">
        <is>
          <t>Plant B</t>
        </is>
      </c>
      <c r="E2794" s="2" t="inlineStr">
        <is>
          <t>North</t>
        </is>
      </c>
      <c r="F2794" s="12" t="n">
        <v>46121</v>
      </c>
      <c r="G2794" s="12" t="n">
        <v>46142</v>
      </c>
      <c r="H2794" s="12" t="n">
        <v>46141</v>
      </c>
      <c r="I2794" s="12" t="n">
        <v>46140</v>
      </c>
      <c r="J2794" s="12" t="n">
        <v>46141</v>
      </c>
      <c r="K2794" s="2" t="n">
        <v>402</v>
      </c>
      <c r="L2794" s="2" t="inlineStr">
        <is>
          <t>Road</t>
        </is>
      </c>
      <c r="M2794" s="2" t="inlineStr">
        <is>
          <t>No Delay</t>
        </is>
      </c>
      <c r="N2794" s="4">
        <f>IF(I2794&lt;=H2794,1,0)</f>
        <v/>
      </c>
      <c r="O2794" s="4">
        <f>IF(J2794&lt;=G2794,1,0)</f>
        <v/>
      </c>
      <c r="P2794" s="4">
        <f>MAX(0,I2794-H2794)</f>
        <v/>
      </c>
      <c r="Q2794" s="4">
        <f>MAX(0,J2794-G2794)</f>
        <v/>
      </c>
      <c r="R2794" s="4">
        <f>IF(AND(N2794=1,O2794=1),"On Track",IF(O2794=0,"Customer Delivery Late","Ship Late"))</f>
        <v/>
      </c>
    </row>
    <row r="2795">
      <c r="A2795" s="2" t="inlineStr">
        <is>
          <t>ORD-02794</t>
        </is>
      </c>
      <c r="B2795" s="2" t="inlineStr">
        <is>
          <t>Customer 20</t>
        </is>
      </c>
      <c r="C2795" s="2" t="inlineStr">
        <is>
          <t>Contactor</t>
        </is>
      </c>
      <c r="D2795" s="2" t="inlineStr">
        <is>
          <t>Plant B</t>
        </is>
      </c>
      <c r="E2795" s="2" t="inlineStr">
        <is>
          <t>Export</t>
        </is>
      </c>
      <c r="F2795" s="12" t="n">
        <v>46195</v>
      </c>
      <c r="G2795" s="12" t="n">
        <v>46206</v>
      </c>
      <c r="H2795" s="12" t="n">
        <v>46202</v>
      </c>
      <c r="I2795" s="12" t="n">
        <v>46202</v>
      </c>
      <c r="J2795" s="12" t="n">
        <v>46206</v>
      </c>
      <c r="K2795" s="2" t="n">
        <v>1436</v>
      </c>
      <c r="L2795" s="2" t="inlineStr">
        <is>
          <t>Air</t>
        </is>
      </c>
      <c r="M2795" s="2" t="inlineStr">
        <is>
          <t>No Delay</t>
        </is>
      </c>
      <c r="N2795" s="4">
        <f>IF(I2795&lt;=H2795,1,0)</f>
        <v/>
      </c>
      <c r="O2795" s="4">
        <f>IF(J2795&lt;=G2795,1,0)</f>
        <v/>
      </c>
      <c r="P2795" s="4">
        <f>MAX(0,I2795-H2795)</f>
        <v/>
      </c>
      <c r="Q2795" s="4">
        <f>MAX(0,J2795-G2795)</f>
        <v/>
      </c>
      <c r="R2795" s="4">
        <f>IF(AND(N2795=1,O2795=1),"On Track",IF(O2795=0,"Customer Delivery Late","Ship Late"))</f>
        <v/>
      </c>
    </row>
    <row r="2796">
      <c r="A2796" s="2" t="inlineStr">
        <is>
          <t>ORD-02795</t>
        </is>
      </c>
      <c r="B2796" s="2" t="inlineStr">
        <is>
          <t>Customer 19</t>
        </is>
      </c>
      <c r="C2796" s="2" t="inlineStr">
        <is>
          <t>Breaker</t>
        </is>
      </c>
      <c r="D2796" s="2" t="inlineStr">
        <is>
          <t>Plant C</t>
        </is>
      </c>
      <c r="E2796" s="2" t="inlineStr">
        <is>
          <t>South</t>
        </is>
      </c>
      <c r="F2796" s="12" t="n">
        <v>46164</v>
      </c>
      <c r="G2796" s="12" t="n">
        <v>46172</v>
      </c>
      <c r="H2796" s="12" t="n">
        <v>46168</v>
      </c>
      <c r="I2796" s="12" t="n">
        <v>46166</v>
      </c>
      <c r="J2796" s="12" t="n">
        <v>46170</v>
      </c>
      <c r="K2796" s="2" t="n">
        <v>373</v>
      </c>
      <c r="L2796" s="2" t="inlineStr">
        <is>
          <t>Sea</t>
        </is>
      </c>
      <c r="M2796" s="2" t="inlineStr">
        <is>
          <t>No Delay</t>
        </is>
      </c>
      <c r="N2796" s="4">
        <f>IF(I2796&lt;=H2796,1,0)</f>
        <v/>
      </c>
      <c r="O2796" s="4">
        <f>IF(J2796&lt;=G2796,1,0)</f>
        <v/>
      </c>
      <c r="P2796" s="4">
        <f>MAX(0,I2796-H2796)</f>
        <v/>
      </c>
      <c r="Q2796" s="4">
        <f>MAX(0,J2796-G2796)</f>
        <v/>
      </c>
      <c r="R2796" s="4">
        <f>IF(AND(N2796=1,O2796=1),"On Track",IF(O2796=0,"Customer Delivery Late","Ship Late"))</f>
        <v/>
      </c>
    </row>
    <row r="2797">
      <c r="A2797" s="2" t="inlineStr">
        <is>
          <t>ORD-02796</t>
        </is>
      </c>
      <c r="B2797" s="2" t="inlineStr">
        <is>
          <t>Customer 06</t>
        </is>
      </c>
      <c r="C2797" s="2" t="inlineStr">
        <is>
          <t>Sensor</t>
        </is>
      </c>
      <c r="D2797" s="2" t="inlineStr">
        <is>
          <t>Plant C</t>
        </is>
      </c>
      <c r="E2797" s="2" t="inlineStr">
        <is>
          <t>North</t>
        </is>
      </c>
      <c r="F2797" s="12" t="n">
        <v>46100</v>
      </c>
      <c r="G2797" s="12" t="n">
        <v>46123</v>
      </c>
      <c r="H2797" s="12" t="n">
        <v>46121</v>
      </c>
      <c r="I2797" s="12" t="n">
        <v>46121</v>
      </c>
      <c r="J2797" s="12" t="n">
        <v>46122</v>
      </c>
      <c r="K2797" s="2" t="n">
        <v>604</v>
      </c>
      <c r="L2797" s="2" t="inlineStr">
        <is>
          <t>Road</t>
        </is>
      </c>
      <c r="M2797" s="2" t="inlineStr">
        <is>
          <t>No Delay</t>
        </is>
      </c>
      <c r="N2797" s="4">
        <f>IF(I2797&lt;=H2797,1,0)</f>
        <v/>
      </c>
      <c r="O2797" s="4">
        <f>IF(J2797&lt;=G2797,1,0)</f>
        <v/>
      </c>
      <c r="P2797" s="4">
        <f>MAX(0,I2797-H2797)</f>
        <v/>
      </c>
      <c r="Q2797" s="4">
        <f>MAX(0,J2797-G2797)</f>
        <v/>
      </c>
      <c r="R2797" s="4">
        <f>IF(AND(N2797=1,O2797=1),"On Track",IF(O2797=0,"Customer Delivery Late","Ship Late"))</f>
        <v/>
      </c>
    </row>
    <row r="2798">
      <c r="A2798" s="2" t="inlineStr">
        <is>
          <t>ORD-02797</t>
        </is>
      </c>
      <c r="B2798" s="2" t="inlineStr">
        <is>
          <t>Customer 19</t>
        </is>
      </c>
      <c r="C2798" s="2" t="inlineStr">
        <is>
          <t>PLC</t>
        </is>
      </c>
      <c r="D2798" s="2" t="inlineStr">
        <is>
          <t>Plant C</t>
        </is>
      </c>
      <c r="E2798" s="2" t="inlineStr">
        <is>
          <t>North</t>
        </is>
      </c>
      <c r="F2798" s="12" t="n">
        <v>46095</v>
      </c>
      <c r="G2798" s="12" t="n">
        <v>46100</v>
      </c>
      <c r="H2798" s="12" t="n">
        <v>46099</v>
      </c>
      <c r="I2798" s="12" t="n">
        <v>46099</v>
      </c>
      <c r="J2798" s="12" t="n">
        <v>46100</v>
      </c>
      <c r="K2798" s="2" t="n">
        <v>592</v>
      </c>
      <c r="L2798" s="2" t="inlineStr">
        <is>
          <t>Road</t>
        </is>
      </c>
      <c r="M2798" s="2" t="inlineStr">
        <is>
          <t>No Delay</t>
        </is>
      </c>
      <c r="N2798" s="4">
        <f>IF(I2798&lt;=H2798,1,0)</f>
        <v/>
      </c>
      <c r="O2798" s="4">
        <f>IF(J2798&lt;=G2798,1,0)</f>
        <v/>
      </c>
      <c r="P2798" s="4">
        <f>MAX(0,I2798-H2798)</f>
        <v/>
      </c>
      <c r="Q2798" s="4">
        <f>MAX(0,J2798-G2798)</f>
        <v/>
      </c>
      <c r="R2798" s="4">
        <f>IF(AND(N2798=1,O2798=1),"On Track",IF(O2798=0,"Customer Delivery Late","Ship Late"))</f>
        <v/>
      </c>
    </row>
    <row r="2799">
      <c r="A2799" s="2" t="inlineStr">
        <is>
          <t>ORD-02798</t>
        </is>
      </c>
      <c r="B2799" s="2" t="inlineStr">
        <is>
          <t>Customer 10</t>
        </is>
      </c>
      <c r="C2799" s="2" t="inlineStr">
        <is>
          <t>Breaker</t>
        </is>
      </c>
      <c r="D2799" s="2" t="inlineStr">
        <is>
          <t>Plant A</t>
        </is>
      </c>
      <c r="E2799" s="2" t="inlineStr">
        <is>
          <t>North</t>
        </is>
      </c>
      <c r="F2799" s="12" t="n">
        <v>46128</v>
      </c>
      <c r="G2799" s="12" t="n">
        <v>46143</v>
      </c>
      <c r="H2799" s="12" t="n">
        <v>46141</v>
      </c>
      <c r="I2799" s="12" t="n">
        <v>46139</v>
      </c>
      <c r="J2799" s="12" t="n">
        <v>46140</v>
      </c>
      <c r="K2799" s="2" t="n">
        <v>1278</v>
      </c>
      <c r="L2799" s="2" t="inlineStr">
        <is>
          <t>Sea</t>
        </is>
      </c>
      <c r="M2799" s="2" t="inlineStr">
        <is>
          <t>No Delay</t>
        </is>
      </c>
      <c r="N2799" s="4">
        <f>IF(I2799&lt;=H2799,1,0)</f>
        <v/>
      </c>
      <c r="O2799" s="4">
        <f>IF(J2799&lt;=G2799,1,0)</f>
        <v/>
      </c>
      <c r="P2799" s="4">
        <f>MAX(0,I2799-H2799)</f>
        <v/>
      </c>
      <c r="Q2799" s="4">
        <f>MAX(0,J2799-G2799)</f>
        <v/>
      </c>
      <c r="R2799" s="4">
        <f>IF(AND(N2799=1,O2799=1),"On Track",IF(O2799=0,"Customer Delivery Late","Ship Late"))</f>
        <v/>
      </c>
    </row>
    <row r="2800">
      <c r="A2800" s="2" t="inlineStr">
        <is>
          <t>ORD-02799</t>
        </is>
      </c>
      <c r="B2800" s="2" t="inlineStr">
        <is>
          <t>Customer 10</t>
        </is>
      </c>
      <c r="C2800" s="2" t="inlineStr">
        <is>
          <t>Contactor</t>
        </is>
      </c>
      <c r="D2800" s="2" t="inlineStr">
        <is>
          <t>Plant C</t>
        </is>
      </c>
      <c r="E2800" s="2" t="inlineStr">
        <is>
          <t>Central</t>
        </is>
      </c>
      <c r="F2800" s="12" t="n">
        <v>46188</v>
      </c>
      <c r="G2800" s="12" t="n">
        <v>46202</v>
      </c>
      <c r="H2800" s="12" t="n">
        <v>46199</v>
      </c>
      <c r="I2800" s="12" t="n">
        <v>46199</v>
      </c>
      <c r="J2800" s="12" t="n">
        <v>46202</v>
      </c>
      <c r="K2800" s="2" t="n">
        <v>958</v>
      </c>
      <c r="L2800" s="2" t="inlineStr">
        <is>
          <t>Road</t>
        </is>
      </c>
      <c r="M2800" s="2" t="inlineStr">
        <is>
          <t>No Delay</t>
        </is>
      </c>
      <c r="N2800" s="4">
        <f>IF(I2800&lt;=H2800,1,0)</f>
        <v/>
      </c>
      <c r="O2800" s="4">
        <f>IF(J2800&lt;=G2800,1,0)</f>
        <v/>
      </c>
      <c r="P2800" s="4">
        <f>MAX(0,I2800-H2800)</f>
        <v/>
      </c>
      <c r="Q2800" s="4">
        <f>MAX(0,J2800-G2800)</f>
        <v/>
      </c>
      <c r="R2800" s="4">
        <f>IF(AND(N2800=1,O2800=1),"On Track",IF(O2800=0,"Customer Delivery Late","Ship Late"))</f>
        <v/>
      </c>
    </row>
    <row r="2801">
      <c r="A2801" s="2" t="inlineStr">
        <is>
          <t>ORD-02800</t>
        </is>
      </c>
      <c r="B2801" s="2" t="inlineStr">
        <is>
          <t>Customer 30</t>
        </is>
      </c>
      <c r="C2801" s="2" t="inlineStr">
        <is>
          <t>Power Supply</t>
        </is>
      </c>
      <c r="D2801" s="2" t="inlineStr">
        <is>
          <t>Plant B</t>
        </is>
      </c>
      <c r="E2801" s="2" t="inlineStr">
        <is>
          <t>South</t>
        </is>
      </c>
      <c r="F2801" s="12" t="n">
        <v>46176</v>
      </c>
      <c r="G2801" s="12" t="n">
        <v>46184</v>
      </c>
      <c r="H2801" s="12" t="n">
        <v>46182</v>
      </c>
      <c r="I2801" s="12" t="n">
        <v>46181</v>
      </c>
      <c r="J2801" s="12" t="n">
        <v>46184</v>
      </c>
      <c r="K2801" s="2" t="n">
        <v>1431</v>
      </c>
      <c r="L2801" s="2" t="inlineStr">
        <is>
          <t>Sea</t>
        </is>
      </c>
      <c r="M2801" s="2" t="inlineStr">
        <is>
          <t>No Delay</t>
        </is>
      </c>
      <c r="N2801" s="4">
        <f>IF(I2801&lt;=H2801,1,0)</f>
        <v/>
      </c>
      <c r="O2801" s="4">
        <f>IF(J2801&lt;=G2801,1,0)</f>
        <v/>
      </c>
      <c r="P2801" s="4">
        <f>MAX(0,I2801-H2801)</f>
        <v/>
      </c>
      <c r="Q2801" s="4">
        <f>MAX(0,J2801-G2801)</f>
        <v/>
      </c>
      <c r="R2801" s="4">
        <f>IF(AND(N2801=1,O2801=1),"On Track",IF(O2801=0,"Customer Delivery Late","Ship Late"))</f>
        <v/>
      </c>
    </row>
    <row r="2802">
      <c r="A2802" s="2" t="inlineStr">
        <is>
          <t>ORD-02801</t>
        </is>
      </c>
      <c r="B2802" s="2" t="inlineStr">
        <is>
          <t>Customer 29</t>
        </is>
      </c>
      <c r="C2802" s="2" t="inlineStr">
        <is>
          <t>Contactor</t>
        </is>
      </c>
      <c r="D2802" s="2" t="inlineStr">
        <is>
          <t>Plant A</t>
        </is>
      </c>
      <c r="E2802" s="2" t="inlineStr">
        <is>
          <t>Central</t>
        </is>
      </c>
      <c r="F2802" s="12" t="n">
        <v>46170</v>
      </c>
      <c r="G2802" s="12" t="n">
        <v>46178</v>
      </c>
      <c r="H2802" s="12" t="n">
        <v>46175</v>
      </c>
      <c r="I2802" s="12" t="n">
        <v>46173</v>
      </c>
      <c r="J2802" s="12" t="n">
        <v>46177</v>
      </c>
      <c r="K2802" s="2" t="n">
        <v>136</v>
      </c>
      <c r="L2802" s="2" t="inlineStr">
        <is>
          <t>Sea</t>
        </is>
      </c>
      <c r="M2802" s="2" t="inlineStr">
        <is>
          <t>No Delay</t>
        </is>
      </c>
      <c r="N2802" s="4">
        <f>IF(I2802&lt;=H2802,1,0)</f>
        <v/>
      </c>
      <c r="O2802" s="4">
        <f>IF(J2802&lt;=G2802,1,0)</f>
        <v/>
      </c>
      <c r="P2802" s="4">
        <f>MAX(0,I2802-H2802)</f>
        <v/>
      </c>
      <c r="Q2802" s="4">
        <f>MAX(0,J2802-G2802)</f>
        <v/>
      </c>
      <c r="R2802" s="4">
        <f>IF(AND(N2802=1,O2802=1),"On Track",IF(O2802=0,"Customer Delivery Late","Ship Late"))</f>
        <v/>
      </c>
    </row>
    <row r="2803">
      <c r="A2803" s="2" t="inlineStr">
        <is>
          <t>ORD-02802</t>
        </is>
      </c>
      <c r="B2803" s="2" t="inlineStr">
        <is>
          <t>Customer 18</t>
        </is>
      </c>
      <c r="C2803" s="2" t="inlineStr">
        <is>
          <t>Sensor</t>
        </is>
      </c>
      <c r="D2803" s="2" t="inlineStr">
        <is>
          <t>Plant C</t>
        </is>
      </c>
      <c r="E2803" s="2" t="inlineStr">
        <is>
          <t>North</t>
        </is>
      </c>
      <c r="F2803" s="12" t="n">
        <v>46103</v>
      </c>
      <c r="G2803" s="12" t="n">
        <v>46112</v>
      </c>
      <c r="H2803" s="12" t="n">
        <v>46110</v>
      </c>
      <c r="I2803" s="12" t="n">
        <v>46109</v>
      </c>
      <c r="J2803" s="12" t="n">
        <v>46111</v>
      </c>
      <c r="K2803" s="2" t="n">
        <v>1499</v>
      </c>
      <c r="L2803" s="2" t="inlineStr">
        <is>
          <t>Road</t>
        </is>
      </c>
      <c r="M2803" s="2" t="inlineStr">
        <is>
          <t>No Delay</t>
        </is>
      </c>
      <c r="N2803" s="4">
        <f>IF(I2803&lt;=H2803,1,0)</f>
        <v/>
      </c>
      <c r="O2803" s="4">
        <f>IF(J2803&lt;=G2803,1,0)</f>
        <v/>
      </c>
      <c r="P2803" s="4">
        <f>MAX(0,I2803-H2803)</f>
        <v/>
      </c>
      <c r="Q2803" s="4">
        <f>MAX(0,J2803-G2803)</f>
        <v/>
      </c>
      <c r="R2803" s="4">
        <f>IF(AND(N2803=1,O2803=1),"On Track",IF(O2803=0,"Customer Delivery Late","Ship Late"))</f>
        <v/>
      </c>
    </row>
    <row r="2804">
      <c r="A2804" s="2" t="inlineStr">
        <is>
          <t>ORD-02803</t>
        </is>
      </c>
      <c r="B2804" s="2" t="inlineStr">
        <is>
          <t>Customer 25</t>
        </is>
      </c>
      <c r="C2804" s="2" t="inlineStr">
        <is>
          <t>Relay</t>
        </is>
      </c>
      <c r="D2804" s="2" t="inlineStr">
        <is>
          <t>Plant A</t>
        </is>
      </c>
      <c r="E2804" s="2" t="inlineStr">
        <is>
          <t>Central</t>
        </is>
      </c>
      <c r="F2804" s="12" t="n">
        <v>46060</v>
      </c>
      <c r="G2804" s="12" t="n">
        <v>46073</v>
      </c>
      <c r="H2804" s="12" t="n">
        <v>46069</v>
      </c>
      <c r="I2804" s="12" t="n">
        <v>46068</v>
      </c>
      <c r="J2804" s="12" t="n">
        <v>46071</v>
      </c>
      <c r="K2804" s="2" t="n">
        <v>651</v>
      </c>
      <c r="L2804" s="2" t="inlineStr">
        <is>
          <t>Road</t>
        </is>
      </c>
      <c r="M2804" s="2" t="inlineStr">
        <is>
          <t>No Delay</t>
        </is>
      </c>
      <c r="N2804" s="4">
        <f>IF(I2804&lt;=H2804,1,0)</f>
        <v/>
      </c>
      <c r="O2804" s="4">
        <f>IF(J2804&lt;=G2804,1,0)</f>
        <v/>
      </c>
      <c r="P2804" s="4">
        <f>MAX(0,I2804-H2804)</f>
        <v/>
      </c>
      <c r="Q2804" s="4">
        <f>MAX(0,J2804-G2804)</f>
        <v/>
      </c>
      <c r="R2804" s="4">
        <f>IF(AND(N2804=1,O2804=1),"On Track",IF(O2804=0,"Customer Delivery Late","Ship Late"))</f>
        <v/>
      </c>
    </row>
    <row r="2805">
      <c r="A2805" s="2" t="inlineStr">
        <is>
          <t>ORD-02804</t>
        </is>
      </c>
      <c r="B2805" s="2" t="inlineStr">
        <is>
          <t>Customer 01</t>
        </is>
      </c>
      <c r="C2805" s="2" t="inlineStr">
        <is>
          <t>Sensor</t>
        </is>
      </c>
      <c r="D2805" s="2" t="inlineStr">
        <is>
          <t>Plant A</t>
        </is>
      </c>
      <c r="E2805" s="2" t="inlineStr">
        <is>
          <t>Central</t>
        </is>
      </c>
      <c r="F2805" s="12" t="n">
        <v>46087</v>
      </c>
      <c r="G2805" s="12" t="n">
        <v>46097</v>
      </c>
      <c r="H2805" s="12" t="n">
        <v>46095</v>
      </c>
      <c r="I2805" s="12" t="n">
        <v>46094</v>
      </c>
      <c r="J2805" s="12" t="n">
        <v>46096</v>
      </c>
      <c r="K2805" s="2" t="n">
        <v>1344</v>
      </c>
      <c r="L2805" s="2" t="inlineStr">
        <is>
          <t>Sea</t>
        </is>
      </c>
      <c r="M2805" s="2" t="inlineStr">
        <is>
          <t>No Delay</t>
        </is>
      </c>
      <c r="N2805" s="4">
        <f>IF(I2805&lt;=H2805,1,0)</f>
        <v/>
      </c>
      <c r="O2805" s="4">
        <f>IF(J2805&lt;=G2805,1,0)</f>
        <v/>
      </c>
      <c r="P2805" s="4">
        <f>MAX(0,I2805-H2805)</f>
        <v/>
      </c>
      <c r="Q2805" s="4">
        <f>MAX(0,J2805-G2805)</f>
        <v/>
      </c>
      <c r="R2805" s="4">
        <f>IF(AND(N2805=1,O2805=1),"On Track",IF(O2805=0,"Customer Delivery Late","Ship Late"))</f>
        <v/>
      </c>
    </row>
    <row r="2806">
      <c r="A2806" s="2" t="inlineStr">
        <is>
          <t>ORD-02805</t>
        </is>
      </c>
      <c r="B2806" s="2" t="inlineStr">
        <is>
          <t>Customer 10</t>
        </is>
      </c>
      <c r="C2806" s="2" t="inlineStr">
        <is>
          <t>Breaker</t>
        </is>
      </c>
      <c r="D2806" s="2" t="inlineStr">
        <is>
          <t>Plant C</t>
        </is>
      </c>
      <c r="E2806" s="2" t="inlineStr">
        <is>
          <t>Export</t>
        </is>
      </c>
      <c r="F2806" s="12" t="n">
        <v>46192</v>
      </c>
      <c r="G2806" s="12" t="n">
        <v>46215</v>
      </c>
      <c r="H2806" s="12" t="n">
        <v>46210</v>
      </c>
      <c r="I2806" s="12" t="n">
        <v>46210</v>
      </c>
      <c r="J2806" s="12" t="n">
        <v>46215</v>
      </c>
      <c r="K2806" s="2" t="n">
        <v>1006</v>
      </c>
      <c r="L2806" s="2" t="inlineStr">
        <is>
          <t>Road</t>
        </is>
      </c>
      <c r="M2806" s="2" t="inlineStr">
        <is>
          <t>No Delay</t>
        </is>
      </c>
      <c r="N2806" s="4">
        <f>IF(I2806&lt;=H2806,1,0)</f>
        <v/>
      </c>
      <c r="O2806" s="4">
        <f>IF(J2806&lt;=G2806,1,0)</f>
        <v/>
      </c>
      <c r="P2806" s="4">
        <f>MAX(0,I2806-H2806)</f>
        <v/>
      </c>
      <c r="Q2806" s="4">
        <f>MAX(0,J2806-G2806)</f>
        <v/>
      </c>
      <c r="R2806" s="4">
        <f>IF(AND(N2806=1,O2806=1),"On Track",IF(O2806=0,"Customer Delivery Late","Ship Late"))</f>
        <v/>
      </c>
    </row>
    <row r="2807">
      <c r="A2807" s="2" t="inlineStr">
        <is>
          <t>ORD-02806</t>
        </is>
      </c>
      <c r="B2807" s="2" t="inlineStr">
        <is>
          <t>Customer 27</t>
        </is>
      </c>
      <c r="C2807" s="2" t="inlineStr">
        <is>
          <t>PLC</t>
        </is>
      </c>
      <c r="D2807" s="2" t="inlineStr">
        <is>
          <t>Plant C</t>
        </is>
      </c>
      <c r="E2807" s="2" t="inlineStr">
        <is>
          <t>North</t>
        </is>
      </c>
      <c r="F2807" s="12" t="n">
        <v>46042</v>
      </c>
      <c r="G2807" s="12" t="n">
        <v>46048</v>
      </c>
      <c r="H2807" s="12" t="n">
        <v>46044</v>
      </c>
      <c r="I2807" s="12" t="n">
        <v>46042</v>
      </c>
      <c r="J2807" s="12" t="n">
        <v>46045</v>
      </c>
      <c r="K2807" s="2" t="n">
        <v>768</v>
      </c>
      <c r="L2807" s="2" t="inlineStr">
        <is>
          <t>Road</t>
        </is>
      </c>
      <c r="M2807" s="2" t="inlineStr">
        <is>
          <t>No Delay</t>
        </is>
      </c>
      <c r="N2807" s="4">
        <f>IF(I2807&lt;=H2807,1,0)</f>
        <v/>
      </c>
      <c r="O2807" s="4">
        <f>IF(J2807&lt;=G2807,1,0)</f>
        <v/>
      </c>
      <c r="P2807" s="4">
        <f>MAX(0,I2807-H2807)</f>
        <v/>
      </c>
      <c r="Q2807" s="4">
        <f>MAX(0,J2807-G2807)</f>
        <v/>
      </c>
      <c r="R2807" s="4">
        <f>IF(AND(N2807=1,O2807=1),"On Track",IF(O2807=0,"Customer Delivery Late","Ship Late"))</f>
        <v/>
      </c>
    </row>
    <row r="2808">
      <c r="A2808" s="2" t="inlineStr">
        <is>
          <t>ORD-02807</t>
        </is>
      </c>
      <c r="B2808" s="2" t="inlineStr">
        <is>
          <t>Customer 12</t>
        </is>
      </c>
      <c r="C2808" s="2" t="inlineStr">
        <is>
          <t>Sensor</t>
        </is>
      </c>
      <c r="D2808" s="2" t="inlineStr">
        <is>
          <t>Plant A</t>
        </is>
      </c>
      <c r="E2808" s="2" t="inlineStr">
        <is>
          <t>Export</t>
        </is>
      </c>
      <c r="F2808" s="12" t="n">
        <v>46027</v>
      </c>
      <c r="G2808" s="12" t="n">
        <v>46051</v>
      </c>
      <c r="H2808" s="12" t="n">
        <v>46047</v>
      </c>
      <c r="I2808" s="12" t="n">
        <v>46050</v>
      </c>
      <c r="J2808" s="12" t="n">
        <v>46054</v>
      </c>
      <c r="K2808" s="2" t="n">
        <v>719</v>
      </c>
      <c r="L2808" s="2" t="inlineStr">
        <is>
          <t>Air</t>
        </is>
      </c>
      <c r="M2808" s="2" t="inlineStr">
        <is>
          <t>Production Delay</t>
        </is>
      </c>
      <c r="N2808" s="4">
        <f>IF(I2808&lt;=H2808,1,0)</f>
        <v/>
      </c>
      <c r="O2808" s="4">
        <f>IF(J2808&lt;=G2808,1,0)</f>
        <v/>
      </c>
      <c r="P2808" s="4">
        <f>MAX(0,I2808-H2808)</f>
        <v/>
      </c>
      <c r="Q2808" s="4">
        <f>MAX(0,J2808-G2808)</f>
        <v/>
      </c>
      <c r="R2808" s="4">
        <f>IF(AND(N2808=1,O2808=1),"On Track",IF(O2808=0,"Customer Delivery Late","Ship Late"))</f>
        <v/>
      </c>
    </row>
    <row r="2809">
      <c r="A2809" s="2" t="inlineStr">
        <is>
          <t>ORD-02808</t>
        </is>
      </c>
      <c r="B2809" s="2" t="inlineStr">
        <is>
          <t>Customer 14</t>
        </is>
      </c>
      <c r="C2809" s="2" t="inlineStr">
        <is>
          <t>PLC</t>
        </is>
      </c>
      <c r="D2809" s="2" t="inlineStr">
        <is>
          <t>Plant C</t>
        </is>
      </c>
      <c r="E2809" s="2" t="inlineStr">
        <is>
          <t>South</t>
        </is>
      </c>
      <c r="F2809" s="12" t="n">
        <v>46039</v>
      </c>
      <c r="G2809" s="12" t="n">
        <v>46057</v>
      </c>
      <c r="H2809" s="12" t="n">
        <v>46052</v>
      </c>
      <c r="I2809" s="12" t="n">
        <v>46050</v>
      </c>
      <c r="J2809" s="12" t="n">
        <v>46055</v>
      </c>
      <c r="K2809" s="2" t="n">
        <v>1442</v>
      </c>
      <c r="L2809" s="2" t="inlineStr">
        <is>
          <t>Road</t>
        </is>
      </c>
      <c r="M2809" s="2" t="inlineStr">
        <is>
          <t>No Delay</t>
        </is>
      </c>
      <c r="N2809" s="4">
        <f>IF(I2809&lt;=H2809,1,0)</f>
        <v/>
      </c>
      <c r="O2809" s="4">
        <f>IF(J2809&lt;=G2809,1,0)</f>
        <v/>
      </c>
      <c r="P2809" s="4">
        <f>MAX(0,I2809-H2809)</f>
        <v/>
      </c>
      <c r="Q2809" s="4">
        <f>MAX(0,J2809-G2809)</f>
        <v/>
      </c>
      <c r="R2809" s="4">
        <f>IF(AND(N2809=1,O2809=1),"On Track",IF(O2809=0,"Customer Delivery Late","Ship Late"))</f>
        <v/>
      </c>
    </row>
    <row r="2810">
      <c r="A2810" s="2" t="inlineStr">
        <is>
          <t>ORD-02809</t>
        </is>
      </c>
      <c r="B2810" s="2" t="inlineStr">
        <is>
          <t>Customer 22</t>
        </is>
      </c>
      <c r="C2810" s="2" t="inlineStr">
        <is>
          <t>Relay</t>
        </is>
      </c>
      <c r="D2810" s="2" t="inlineStr">
        <is>
          <t>Plant B</t>
        </is>
      </c>
      <c r="E2810" s="2" t="inlineStr">
        <is>
          <t>Export</t>
        </is>
      </c>
      <c r="F2810" s="12" t="n">
        <v>46079</v>
      </c>
      <c r="G2810" s="12" t="n">
        <v>46101</v>
      </c>
      <c r="H2810" s="12" t="n">
        <v>46100</v>
      </c>
      <c r="I2810" s="12" t="n">
        <v>46098</v>
      </c>
      <c r="J2810" s="12" t="n">
        <v>46099</v>
      </c>
      <c r="K2810" s="2" t="n">
        <v>1066</v>
      </c>
      <c r="L2810" s="2" t="inlineStr">
        <is>
          <t>Road</t>
        </is>
      </c>
      <c r="M2810" s="2" t="inlineStr">
        <is>
          <t>No Delay</t>
        </is>
      </c>
      <c r="N2810" s="4">
        <f>IF(I2810&lt;=H2810,1,0)</f>
        <v/>
      </c>
      <c r="O2810" s="4">
        <f>IF(J2810&lt;=G2810,1,0)</f>
        <v/>
      </c>
      <c r="P2810" s="4">
        <f>MAX(0,I2810-H2810)</f>
        <v/>
      </c>
      <c r="Q2810" s="4">
        <f>MAX(0,J2810-G2810)</f>
        <v/>
      </c>
      <c r="R2810" s="4">
        <f>IF(AND(N2810=1,O2810=1),"On Track",IF(O2810=0,"Customer Delivery Late","Ship Late"))</f>
        <v/>
      </c>
    </row>
    <row r="2811">
      <c r="A2811" s="2" t="inlineStr">
        <is>
          <t>ORD-02810</t>
        </is>
      </c>
      <c r="B2811" s="2" t="inlineStr">
        <is>
          <t>Customer 08</t>
        </is>
      </c>
      <c r="C2811" s="2" t="inlineStr">
        <is>
          <t>Contactor</t>
        </is>
      </c>
      <c r="D2811" s="2" t="inlineStr">
        <is>
          <t>Plant C</t>
        </is>
      </c>
      <c r="E2811" s="2" t="inlineStr">
        <is>
          <t>South</t>
        </is>
      </c>
      <c r="F2811" s="12" t="n">
        <v>46145</v>
      </c>
      <c r="G2811" s="12" t="n">
        <v>46151</v>
      </c>
      <c r="H2811" s="12" t="n">
        <v>46148</v>
      </c>
      <c r="I2811" s="12" t="n">
        <v>46146</v>
      </c>
      <c r="J2811" s="12" t="n">
        <v>46149</v>
      </c>
      <c r="K2811" s="2" t="n">
        <v>1195</v>
      </c>
      <c r="L2811" s="2" t="inlineStr">
        <is>
          <t>Road</t>
        </is>
      </c>
      <c r="M2811" s="2" t="inlineStr">
        <is>
          <t>No Delay</t>
        </is>
      </c>
      <c r="N2811" s="4">
        <f>IF(I2811&lt;=H2811,1,0)</f>
        <v/>
      </c>
      <c r="O2811" s="4">
        <f>IF(J2811&lt;=G2811,1,0)</f>
        <v/>
      </c>
      <c r="P2811" s="4">
        <f>MAX(0,I2811-H2811)</f>
        <v/>
      </c>
      <c r="Q2811" s="4">
        <f>MAX(0,J2811-G2811)</f>
        <v/>
      </c>
      <c r="R2811" s="4">
        <f>IF(AND(N2811=1,O2811=1),"On Track",IF(O2811=0,"Customer Delivery Late","Ship Late"))</f>
        <v/>
      </c>
    </row>
    <row r="2812">
      <c r="A2812" s="2" t="inlineStr">
        <is>
          <t>ORD-02811</t>
        </is>
      </c>
      <c r="B2812" s="2" t="inlineStr">
        <is>
          <t>Customer 11</t>
        </is>
      </c>
      <c r="C2812" s="2" t="inlineStr">
        <is>
          <t>PLC</t>
        </is>
      </c>
      <c r="D2812" s="2" t="inlineStr">
        <is>
          <t>Plant B</t>
        </is>
      </c>
      <c r="E2812" s="2" t="inlineStr">
        <is>
          <t>Export</t>
        </is>
      </c>
      <c r="F2812" s="12" t="n">
        <v>46041</v>
      </c>
      <c r="G2812" s="12" t="n">
        <v>46048</v>
      </c>
      <c r="H2812" s="12" t="n">
        <v>46044</v>
      </c>
      <c r="I2812" s="12" t="n">
        <v>46044</v>
      </c>
      <c r="J2812" s="12" t="n">
        <v>46047</v>
      </c>
      <c r="K2812" s="2" t="n">
        <v>1484</v>
      </c>
      <c r="L2812" s="2" t="inlineStr">
        <is>
          <t>Road</t>
        </is>
      </c>
      <c r="M2812" s="2" t="inlineStr">
        <is>
          <t>No Delay</t>
        </is>
      </c>
      <c r="N2812" s="4">
        <f>IF(I2812&lt;=H2812,1,0)</f>
        <v/>
      </c>
      <c r="O2812" s="4">
        <f>IF(J2812&lt;=G2812,1,0)</f>
        <v/>
      </c>
      <c r="P2812" s="4">
        <f>MAX(0,I2812-H2812)</f>
        <v/>
      </c>
      <c r="Q2812" s="4">
        <f>MAX(0,J2812-G2812)</f>
        <v/>
      </c>
      <c r="R2812" s="4">
        <f>IF(AND(N2812=1,O2812=1),"On Track",IF(O2812=0,"Customer Delivery Late","Ship Late"))</f>
        <v/>
      </c>
    </row>
    <row r="2813">
      <c r="A2813" s="2" t="inlineStr">
        <is>
          <t>ORD-02812</t>
        </is>
      </c>
      <c r="B2813" s="2" t="inlineStr">
        <is>
          <t>Customer 18</t>
        </is>
      </c>
      <c r="C2813" s="2" t="inlineStr">
        <is>
          <t>Sensor</t>
        </is>
      </c>
      <c r="D2813" s="2" t="inlineStr">
        <is>
          <t>Plant C</t>
        </is>
      </c>
      <c r="E2813" s="2" t="inlineStr">
        <is>
          <t>South</t>
        </is>
      </c>
      <c r="F2813" s="12" t="n">
        <v>46111</v>
      </c>
      <c r="G2813" s="12" t="n">
        <v>46116</v>
      </c>
      <c r="H2813" s="12" t="n">
        <v>46112</v>
      </c>
      <c r="I2813" s="12" t="n">
        <v>46113</v>
      </c>
      <c r="J2813" s="12" t="n">
        <v>46117</v>
      </c>
      <c r="K2813" s="2" t="n">
        <v>1358</v>
      </c>
      <c r="L2813" s="2" t="inlineStr">
        <is>
          <t>Sea</t>
        </is>
      </c>
      <c r="M2813" s="2" t="inlineStr">
        <is>
          <t>Customer Change</t>
        </is>
      </c>
      <c r="N2813" s="4">
        <f>IF(I2813&lt;=H2813,1,0)</f>
        <v/>
      </c>
      <c r="O2813" s="4">
        <f>IF(J2813&lt;=G2813,1,0)</f>
        <v/>
      </c>
      <c r="P2813" s="4">
        <f>MAX(0,I2813-H2813)</f>
        <v/>
      </c>
      <c r="Q2813" s="4">
        <f>MAX(0,J2813-G2813)</f>
        <v/>
      </c>
      <c r="R2813" s="4">
        <f>IF(AND(N2813=1,O2813=1),"On Track",IF(O2813=0,"Customer Delivery Late","Ship Late"))</f>
        <v/>
      </c>
    </row>
    <row r="2814">
      <c r="A2814" s="2" t="inlineStr">
        <is>
          <t>ORD-02813</t>
        </is>
      </c>
      <c r="B2814" s="2" t="inlineStr">
        <is>
          <t>Customer 23</t>
        </is>
      </c>
      <c r="C2814" s="2" t="inlineStr">
        <is>
          <t>Power Supply</t>
        </is>
      </c>
      <c r="D2814" s="2" t="inlineStr">
        <is>
          <t>Plant A</t>
        </is>
      </c>
      <c r="E2814" s="2" t="inlineStr">
        <is>
          <t>North</t>
        </is>
      </c>
      <c r="F2814" s="12" t="n">
        <v>46179</v>
      </c>
      <c r="G2814" s="12" t="n">
        <v>46203</v>
      </c>
      <c r="H2814" s="12" t="n">
        <v>46199</v>
      </c>
      <c r="I2814" s="12" t="n">
        <v>46198</v>
      </c>
      <c r="J2814" s="12" t="n">
        <v>46202</v>
      </c>
      <c r="K2814" s="2" t="n">
        <v>496</v>
      </c>
      <c r="L2814" s="2" t="inlineStr">
        <is>
          <t>Sea</t>
        </is>
      </c>
      <c r="M2814" s="2" t="inlineStr">
        <is>
          <t>No Delay</t>
        </is>
      </c>
      <c r="N2814" s="4">
        <f>IF(I2814&lt;=H2814,1,0)</f>
        <v/>
      </c>
      <c r="O2814" s="4">
        <f>IF(J2814&lt;=G2814,1,0)</f>
        <v/>
      </c>
      <c r="P2814" s="4">
        <f>MAX(0,I2814-H2814)</f>
        <v/>
      </c>
      <c r="Q2814" s="4">
        <f>MAX(0,J2814-G2814)</f>
        <v/>
      </c>
      <c r="R2814" s="4">
        <f>IF(AND(N2814=1,O2814=1),"On Track",IF(O2814=0,"Customer Delivery Late","Ship Late"))</f>
        <v/>
      </c>
    </row>
    <row r="2815">
      <c r="A2815" s="2" t="inlineStr">
        <is>
          <t>ORD-02814</t>
        </is>
      </c>
      <c r="B2815" s="2" t="inlineStr">
        <is>
          <t>Customer 09</t>
        </is>
      </c>
      <c r="C2815" s="2" t="inlineStr">
        <is>
          <t>Relay</t>
        </is>
      </c>
      <c r="D2815" s="2" t="inlineStr">
        <is>
          <t>Plant A</t>
        </is>
      </c>
      <c r="E2815" s="2" t="inlineStr">
        <is>
          <t>South</t>
        </is>
      </c>
      <c r="F2815" s="12" t="n">
        <v>46025</v>
      </c>
      <c r="G2815" s="12" t="n">
        <v>46040</v>
      </c>
      <c r="H2815" s="12" t="n">
        <v>46035</v>
      </c>
      <c r="I2815" s="12" t="n">
        <v>46035</v>
      </c>
      <c r="J2815" s="12" t="n">
        <v>46041</v>
      </c>
      <c r="K2815" s="2" t="n">
        <v>1203</v>
      </c>
      <c r="L2815" s="2" t="inlineStr">
        <is>
          <t>Air</t>
        </is>
      </c>
      <c r="M2815" s="2" t="inlineStr">
        <is>
          <t>Carrier Delay</t>
        </is>
      </c>
      <c r="N2815" s="4">
        <f>IF(I2815&lt;=H2815,1,0)</f>
        <v/>
      </c>
      <c r="O2815" s="4">
        <f>IF(J2815&lt;=G2815,1,0)</f>
        <v/>
      </c>
      <c r="P2815" s="4">
        <f>MAX(0,I2815-H2815)</f>
        <v/>
      </c>
      <c r="Q2815" s="4">
        <f>MAX(0,J2815-G2815)</f>
        <v/>
      </c>
      <c r="R2815" s="4">
        <f>IF(AND(N2815=1,O2815=1),"On Track",IF(O2815=0,"Customer Delivery Late","Ship Late"))</f>
        <v/>
      </c>
    </row>
    <row r="2816">
      <c r="A2816" s="2" t="inlineStr">
        <is>
          <t>ORD-02815</t>
        </is>
      </c>
      <c r="B2816" s="2" t="inlineStr">
        <is>
          <t>Customer 12</t>
        </is>
      </c>
      <c r="C2816" s="2" t="inlineStr">
        <is>
          <t>Sensor</t>
        </is>
      </c>
      <c r="D2816" s="2" t="inlineStr">
        <is>
          <t>Plant A</t>
        </is>
      </c>
      <c r="E2816" s="2" t="inlineStr">
        <is>
          <t>Export</t>
        </is>
      </c>
      <c r="F2816" s="12" t="n">
        <v>46109</v>
      </c>
      <c r="G2816" s="12" t="n">
        <v>46117</v>
      </c>
      <c r="H2816" s="12" t="n">
        <v>46115</v>
      </c>
      <c r="I2816" s="12" t="n">
        <v>46113</v>
      </c>
      <c r="J2816" s="12" t="n">
        <v>46115</v>
      </c>
      <c r="K2816" s="2" t="n">
        <v>436</v>
      </c>
      <c r="L2816" s="2" t="inlineStr">
        <is>
          <t>Sea</t>
        </is>
      </c>
      <c r="M2816" s="2" t="inlineStr">
        <is>
          <t>No Delay</t>
        </is>
      </c>
      <c r="N2816" s="4">
        <f>IF(I2816&lt;=H2816,1,0)</f>
        <v/>
      </c>
      <c r="O2816" s="4">
        <f>IF(J2816&lt;=G2816,1,0)</f>
        <v/>
      </c>
      <c r="P2816" s="4">
        <f>MAX(0,I2816-H2816)</f>
        <v/>
      </c>
      <c r="Q2816" s="4">
        <f>MAX(0,J2816-G2816)</f>
        <v/>
      </c>
      <c r="R2816" s="4">
        <f>IF(AND(N2816=1,O2816=1),"On Track",IF(O2816=0,"Customer Delivery Late","Ship Late"))</f>
        <v/>
      </c>
    </row>
    <row r="2817">
      <c r="A2817" s="2" t="inlineStr">
        <is>
          <t>ORD-02816</t>
        </is>
      </c>
      <c r="B2817" s="2" t="inlineStr">
        <is>
          <t>Customer 16</t>
        </is>
      </c>
      <c r="C2817" s="2" t="inlineStr">
        <is>
          <t>Sensor</t>
        </is>
      </c>
      <c r="D2817" s="2" t="inlineStr">
        <is>
          <t>Plant B</t>
        </is>
      </c>
      <c r="E2817" s="2" t="inlineStr">
        <is>
          <t>North</t>
        </is>
      </c>
      <c r="F2817" s="12" t="n">
        <v>46199</v>
      </c>
      <c r="G2817" s="12" t="n">
        <v>46215</v>
      </c>
      <c r="H2817" s="12" t="n">
        <v>46214</v>
      </c>
      <c r="I2817" s="12" t="n">
        <v>46214</v>
      </c>
      <c r="J2817" s="12" t="n">
        <v>46215</v>
      </c>
      <c r="K2817" s="2" t="n">
        <v>1387</v>
      </c>
      <c r="L2817" s="2" t="inlineStr">
        <is>
          <t>Road</t>
        </is>
      </c>
      <c r="M2817" s="2" t="inlineStr">
        <is>
          <t>No Delay</t>
        </is>
      </c>
      <c r="N2817" s="4">
        <f>IF(I2817&lt;=H2817,1,0)</f>
        <v/>
      </c>
      <c r="O2817" s="4">
        <f>IF(J2817&lt;=G2817,1,0)</f>
        <v/>
      </c>
      <c r="P2817" s="4">
        <f>MAX(0,I2817-H2817)</f>
        <v/>
      </c>
      <c r="Q2817" s="4">
        <f>MAX(0,J2817-G2817)</f>
        <v/>
      </c>
      <c r="R2817" s="4">
        <f>IF(AND(N2817=1,O2817=1),"On Track",IF(O2817=0,"Customer Delivery Late","Ship Late"))</f>
        <v/>
      </c>
    </row>
    <row r="2818">
      <c r="A2818" s="2" t="inlineStr">
        <is>
          <t>ORD-02817</t>
        </is>
      </c>
      <c r="B2818" s="2" t="inlineStr">
        <is>
          <t>Customer 09</t>
        </is>
      </c>
      <c r="C2818" s="2" t="inlineStr">
        <is>
          <t>Contactor</t>
        </is>
      </c>
      <c r="D2818" s="2" t="inlineStr">
        <is>
          <t>Plant B</t>
        </is>
      </c>
      <c r="E2818" s="2" t="inlineStr">
        <is>
          <t>Central</t>
        </is>
      </c>
      <c r="F2818" s="12" t="n">
        <v>46132</v>
      </c>
      <c r="G2818" s="12" t="n">
        <v>46144</v>
      </c>
      <c r="H2818" s="12" t="n">
        <v>46140</v>
      </c>
      <c r="I2818" s="12" t="n">
        <v>46140</v>
      </c>
      <c r="J2818" s="12" t="n">
        <v>46144</v>
      </c>
      <c r="K2818" s="2" t="n">
        <v>1027</v>
      </c>
      <c r="L2818" s="2" t="inlineStr">
        <is>
          <t>Road</t>
        </is>
      </c>
      <c r="M2818" s="2" t="inlineStr">
        <is>
          <t>No Delay</t>
        </is>
      </c>
      <c r="N2818" s="4">
        <f>IF(I2818&lt;=H2818,1,0)</f>
        <v/>
      </c>
      <c r="O2818" s="4">
        <f>IF(J2818&lt;=G2818,1,0)</f>
        <v/>
      </c>
      <c r="P2818" s="4">
        <f>MAX(0,I2818-H2818)</f>
        <v/>
      </c>
      <c r="Q2818" s="4">
        <f>MAX(0,J2818-G2818)</f>
        <v/>
      </c>
      <c r="R2818" s="4">
        <f>IF(AND(N2818=1,O2818=1),"On Track",IF(O2818=0,"Customer Delivery Late","Ship Late"))</f>
        <v/>
      </c>
    </row>
    <row r="2819">
      <c r="A2819" s="2" t="inlineStr">
        <is>
          <t>ORD-02818</t>
        </is>
      </c>
      <c r="B2819" s="2" t="inlineStr">
        <is>
          <t>Customer 28</t>
        </is>
      </c>
      <c r="C2819" s="2" t="inlineStr">
        <is>
          <t>Breaker</t>
        </is>
      </c>
      <c r="D2819" s="2" t="inlineStr">
        <is>
          <t>Plant C</t>
        </is>
      </c>
      <c r="E2819" s="2" t="inlineStr">
        <is>
          <t>Central</t>
        </is>
      </c>
      <c r="F2819" s="12" t="n">
        <v>46059</v>
      </c>
      <c r="G2819" s="12" t="n">
        <v>46071</v>
      </c>
      <c r="H2819" s="12" t="n">
        <v>46068</v>
      </c>
      <c r="I2819" s="12" t="n">
        <v>46068</v>
      </c>
      <c r="J2819" s="12" t="n">
        <v>46072</v>
      </c>
      <c r="K2819" s="2" t="n">
        <v>1399</v>
      </c>
      <c r="L2819" s="2" t="inlineStr">
        <is>
          <t>Road</t>
        </is>
      </c>
      <c r="M2819" s="2" t="inlineStr">
        <is>
          <t>Documentation Issue</t>
        </is>
      </c>
      <c r="N2819" s="4">
        <f>IF(I2819&lt;=H2819,1,0)</f>
        <v/>
      </c>
      <c r="O2819" s="4">
        <f>IF(J2819&lt;=G2819,1,0)</f>
        <v/>
      </c>
      <c r="P2819" s="4">
        <f>MAX(0,I2819-H2819)</f>
        <v/>
      </c>
      <c r="Q2819" s="4">
        <f>MAX(0,J2819-G2819)</f>
        <v/>
      </c>
      <c r="R2819" s="4">
        <f>IF(AND(N2819=1,O2819=1),"On Track",IF(O2819=0,"Customer Delivery Late","Ship Late"))</f>
        <v/>
      </c>
    </row>
    <row r="2820">
      <c r="A2820" s="2" t="inlineStr">
        <is>
          <t>ORD-02819</t>
        </is>
      </c>
      <c r="B2820" s="2" t="inlineStr">
        <is>
          <t>Customer 26</t>
        </is>
      </c>
      <c r="C2820" s="2" t="inlineStr">
        <is>
          <t>PLC</t>
        </is>
      </c>
      <c r="D2820" s="2" t="inlineStr">
        <is>
          <t>Plant B</t>
        </is>
      </c>
      <c r="E2820" s="2" t="inlineStr">
        <is>
          <t>South</t>
        </is>
      </c>
      <c r="F2820" s="12" t="n">
        <v>46078</v>
      </c>
      <c r="G2820" s="12" t="n">
        <v>46103</v>
      </c>
      <c r="H2820" s="12" t="n">
        <v>46098</v>
      </c>
      <c r="I2820" s="12" t="n">
        <v>46098</v>
      </c>
      <c r="J2820" s="12" t="n">
        <v>46103</v>
      </c>
      <c r="K2820" s="2" t="n">
        <v>1391</v>
      </c>
      <c r="L2820" s="2" t="inlineStr">
        <is>
          <t>Air</t>
        </is>
      </c>
      <c r="M2820" s="2" t="inlineStr">
        <is>
          <t>No Delay</t>
        </is>
      </c>
      <c r="N2820" s="4">
        <f>IF(I2820&lt;=H2820,1,0)</f>
        <v/>
      </c>
      <c r="O2820" s="4">
        <f>IF(J2820&lt;=G2820,1,0)</f>
        <v/>
      </c>
      <c r="P2820" s="4">
        <f>MAX(0,I2820-H2820)</f>
        <v/>
      </c>
      <c r="Q2820" s="4">
        <f>MAX(0,J2820-G2820)</f>
        <v/>
      </c>
      <c r="R2820" s="4">
        <f>IF(AND(N2820=1,O2820=1),"On Track",IF(O2820=0,"Customer Delivery Late","Ship Late"))</f>
        <v/>
      </c>
    </row>
    <row r="2821">
      <c r="A2821" s="2" t="inlineStr">
        <is>
          <t>ORD-02820</t>
        </is>
      </c>
      <c r="B2821" s="2" t="inlineStr">
        <is>
          <t>Customer 11</t>
        </is>
      </c>
      <c r="C2821" s="2" t="inlineStr">
        <is>
          <t>Power Supply</t>
        </is>
      </c>
      <c r="D2821" s="2" t="inlineStr">
        <is>
          <t>Plant A</t>
        </is>
      </c>
      <c r="E2821" s="2" t="inlineStr">
        <is>
          <t>Export</t>
        </is>
      </c>
      <c r="F2821" s="12" t="n">
        <v>46197</v>
      </c>
      <c r="G2821" s="12" t="n">
        <v>46212</v>
      </c>
      <c r="H2821" s="12" t="n">
        <v>46210</v>
      </c>
      <c r="I2821" s="12" t="n">
        <v>46208</v>
      </c>
      <c r="J2821" s="12" t="n">
        <v>46210</v>
      </c>
      <c r="K2821" s="2" t="n">
        <v>455</v>
      </c>
      <c r="L2821" s="2" t="inlineStr">
        <is>
          <t>Road</t>
        </is>
      </c>
      <c r="M2821" s="2" t="inlineStr">
        <is>
          <t>No Delay</t>
        </is>
      </c>
      <c r="N2821" s="4">
        <f>IF(I2821&lt;=H2821,1,0)</f>
        <v/>
      </c>
      <c r="O2821" s="4">
        <f>IF(J2821&lt;=G2821,1,0)</f>
        <v/>
      </c>
      <c r="P2821" s="4">
        <f>MAX(0,I2821-H2821)</f>
        <v/>
      </c>
      <c r="Q2821" s="4">
        <f>MAX(0,J2821-G2821)</f>
        <v/>
      </c>
      <c r="R2821" s="4">
        <f>IF(AND(N2821=1,O2821=1),"On Track",IF(O2821=0,"Customer Delivery Late","Ship Late"))</f>
        <v/>
      </c>
    </row>
    <row r="2822">
      <c r="A2822" s="2" t="inlineStr">
        <is>
          <t>ORD-02821</t>
        </is>
      </c>
      <c r="B2822" s="2" t="inlineStr">
        <is>
          <t>Customer 18</t>
        </is>
      </c>
      <c r="C2822" s="2" t="inlineStr">
        <is>
          <t>Power Supply</t>
        </is>
      </c>
      <c r="D2822" s="2" t="inlineStr">
        <is>
          <t>Plant A</t>
        </is>
      </c>
      <c r="E2822" s="2" t="inlineStr">
        <is>
          <t>Central</t>
        </is>
      </c>
      <c r="F2822" s="12" t="n">
        <v>46045</v>
      </c>
      <c r="G2822" s="12" t="n">
        <v>46059</v>
      </c>
      <c r="H2822" s="12" t="n">
        <v>46054</v>
      </c>
      <c r="I2822" s="12" t="n">
        <v>46052</v>
      </c>
      <c r="J2822" s="12" t="n">
        <v>46056</v>
      </c>
      <c r="K2822" s="2" t="n">
        <v>120</v>
      </c>
      <c r="L2822" s="2" t="inlineStr">
        <is>
          <t>Air</t>
        </is>
      </c>
      <c r="M2822" s="2" t="inlineStr">
        <is>
          <t>No Delay</t>
        </is>
      </c>
      <c r="N2822" s="4">
        <f>IF(I2822&lt;=H2822,1,0)</f>
        <v/>
      </c>
      <c r="O2822" s="4">
        <f>IF(J2822&lt;=G2822,1,0)</f>
        <v/>
      </c>
      <c r="P2822" s="4">
        <f>MAX(0,I2822-H2822)</f>
        <v/>
      </c>
      <c r="Q2822" s="4">
        <f>MAX(0,J2822-G2822)</f>
        <v/>
      </c>
      <c r="R2822" s="4">
        <f>IF(AND(N2822=1,O2822=1),"On Track",IF(O2822=0,"Customer Delivery Late","Ship Late"))</f>
        <v/>
      </c>
    </row>
    <row r="2823">
      <c r="A2823" s="2" t="inlineStr">
        <is>
          <t>ORD-02822</t>
        </is>
      </c>
      <c r="B2823" s="2" t="inlineStr">
        <is>
          <t>Customer 18</t>
        </is>
      </c>
      <c r="C2823" s="2" t="inlineStr">
        <is>
          <t>Contactor</t>
        </is>
      </c>
      <c r="D2823" s="2" t="inlineStr">
        <is>
          <t>Plant C</t>
        </is>
      </c>
      <c r="E2823" s="2" t="inlineStr">
        <is>
          <t>North</t>
        </is>
      </c>
      <c r="F2823" s="12" t="n">
        <v>46108</v>
      </c>
      <c r="G2823" s="12" t="n">
        <v>46131</v>
      </c>
      <c r="H2823" s="12" t="n">
        <v>46128</v>
      </c>
      <c r="I2823" s="12" t="n">
        <v>46126</v>
      </c>
      <c r="J2823" s="12" t="n">
        <v>46129</v>
      </c>
      <c r="K2823" s="2" t="n">
        <v>508</v>
      </c>
      <c r="L2823" s="2" t="inlineStr">
        <is>
          <t>Sea</t>
        </is>
      </c>
      <c r="M2823" s="2" t="inlineStr">
        <is>
          <t>No Delay</t>
        </is>
      </c>
      <c r="N2823" s="4">
        <f>IF(I2823&lt;=H2823,1,0)</f>
        <v/>
      </c>
      <c r="O2823" s="4">
        <f>IF(J2823&lt;=G2823,1,0)</f>
        <v/>
      </c>
      <c r="P2823" s="4">
        <f>MAX(0,I2823-H2823)</f>
        <v/>
      </c>
      <c r="Q2823" s="4">
        <f>MAX(0,J2823-G2823)</f>
        <v/>
      </c>
      <c r="R2823" s="4">
        <f>IF(AND(N2823=1,O2823=1),"On Track",IF(O2823=0,"Customer Delivery Late","Ship Late"))</f>
        <v/>
      </c>
    </row>
    <row r="2824">
      <c r="A2824" s="2" t="inlineStr">
        <is>
          <t>ORD-02823</t>
        </is>
      </c>
      <c r="B2824" s="2" t="inlineStr">
        <is>
          <t>Customer 05</t>
        </is>
      </c>
      <c r="C2824" s="2" t="inlineStr">
        <is>
          <t>Contactor</t>
        </is>
      </c>
      <c r="D2824" s="2" t="inlineStr">
        <is>
          <t>Plant C</t>
        </is>
      </c>
      <c r="E2824" s="2" t="inlineStr">
        <is>
          <t>Central</t>
        </is>
      </c>
      <c r="F2824" s="12" t="n">
        <v>46129</v>
      </c>
      <c r="G2824" s="12" t="n">
        <v>46143</v>
      </c>
      <c r="H2824" s="12" t="n">
        <v>46138</v>
      </c>
      <c r="I2824" s="12" t="n">
        <v>46138</v>
      </c>
      <c r="J2824" s="12" t="n">
        <v>46142</v>
      </c>
      <c r="K2824" s="2" t="n">
        <v>633</v>
      </c>
      <c r="L2824" s="2" t="inlineStr">
        <is>
          <t>Road</t>
        </is>
      </c>
      <c r="M2824" s="2" t="inlineStr">
        <is>
          <t>No Delay</t>
        </is>
      </c>
      <c r="N2824" s="4">
        <f>IF(I2824&lt;=H2824,1,0)</f>
        <v/>
      </c>
      <c r="O2824" s="4">
        <f>IF(J2824&lt;=G2824,1,0)</f>
        <v/>
      </c>
      <c r="P2824" s="4">
        <f>MAX(0,I2824-H2824)</f>
        <v/>
      </c>
      <c r="Q2824" s="4">
        <f>MAX(0,J2824-G2824)</f>
        <v/>
      </c>
      <c r="R2824" s="4">
        <f>IF(AND(N2824=1,O2824=1),"On Track",IF(O2824=0,"Customer Delivery Late","Ship Late"))</f>
        <v/>
      </c>
    </row>
    <row r="2825">
      <c r="A2825" s="2" t="inlineStr">
        <is>
          <t>ORD-02824</t>
        </is>
      </c>
      <c r="B2825" s="2" t="inlineStr">
        <is>
          <t>Customer 14</t>
        </is>
      </c>
      <c r="C2825" s="2" t="inlineStr">
        <is>
          <t>Contactor</t>
        </is>
      </c>
      <c r="D2825" s="2" t="inlineStr">
        <is>
          <t>Plant B</t>
        </is>
      </c>
      <c r="E2825" s="2" t="inlineStr">
        <is>
          <t>Export</t>
        </is>
      </c>
      <c r="F2825" s="12" t="n">
        <v>46203</v>
      </c>
      <c r="G2825" s="12" t="n">
        <v>46216</v>
      </c>
      <c r="H2825" s="12" t="n">
        <v>46215</v>
      </c>
      <c r="I2825" s="12" t="n">
        <v>46214</v>
      </c>
      <c r="J2825" s="12" t="n">
        <v>46215</v>
      </c>
      <c r="K2825" s="2" t="n">
        <v>1101</v>
      </c>
      <c r="L2825" s="2" t="inlineStr">
        <is>
          <t>Air</t>
        </is>
      </c>
      <c r="M2825" s="2" t="inlineStr">
        <is>
          <t>No Delay</t>
        </is>
      </c>
      <c r="N2825" s="4">
        <f>IF(I2825&lt;=H2825,1,0)</f>
        <v/>
      </c>
      <c r="O2825" s="4">
        <f>IF(J2825&lt;=G2825,1,0)</f>
        <v/>
      </c>
      <c r="P2825" s="4">
        <f>MAX(0,I2825-H2825)</f>
        <v/>
      </c>
      <c r="Q2825" s="4">
        <f>MAX(0,J2825-G2825)</f>
        <v/>
      </c>
      <c r="R2825" s="4">
        <f>IF(AND(N2825=1,O2825=1),"On Track",IF(O2825=0,"Customer Delivery Late","Ship Late"))</f>
        <v/>
      </c>
    </row>
    <row r="2826">
      <c r="A2826" s="2" t="inlineStr">
        <is>
          <t>ORD-02825</t>
        </is>
      </c>
      <c r="B2826" s="2" t="inlineStr">
        <is>
          <t>Customer 16</t>
        </is>
      </c>
      <c r="C2826" s="2" t="inlineStr">
        <is>
          <t>Breaker</t>
        </is>
      </c>
      <c r="D2826" s="2" t="inlineStr">
        <is>
          <t>Plant A</t>
        </is>
      </c>
      <c r="E2826" s="2" t="inlineStr">
        <is>
          <t>Central</t>
        </is>
      </c>
      <c r="F2826" s="12" t="n">
        <v>46187</v>
      </c>
      <c r="G2826" s="12" t="n">
        <v>46212</v>
      </c>
      <c r="H2826" s="12" t="n">
        <v>46210</v>
      </c>
      <c r="I2826" s="12" t="n">
        <v>46208</v>
      </c>
      <c r="J2826" s="12" t="n">
        <v>46211</v>
      </c>
      <c r="K2826" s="2" t="n">
        <v>52</v>
      </c>
      <c r="L2826" s="2" t="inlineStr">
        <is>
          <t>Air</t>
        </is>
      </c>
      <c r="M2826" s="2" t="inlineStr">
        <is>
          <t>No Delay</t>
        </is>
      </c>
      <c r="N2826" s="4">
        <f>IF(I2826&lt;=H2826,1,0)</f>
        <v/>
      </c>
      <c r="O2826" s="4">
        <f>IF(J2826&lt;=G2826,1,0)</f>
        <v/>
      </c>
      <c r="P2826" s="4">
        <f>MAX(0,I2826-H2826)</f>
        <v/>
      </c>
      <c r="Q2826" s="4">
        <f>MAX(0,J2826-G2826)</f>
        <v/>
      </c>
      <c r="R2826" s="4">
        <f>IF(AND(N2826=1,O2826=1),"On Track",IF(O2826=0,"Customer Delivery Late","Ship Late"))</f>
        <v/>
      </c>
    </row>
    <row r="2827">
      <c r="A2827" s="2" t="inlineStr">
        <is>
          <t>ORD-02826</t>
        </is>
      </c>
      <c r="B2827" s="2" t="inlineStr">
        <is>
          <t>Customer 05</t>
        </is>
      </c>
      <c r="C2827" s="2" t="inlineStr">
        <is>
          <t>Contactor</t>
        </is>
      </c>
      <c r="D2827" s="2" t="inlineStr">
        <is>
          <t>Plant A</t>
        </is>
      </c>
      <c r="E2827" s="2" t="inlineStr">
        <is>
          <t>Export</t>
        </is>
      </c>
      <c r="F2827" s="12" t="n">
        <v>46071</v>
      </c>
      <c r="G2827" s="12" t="n">
        <v>46096</v>
      </c>
      <c r="H2827" s="12" t="n">
        <v>46093</v>
      </c>
      <c r="I2827" s="12" t="n">
        <v>46092</v>
      </c>
      <c r="J2827" s="12" t="n">
        <v>46095</v>
      </c>
      <c r="K2827" s="2" t="n">
        <v>749</v>
      </c>
      <c r="L2827" s="2" t="inlineStr">
        <is>
          <t>Road</t>
        </is>
      </c>
      <c r="M2827" s="2" t="inlineStr">
        <is>
          <t>No Delay</t>
        </is>
      </c>
      <c r="N2827" s="4">
        <f>IF(I2827&lt;=H2827,1,0)</f>
        <v/>
      </c>
      <c r="O2827" s="4">
        <f>IF(J2827&lt;=G2827,1,0)</f>
        <v/>
      </c>
      <c r="P2827" s="4">
        <f>MAX(0,I2827-H2827)</f>
        <v/>
      </c>
      <c r="Q2827" s="4">
        <f>MAX(0,J2827-G2827)</f>
        <v/>
      </c>
      <c r="R2827" s="4">
        <f>IF(AND(N2827=1,O2827=1),"On Track",IF(O2827=0,"Customer Delivery Late","Ship Late"))</f>
        <v/>
      </c>
    </row>
    <row r="2828">
      <c r="A2828" s="2" t="inlineStr">
        <is>
          <t>ORD-02827</t>
        </is>
      </c>
      <c r="B2828" s="2" t="inlineStr">
        <is>
          <t>Customer 04</t>
        </is>
      </c>
      <c r="C2828" s="2" t="inlineStr">
        <is>
          <t>PLC</t>
        </is>
      </c>
      <c r="D2828" s="2" t="inlineStr">
        <is>
          <t>Plant A</t>
        </is>
      </c>
      <c r="E2828" s="2" t="inlineStr">
        <is>
          <t>Central</t>
        </is>
      </c>
      <c r="F2828" s="12" t="n">
        <v>46034</v>
      </c>
      <c r="G2828" s="12" t="n">
        <v>46039</v>
      </c>
      <c r="H2828" s="12" t="n">
        <v>46036</v>
      </c>
      <c r="I2828" s="12" t="n">
        <v>46034</v>
      </c>
      <c r="J2828" s="12" t="n">
        <v>46036</v>
      </c>
      <c r="K2828" s="2" t="n">
        <v>698</v>
      </c>
      <c r="L2828" s="2" t="inlineStr">
        <is>
          <t>Air</t>
        </is>
      </c>
      <c r="M2828" s="2" t="inlineStr">
        <is>
          <t>No Delay</t>
        </is>
      </c>
      <c r="N2828" s="4">
        <f>IF(I2828&lt;=H2828,1,0)</f>
        <v/>
      </c>
      <c r="O2828" s="4">
        <f>IF(J2828&lt;=G2828,1,0)</f>
        <v/>
      </c>
      <c r="P2828" s="4">
        <f>MAX(0,I2828-H2828)</f>
        <v/>
      </c>
      <c r="Q2828" s="4">
        <f>MAX(0,J2828-G2828)</f>
        <v/>
      </c>
      <c r="R2828" s="4">
        <f>IF(AND(N2828=1,O2828=1),"On Track",IF(O2828=0,"Customer Delivery Late","Ship Late"))</f>
        <v/>
      </c>
    </row>
    <row r="2829">
      <c r="A2829" s="2" t="inlineStr">
        <is>
          <t>ORD-02828</t>
        </is>
      </c>
      <c r="B2829" s="2" t="inlineStr">
        <is>
          <t>Customer 05</t>
        </is>
      </c>
      <c r="C2829" s="2" t="inlineStr">
        <is>
          <t>PLC</t>
        </is>
      </c>
      <c r="D2829" s="2" t="inlineStr">
        <is>
          <t>Plant C</t>
        </is>
      </c>
      <c r="E2829" s="2" t="inlineStr">
        <is>
          <t>South</t>
        </is>
      </c>
      <c r="F2829" s="12" t="n">
        <v>46108</v>
      </c>
      <c r="G2829" s="12" t="n">
        <v>46127</v>
      </c>
      <c r="H2829" s="12" t="n">
        <v>46122</v>
      </c>
      <c r="I2829" s="12" t="n">
        <v>46120</v>
      </c>
      <c r="J2829" s="12" t="n">
        <v>46125</v>
      </c>
      <c r="K2829" s="2" t="n">
        <v>876</v>
      </c>
      <c r="L2829" s="2" t="inlineStr">
        <is>
          <t>Sea</t>
        </is>
      </c>
      <c r="M2829" s="2" t="inlineStr">
        <is>
          <t>No Delay</t>
        </is>
      </c>
      <c r="N2829" s="4">
        <f>IF(I2829&lt;=H2829,1,0)</f>
        <v/>
      </c>
      <c r="O2829" s="4">
        <f>IF(J2829&lt;=G2829,1,0)</f>
        <v/>
      </c>
      <c r="P2829" s="4">
        <f>MAX(0,I2829-H2829)</f>
        <v/>
      </c>
      <c r="Q2829" s="4">
        <f>MAX(0,J2829-G2829)</f>
        <v/>
      </c>
      <c r="R2829" s="4">
        <f>IF(AND(N2829=1,O2829=1),"On Track",IF(O2829=0,"Customer Delivery Late","Ship Late"))</f>
        <v/>
      </c>
    </row>
    <row r="2830">
      <c r="A2830" s="2" t="inlineStr">
        <is>
          <t>ORD-02829</t>
        </is>
      </c>
      <c r="B2830" s="2" t="inlineStr">
        <is>
          <t>Customer 27</t>
        </is>
      </c>
      <c r="C2830" s="2" t="inlineStr">
        <is>
          <t>Switchgear</t>
        </is>
      </c>
      <c r="D2830" s="2" t="inlineStr">
        <is>
          <t>Plant B</t>
        </is>
      </c>
      <c r="E2830" s="2" t="inlineStr">
        <is>
          <t>Export</t>
        </is>
      </c>
      <c r="F2830" s="12" t="n">
        <v>46141</v>
      </c>
      <c r="G2830" s="12" t="n">
        <v>46150</v>
      </c>
      <c r="H2830" s="12" t="n">
        <v>46149</v>
      </c>
      <c r="I2830" s="12" t="n">
        <v>46147</v>
      </c>
      <c r="J2830" s="12" t="n">
        <v>46149</v>
      </c>
      <c r="K2830" s="2" t="n">
        <v>985</v>
      </c>
      <c r="L2830" s="2" t="inlineStr">
        <is>
          <t>Sea</t>
        </is>
      </c>
      <c r="M2830" s="2" t="inlineStr">
        <is>
          <t>No Delay</t>
        </is>
      </c>
      <c r="N2830" s="4">
        <f>IF(I2830&lt;=H2830,1,0)</f>
        <v/>
      </c>
      <c r="O2830" s="4">
        <f>IF(J2830&lt;=G2830,1,0)</f>
        <v/>
      </c>
      <c r="P2830" s="4">
        <f>MAX(0,I2830-H2830)</f>
        <v/>
      </c>
      <c r="Q2830" s="4">
        <f>MAX(0,J2830-G2830)</f>
        <v/>
      </c>
      <c r="R2830" s="4">
        <f>IF(AND(N2830=1,O2830=1),"On Track",IF(O2830=0,"Customer Delivery Late","Ship Late"))</f>
        <v/>
      </c>
    </row>
    <row r="2831">
      <c r="A2831" s="2" t="inlineStr">
        <is>
          <t>ORD-02830</t>
        </is>
      </c>
      <c r="B2831" s="2" t="inlineStr">
        <is>
          <t>Customer 07</t>
        </is>
      </c>
      <c r="C2831" s="2" t="inlineStr">
        <is>
          <t>Contactor</t>
        </is>
      </c>
      <c r="D2831" s="2" t="inlineStr">
        <is>
          <t>Plant C</t>
        </is>
      </c>
      <c r="E2831" s="2" t="inlineStr">
        <is>
          <t>Central</t>
        </is>
      </c>
      <c r="F2831" s="12" t="n">
        <v>46135</v>
      </c>
      <c r="G2831" s="12" t="n">
        <v>46151</v>
      </c>
      <c r="H2831" s="12" t="n">
        <v>46150</v>
      </c>
      <c r="I2831" s="12" t="n">
        <v>46149</v>
      </c>
      <c r="J2831" s="12" t="n">
        <v>46150</v>
      </c>
      <c r="K2831" s="2" t="n">
        <v>1268</v>
      </c>
      <c r="L2831" s="2" t="inlineStr">
        <is>
          <t>Air</t>
        </is>
      </c>
      <c r="M2831" s="2" t="inlineStr">
        <is>
          <t>No Delay</t>
        </is>
      </c>
      <c r="N2831" s="4">
        <f>IF(I2831&lt;=H2831,1,0)</f>
        <v/>
      </c>
      <c r="O2831" s="4">
        <f>IF(J2831&lt;=G2831,1,0)</f>
        <v/>
      </c>
      <c r="P2831" s="4">
        <f>MAX(0,I2831-H2831)</f>
        <v/>
      </c>
      <c r="Q2831" s="4">
        <f>MAX(0,J2831-G2831)</f>
        <v/>
      </c>
      <c r="R2831" s="4">
        <f>IF(AND(N2831=1,O2831=1),"On Track",IF(O2831=0,"Customer Delivery Late","Ship Late"))</f>
        <v/>
      </c>
    </row>
    <row r="2832">
      <c r="A2832" s="2" t="inlineStr">
        <is>
          <t>ORD-02831</t>
        </is>
      </c>
      <c r="B2832" s="2" t="inlineStr">
        <is>
          <t>Customer 12</t>
        </is>
      </c>
      <c r="C2832" s="2" t="inlineStr">
        <is>
          <t>Contactor</t>
        </is>
      </c>
      <c r="D2832" s="2" t="inlineStr">
        <is>
          <t>Plant C</t>
        </is>
      </c>
      <c r="E2832" s="2" t="inlineStr">
        <is>
          <t>South</t>
        </is>
      </c>
      <c r="F2832" s="12" t="n">
        <v>46187</v>
      </c>
      <c r="G2832" s="12" t="n">
        <v>46212</v>
      </c>
      <c r="H2832" s="12" t="n">
        <v>46210</v>
      </c>
      <c r="I2832" s="12" t="n">
        <v>46210</v>
      </c>
      <c r="J2832" s="12" t="n">
        <v>46212</v>
      </c>
      <c r="K2832" s="2" t="n">
        <v>663</v>
      </c>
      <c r="L2832" s="2" t="inlineStr">
        <is>
          <t>Air</t>
        </is>
      </c>
      <c r="M2832" s="2" t="inlineStr">
        <is>
          <t>No Delay</t>
        </is>
      </c>
      <c r="N2832" s="4">
        <f>IF(I2832&lt;=H2832,1,0)</f>
        <v/>
      </c>
      <c r="O2832" s="4">
        <f>IF(J2832&lt;=G2832,1,0)</f>
        <v/>
      </c>
      <c r="P2832" s="4">
        <f>MAX(0,I2832-H2832)</f>
        <v/>
      </c>
      <c r="Q2832" s="4">
        <f>MAX(0,J2832-G2832)</f>
        <v/>
      </c>
      <c r="R2832" s="4">
        <f>IF(AND(N2832=1,O2832=1),"On Track",IF(O2832=0,"Customer Delivery Late","Ship Late"))</f>
        <v/>
      </c>
    </row>
    <row r="2833">
      <c r="A2833" s="2" t="inlineStr">
        <is>
          <t>ORD-02832</t>
        </is>
      </c>
      <c r="B2833" s="2" t="inlineStr">
        <is>
          <t>Customer 18</t>
        </is>
      </c>
      <c r="C2833" s="2" t="inlineStr">
        <is>
          <t>Breaker</t>
        </is>
      </c>
      <c r="D2833" s="2" t="inlineStr">
        <is>
          <t>Plant B</t>
        </is>
      </c>
      <c r="E2833" s="2" t="inlineStr">
        <is>
          <t>Export</t>
        </is>
      </c>
      <c r="F2833" s="12" t="n">
        <v>46151</v>
      </c>
      <c r="G2833" s="12" t="n">
        <v>46169</v>
      </c>
      <c r="H2833" s="12" t="n">
        <v>46164</v>
      </c>
      <c r="I2833" s="12" t="n">
        <v>46162</v>
      </c>
      <c r="J2833" s="12" t="n">
        <v>46167</v>
      </c>
      <c r="K2833" s="2" t="n">
        <v>648</v>
      </c>
      <c r="L2833" s="2" t="inlineStr">
        <is>
          <t>Sea</t>
        </is>
      </c>
      <c r="M2833" s="2" t="inlineStr">
        <is>
          <t>No Delay</t>
        </is>
      </c>
      <c r="N2833" s="4">
        <f>IF(I2833&lt;=H2833,1,0)</f>
        <v/>
      </c>
      <c r="O2833" s="4">
        <f>IF(J2833&lt;=G2833,1,0)</f>
        <v/>
      </c>
      <c r="P2833" s="4">
        <f>MAX(0,I2833-H2833)</f>
        <v/>
      </c>
      <c r="Q2833" s="4">
        <f>MAX(0,J2833-G2833)</f>
        <v/>
      </c>
      <c r="R2833" s="4">
        <f>IF(AND(N2833=1,O2833=1),"On Track",IF(O2833=0,"Customer Delivery Late","Ship Late"))</f>
        <v/>
      </c>
    </row>
    <row r="2834">
      <c r="A2834" s="2" t="inlineStr">
        <is>
          <t>ORD-02833</t>
        </is>
      </c>
      <c r="B2834" s="2" t="inlineStr">
        <is>
          <t>Customer 17</t>
        </is>
      </c>
      <c r="C2834" s="2" t="inlineStr">
        <is>
          <t>Drive</t>
        </is>
      </c>
      <c r="D2834" s="2" t="inlineStr">
        <is>
          <t>Plant C</t>
        </is>
      </c>
      <c r="E2834" s="2" t="inlineStr">
        <is>
          <t>Central</t>
        </is>
      </c>
      <c r="F2834" s="12" t="n">
        <v>46196</v>
      </c>
      <c r="G2834" s="12" t="n">
        <v>46202</v>
      </c>
      <c r="H2834" s="12" t="n">
        <v>46200</v>
      </c>
      <c r="I2834" s="12" t="n">
        <v>46198</v>
      </c>
      <c r="J2834" s="12" t="n">
        <v>46200</v>
      </c>
      <c r="K2834" s="2" t="n">
        <v>1174</v>
      </c>
      <c r="L2834" s="2" t="inlineStr">
        <is>
          <t>Road</t>
        </is>
      </c>
      <c r="M2834" s="2" t="inlineStr">
        <is>
          <t>No Delay</t>
        </is>
      </c>
      <c r="N2834" s="4">
        <f>IF(I2834&lt;=H2834,1,0)</f>
        <v/>
      </c>
      <c r="O2834" s="4">
        <f>IF(J2834&lt;=G2834,1,0)</f>
        <v/>
      </c>
      <c r="P2834" s="4">
        <f>MAX(0,I2834-H2834)</f>
        <v/>
      </c>
      <c r="Q2834" s="4">
        <f>MAX(0,J2834-G2834)</f>
        <v/>
      </c>
      <c r="R2834" s="4">
        <f>IF(AND(N2834=1,O2834=1),"On Track",IF(O2834=0,"Customer Delivery Late","Ship Late"))</f>
        <v/>
      </c>
    </row>
    <row r="2835">
      <c r="A2835" s="2" t="inlineStr">
        <is>
          <t>ORD-02834</t>
        </is>
      </c>
      <c r="B2835" s="2" t="inlineStr">
        <is>
          <t>Customer 09</t>
        </is>
      </c>
      <c r="C2835" s="2" t="inlineStr">
        <is>
          <t>Sensor</t>
        </is>
      </c>
      <c r="D2835" s="2" t="inlineStr">
        <is>
          <t>Plant C</t>
        </is>
      </c>
      <c r="E2835" s="2" t="inlineStr">
        <is>
          <t>Central</t>
        </is>
      </c>
      <c r="F2835" s="12" t="n">
        <v>46161</v>
      </c>
      <c r="G2835" s="12" t="n">
        <v>46186</v>
      </c>
      <c r="H2835" s="12" t="n">
        <v>46183</v>
      </c>
      <c r="I2835" s="12" t="n">
        <v>46182</v>
      </c>
      <c r="J2835" s="12" t="n">
        <v>46184</v>
      </c>
      <c r="K2835" s="2" t="n">
        <v>492</v>
      </c>
      <c r="L2835" s="2" t="inlineStr">
        <is>
          <t>Sea</t>
        </is>
      </c>
      <c r="M2835" s="2" t="inlineStr">
        <is>
          <t>No Delay</t>
        </is>
      </c>
      <c r="N2835" s="4">
        <f>IF(I2835&lt;=H2835,1,0)</f>
        <v/>
      </c>
      <c r="O2835" s="4">
        <f>IF(J2835&lt;=G2835,1,0)</f>
        <v/>
      </c>
      <c r="P2835" s="4">
        <f>MAX(0,I2835-H2835)</f>
        <v/>
      </c>
      <c r="Q2835" s="4">
        <f>MAX(0,J2835-G2835)</f>
        <v/>
      </c>
      <c r="R2835" s="4">
        <f>IF(AND(N2835=1,O2835=1),"On Track",IF(O2835=0,"Customer Delivery Late","Ship Late"))</f>
        <v/>
      </c>
    </row>
    <row r="2836">
      <c r="A2836" s="2" t="inlineStr">
        <is>
          <t>ORD-02835</t>
        </is>
      </c>
      <c r="B2836" s="2" t="inlineStr">
        <is>
          <t>Customer 08</t>
        </is>
      </c>
      <c r="C2836" s="2" t="inlineStr">
        <is>
          <t>Drive</t>
        </is>
      </c>
      <c r="D2836" s="2" t="inlineStr">
        <is>
          <t>Plant B</t>
        </is>
      </c>
      <c r="E2836" s="2" t="inlineStr">
        <is>
          <t>Export</t>
        </is>
      </c>
      <c r="F2836" s="12" t="n">
        <v>46069</v>
      </c>
      <c r="G2836" s="12" t="n">
        <v>46088</v>
      </c>
      <c r="H2836" s="12" t="n">
        <v>46087</v>
      </c>
      <c r="I2836" s="12" t="n">
        <v>46086</v>
      </c>
      <c r="J2836" s="12" t="n">
        <v>46087</v>
      </c>
      <c r="K2836" s="2" t="n">
        <v>27</v>
      </c>
      <c r="L2836" s="2" t="inlineStr">
        <is>
          <t>Road</t>
        </is>
      </c>
      <c r="M2836" s="2" t="inlineStr">
        <is>
          <t>No Delay</t>
        </is>
      </c>
      <c r="N2836" s="4">
        <f>IF(I2836&lt;=H2836,1,0)</f>
        <v/>
      </c>
      <c r="O2836" s="4">
        <f>IF(J2836&lt;=G2836,1,0)</f>
        <v/>
      </c>
      <c r="P2836" s="4">
        <f>MAX(0,I2836-H2836)</f>
        <v/>
      </c>
      <c r="Q2836" s="4">
        <f>MAX(0,J2836-G2836)</f>
        <v/>
      </c>
      <c r="R2836" s="4">
        <f>IF(AND(N2836=1,O2836=1),"On Track",IF(O2836=0,"Customer Delivery Late","Ship Late"))</f>
        <v/>
      </c>
    </row>
    <row r="2837">
      <c r="A2837" s="2" t="inlineStr">
        <is>
          <t>ORD-02836</t>
        </is>
      </c>
      <c r="B2837" s="2" t="inlineStr">
        <is>
          <t>Customer 06</t>
        </is>
      </c>
      <c r="C2837" s="2" t="inlineStr">
        <is>
          <t>Breaker</t>
        </is>
      </c>
      <c r="D2837" s="2" t="inlineStr">
        <is>
          <t>Plant C</t>
        </is>
      </c>
      <c r="E2837" s="2" t="inlineStr">
        <is>
          <t>South</t>
        </is>
      </c>
      <c r="F2837" s="12" t="n">
        <v>46036</v>
      </c>
      <c r="G2837" s="12" t="n">
        <v>46055</v>
      </c>
      <c r="H2837" s="12" t="n">
        <v>46054</v>
      </c>
      <c r="I2837" s="12" t="n">
        <v>46052</v>
      </c>
      <c r="J2837" s="12" t="n">
        <v>46054</v>
      </c>
      <c r="K2837" s="2" t="n">
        <v>745</v>
      </c>
      <c r="L2837" s="2" t="inlineStr">
        <is>
          <t>Sea</t>
        </is>
      </c>
      <c r="M2837" s="2" t="inlineStr">
        <is>
          <t>No Delay</t>
        </is>
      </c>
      <c r="N2837" s="4">
        <f>IF(I2837&lt;=H2837,1,0)</f>
        <v/>
      </c>
      <c r="O2837" s="4">
        <f>IF(J2837&lt;=G2837,1,0)</f>
        <v/>
      </c>
      <c r="P2837" s="4">
        <f>MAX(0,I2837-H2837)</f>
        <v/>
      </c>
      <c r="Q2837" s="4">
        <f>MAX(0,J2837-G2837)</f>
        <v/>
      </c>
      <c r="R2837" s="4">
        <f>IF(AND(N2837=1,O2837=1),"On Track",IF(O2837=0,"Customer Delivery Late","Ship Late"))</f>
        <v/>
      </c>
    </row>
    <row r="2838">
      <c r="A2838" s="2" t="inlineStr">
        <is>
          <t>ORD-02837</t>
        </is>
      </c>
      <c r="B2838" s="2" t="inlineStr">
        <is>
          <t>Customer 25</t>
        </is>
      </c>
      <c r="C2838" s="2" t="inlineStr">
        <is>
          <t>Breaker</t>
        </is>
      </c>
      <c r="D2838" s="2" t="inlineStr">
        <is>
          <t>Plant B</t>
        </is>
      </c>
      <c r="E2838" s="2" t="inlineStr">
        <is>
          <t>Export</t>
        </is>
      </c>
      <c r="F2838" s="12" t="n">
        <v>46189</v>
      </c>
      <c r="G2838" s="12" t="n">
        <v>46205</v>
      </c>
      <c r="H2838" s="12" t="n">
        <v>46202</v>
      </c>
      <c r="I2838" s="12" t="n">
        <v>46202</v>
      </c>
      <c r="J2838" s="12" t="n">
        <v>46205</v>
      </c>
      <c r="K2838" s="2" t="n">
        <v>943</v>
      </c>
      <c r="L2838" s="2" t="inlineStr">
        <is>
          <t>Air</t>
        </is>
      </c>
      <c r="M2838" s="2" t="inlineStr">
        <is>
          <t>No Delay</t>
        </is>
      </c>
      <c r="N2838" s="4">
        <f>IF(I2838&lt;=H2838,1,0)</f>
        <v/>
      </c>
      <c r="O2838" s="4">
        <f>IF(J2838&lt;=G2838,1,0)</f>
        <v/>
      </c>
      <c r="P2838" s="4">
        <f>MAX(0,I2838-H2838)</f>
        <v/>
      </c>
      <c r="Q2838" s="4">
        <f>MAX(0,J2838-G2838)</f>
        <v/>
      </c>
      <c r="R2838" s="4">
        <f>IF(AND(N2838=1,O2838=1),"On Track",IF(O2838=0,"Customer Delivery Late","Ship Late"))</f>
        <v/>
      </c>
    </row>
    <row r="2839">
      <c r="A2839" s="2" t="inlineStr">
        <is>
          <t>ORD-02838</t>
        </is>
      </c>
      <c r="B2839" s="2" t="inlineStr">
        <is>
          <t>Customer 26</t>
        </is>
      </c>
      <c r="C2839" s="2" t="inlineStr">
        <is>
          <t>Contactor</t>
        </is>
      </c>
      <c r="D2839" s="2" t="inlineStr">
        <is>
          <t>Plant A</t>
        </is>
      </c>
      <c r="E2839" s="2" t="inlineStr">
        <is>
          <t>North</t>
        </is>
      </c>
      <c r="F2839" s="12" t="n">
        <v>46201</v>
      </c>
      <c r="G2839" s="12" t="n">
        <v>46222</v>
      </c>
      <c r="H2839" s="12" t="n">
        <v>46217</v>
      </c>
      <c r="I2839" s="12" t="n">
        <v>46217</v>
      </c>
      <c r="J2839" s="12" t="n">
        <v>46222</v>
      </c>
      <c r="K2839" s="2" t="n">
        <v>942</v>
      </c>
      <c r="L2839" s="2" t="inlineStr">
        <is>
          <t>Road</t>
        </is>
      </c>
      <c r="M2839" s="2" t="inlineStr">
        <is>
          <t>No Delay</t>
        </is>
      </c>
      <c r="N2839" s="4">
        <f>IF(I2839&lt;=H2839,1,0)</f>
        <v/>
      </c>
      <c r="O2839" s="4">
        <f>IF(J2839&lt;=G2839,1,0)</f>
        <v/>
      </c>
      <c r="P2839" s="4">
        <f>MAX(0,I2839-H2839)</f>
        <v/>
      </c>
      <c r="Q2839" s="4">
        <f>MAX(0,J2839-G2839)</f>
        <v/>
      </c>
      <c r="R2839" s="4">
        <f>IF(AND(N2839=1,O2839=1),"On Track",IF(O2839=0,"Customer Delivery Late","Ship Late"))</f>
        <v/>
      </c>
    </row>
    <row r="2840">
      <c r="A2840" s="2" t="inlineStr">
        <is>
          <t>ORD-02839</t>
        </is>
      </c>
      <c r="B2840" s="2" t="inlineStr">
        <is>
          <t>Customer 03</t>
        </is>
      </c>
      <c r="C2840" s="2" t="inlineStr">
        <is>
          <t>Contactor</t>
        </is>
      </c>
      <c r="D2840" s="2" t="inlineStr">
        <is>
          <t>Plant A</t>
        </is>
      </c>
      <c r="E2840" s="2" t="inlineStr">
        <is>
          <t>South</t>
        </is>
      </c>
      <c r="F2840" s="12" t="n">
        <v>46196</v>
      </c>
      <c r="G2840" s="12" t="n">
        <v>46201</v>
      </c>
      <c r="H2840" s="12" t="n">
        <v>46198</v>
      </c>
      <c r="I2840" s="12" t="n">
        <v>46198</v>
      </c>
      <c r="J2840" s="12" t="n">
        <v>46201</v>
      </c>
      <c r="K2840" s="2" t="n">
        <v>834</v>
      </c>
      <c r="L2840" s="2" t="inlineStr">
        <is>
          <t>Road</t>
        </is>
      </c>
      <c r="M2840" s="2" t="inlineStr">
        <is>
          <t>No Delay</t>
        </is>
      </c>
      <c r="N2840" s="4">
        <f>IF(I2840&lt;=H2840,1,0)</f>
        <v/>
      </c>
      <c r="O2840" s="4">
        <f>IF(J2840&lt;=G2840,1,0)</f>
        <v/>
      </c>
      <c r="P2840" s="4">
        <f>MAX(0,I2840-H2840)</f>
        <v/>
      </c>
      <c r="Q2840" s="4">
        <f>MAX(0,J2840-G2840)</f>
        <v/>
      </c>
      <c r="R2840" s="4">
        <f>IF(AND(N2840=1,O2840=1),"On Track",IF(O2840=0,"Customer Delivery Late","Ship Late"))</f>
        <v/>
      </c>
    </row>
    <row r="2841">
      <c r="A2841" s="2" t="inlineStr">
        <is>
          <t>ORD-02840</t>
        </is>
      </c>
      <c r="B2841" s="2" t="inlineStr">
        <is>
          <t>Customer 29</t>
        </is>
      </c>
      <c r="C2841" s="2" t="inlineStr">
        <is>
          <t>Breaker</t>
        </is>
      </c>
      <c r="D2841" s="2" t="inlineStr">
        <is>
          <t>Plant C</t>
        </is>
      </c>
      <c r="E2841" s="2" t="inlineStr">
        <is>
          <t>South</t>
        </is>
      </c>
      <c r="F2841" s="12" t="n">
        <v>46199</v>
      </c>
      <c r="G2841" s="12" t="n">
        <v>46218</v>
      </c>
      <c r="H2841" s="12" t="n">
        <v>46215</v>
      </c>
      <c r="I2841" s="12" t="n">
        <v>46215</v>
      </c>
      <c r="J2841" s="12" t="n">
        <v>46218</v>
      </c>
      <c r="K2841" s="2" t="n">
        <v>1140</v>
      </c>
      <c r="L2841" s="2" t="inlineStr">
        <is>
          <t>Air</t>
        </is>
      </c>
      <c r="M2841" s="2" t="inlineStr">
        <is>
          <t>No Delay</t>
        </is>
      </c>
      <c r="N2841" s="4">
        <f>IF(I2841&lt;=H2841,1,0)</f>
        <v/>
      </c>
      <c r="O2841" s="4">
        <f>IF(J2841&lt;=G2841,1,0)</f>
        <v/>
      </c>
      <c r="P2841" s="4">
        <f>MAX(0,I2841-H2841)</f>
        <v/>
      </c>
      <c r="Q2841" s="4">
        <f>MAX(0,J2841-G2841)</f>
        <v/>
      </c>
      <c r="R2841" s="4">
        <f>IF(AND(N2841=1,O2841=1),"On Track",IF(O2841=0,"Customer Delivery Late","Ship Late"))</f>
        <v/>
      </c>
    </row>
    <row r="2842">
      <c r="A2842" s="2" t="inlineStr">
        <is>
          <t>ORD-02841</t>
        </is>
      </c>
      <c r="B2842" s="2" t="inlineStr">
        <is>
          <t>Customer 05</t>
        </is>
      </c>
      <c r="C2842" s="2" t="inlineStr">
        <is>
          <t>Sensor</t>
        </is>
      </c>
      <c r="D2842" s="2" t="inlineStr">
        <is>
          <t>Plant B</t>
        </is>
      </c>
      <c r="E2842" s="2" t="inlineStr">
        <is>
          <t>Export</t>
        </is>
      </c>
      <c r="F2842" s="12" t="n">
        <v>46127</v>
      </c>
      <c r="G2842" s="12" t="n">
        <v>46147</v>
      </c>
      <c r="H2842" s="12" t="n">
        <v>46146</v>
      </c>
      <c r="I2842" s="12" t="n">
        <v>46145</v>
      </c>
      <c r="J2842" s="12" t="n">
        <v>46146</v>
      </c>
      <c r="K2842" s="2" t="n">
        <v>131</v>
      </c>
      <c r="L2842" s="2" t="inlineStr">
        <is>
          <t>Sea</t>
        </is>
      </c>
      <c r="M2842" s="2" t="inlineStr">
        <is>
          <t>No Delay</t>
        </is>
      </c>
      <c r="N2842" s="4">
        <f>IF(I2842&lt;=H2842,1,0)</f>
        <v/>
      </c>
      <c r="O2842" s="4">
        <f>IF(J2842&lt;=G2842,1,0)</f>
        <v/>
      </c>
      <c r="P2842" s="4">
        <f>MAX(0,I2842-H2842)</f>
        <v/>
      </c>
      <c r="Q2842" s="4">
        <f>MAX(0,J2842-G2842)</f>
        <v/>
      </c>
      <c r="R2842" s="4">
        <f>IF(AND(N2842=1,O2842=1),"On Track",IF(O2842=0,"Customer Delivery Late","Ship Late"))</f>
        <v/>
      </c>
    </row>
    <row r="2843">
      <c r="A2843" s="2" t="inlineStr">
        <is>
          <t>ORD-02842</t>
        </is>
      </c>
      <c r="B2843" s="2" t="inlineStr">
        <is>
          <t>Customer 17</t>
        </is>
      </c>
      <c r="C2843" s="2" t="inlineStr">
        <is>
          <t>Switchgear</t>
        </is>
      </c>
      <c r="D2843" s="2" t="inlineStr">
        <is>
          <t>Plant B</t>
        </is>
      </c>
      <c r="E2843" s="2" t="inlineStr">
        <is>
          <t>North</t>
        </is>
      </c>
      <c r="F2843" s="12" t="n">
        <v>46089</v>
      </c>
      <c r="G2843" s="12" t="n">
        <v>46112</v>
      </c>
      <c r="H2843" s="12" t="n">
        <v>46107</v>
      </c>
      <c r="I2843" s="12" t="n">
        <v>46105</v>
      </c>
      <c r="J2843" s="12" t="n">
        <v>46109</v>
      </c>
      <c r="K2843" s="2" t="n">
        <v>482</v>
      </c>
      <c r="L2843" s="2" t="inlineStr">
        <is>
          <t>Road</t>
        </is>
      </c>
      <c r="M2843" s="2" t="inlineStr">
        <is>
          <t>No Delay</t>
        </is>
      </c>
      <c r="N2843" s="4">
        <f>IF(I2843&lt;=H2843,1,0)</f>
        <v/>
      </c>
      <c r="O2843" s="4">
        <f>IF(J2843&lt;=G2843,1,0)</f>
        <v/>
      </c>
      <c r="P2843" s="4">
        <f>MAX(0,I2843-H2843)</f>
        <v/>
      </c>
      <c r="Q2843" s="4">
        <f>MAX(0,J2843-G2843)</f>
        <v/>
      </c>
      <c r="R2843" s="4">
        <f>IF(AND(N2843=1,O2843=1),"On Track",IF(O2843=0,"Customer Delivery Late","Ship Late"))</f>
        <v/>
      </c>
    </row>
    <row r="2844">
      <c r="A2844" s="2" t="inlineStr">
        <is>
          <t>ORD-02843</t>
        </is>
      </c>
      <c r="B2844" s="2" t="inlineStr">
        <is>
          <t>Customer 25</t>
        </is>
      </c>
      <c r="C2844" s="2" t="inlineStr">
        <is>
          <t>Breaker</t>
        </is>
      </c>
      <c r="D2844" s="2" t="inlineStr">
        <is>
          <t>Plant B</t>
        </is>
      </c>
      <c r="E2844" s="2" t="inlineStr">
        <is>
          <t>Central</t>
        </is>
      </c>
      <c r="F2844" s="12" t="n">
        <v>46063</v>
      </c>
      <c r="G2844" s="12" t="n">
        <v>46078</v>
      </c>
      <c r="H2844" s="12" t="n">
        <v>46074</v>
      </c>
      <c r="I2844" s="12" t="n">
        <v>46074</v>
      </c>
      <c r="J2844" s="12" t="n">
        <v>46078</v>
      </c>
      <c r="K2844" s="2" t="n">
        <v>285</v>
      </c>
      <c r="L2844" s="2" t="inlineStr">
        <is>
          <t>Air</t>
        </is>
      </c>
      <c r="M2844" s="2" t="inlineStr">
        <is>
          <t>No Delay</t>
        </is>
      </c>
      <c r="N2844" s="4">
        <f>IF(I2844&lt;=H2844,1,0)</f>
        <v/>
      </c>
      <c r="O2844" s="4">
        <f>IF(J2844&lt;=G2844,1,0)</f>
        <v/>
      </c>
      <c r="P2844" s="4">
        <f>MAX(0,I2844-H2844)</f>
        <v/>
      </c>
      <c r="Q2844" s="4">
        <f>MAX(0,J2844-G2844)</f>
        <v/>
      </c>
      <c r="R2844" s="4">
        <f>IF(AND(N2844=1,O2844=1),"On Track",IF(O2844=0,"Customer Delivery Late","Ship Late"))</f>
        <v/>
      </c>
    </row>
    <row r="2845">
      <c r="A2845" s="2" t="inlineStr">
        <is>
          <t>ORD-02844</t>
        </is>
      </c>
      <c r="B2845" s="2" t="inlineStr">
        <is>
          <t>Customer 26</t>
        </is>
      </c>
      <c r="C2845" s="2" t="inlineStr">
        <is>
          <t>Breaker</t>
        </is>
      </c>
      <c r="D2845" s="2" t="inlineStr">
        <is>
          <t>Plant A</t>
        </is>
      </c>
      <c r="E2845" s="2" t="inlineStr">
        <is>
          <t>North</t>
        </is>
      </c>
      <c r="F2845" s="12" t="n">
        <v>46119</v>
      </c>
      <c r="G2845" s="12" t="n">
        <v>46137</v>
      </c>
      <c r="H2845" s="12" t="n">
        <v>46132</v>
      </c>
      <c r="I2845" s="12" t="n">
        <v>46132</v>
      </c>
      <c r="J2845" s="12" t="n">
        <v>46137</v>
      </c>
      <c r="K2845" s="2" t="n">
        <v>544</v>
      </c>
      <c r="L2845" s="2" t="inlineStr">
        <is>
          <t>Road</t>
        </is>
      </c>
      <c r="M2845" s="2" t="inlineStr">
        <is>
          <t>No Delay</t>
        </is>
      </c>
      <c r="N2845" s="4">
        <f>IF(I2845&lt;=H2845,1,0)</f>
        <v/>
      </c>
      <c r="O2845" s="4">
        <f>IF(J2845&lt;=G2845,1,0)</f>
        <v/>
      </c>
      <c r="P2845" s="4">
        <f>MAX(0,I2845-H2845)</f>
        <v/>
      </c>
      <c r="Q2845" s="4">
        <f>MAX(0,J2845-G2845)</f>
        <v/>
      </c>
      <c r="R2845" s="4">
        <f>IF(AND(N2845=1,O2845=1),"On Track",IF(O2845=0,"Customer Delivery Late","Ship Late"))</f>
        <v/>
      </c>
    </row>
    <row r="2846">
      <c r="A2846" s="2" t="inlineStr">
        <is>
          <t>ORD-02845</t>
        </is>
      </c>
      <c r="B2846" s="2" t="inlineStr">
        <is>
          <t>Customer 19</t>
        </is>
      </c>
      <c r="C2846" s="2" t="inlineStr">
        <is>
          <t>Relay</t>
        </is>
      </c>
      <c r="D2846" s="2" t="inlineStr">
        <is>
          <t>Plant B</t>
        </is>
      </c>
      <c r="E2846" s="2" t="inlineStr">
        <is>
          <t>Export</t>
        </is>
      </c>
      <c r="F2846" s="12" t="n">
        <v>46154</v>
      </c>
      <c r="G2846" s="12" t="n">
        <v>46162</v>
      </c>
      <c r="H2846" s="12" t="n">
        <v>46158</v>
      </c>
      <c r="I2846" s="12" t="n">
        <v>46158</v>
      </c>
      <c r="J2846" s="12" t="n">
        <v>46162</v>
      </c>
      <c r="K2846" s="2" t="n">
        <v>55</v>
      </c>
      <c r="L2846" s="2" t="inlineStr">
        <is>
          <t>Air</t>
        </is>
      </c>
      <c r="M2846" s="2" t="inlineStr">
        <is>
          <t>No Delay</t>
        </is>
      </c>
      <c r="N2846" s="4">
        <f>IF(I2846&lt;=H2846,1,0)</f>
        <v/>
      </c>
      <c r="O2846" s="4">
        <f>IF(J2846&lt;=G2846,1,0)</f>
        <v/>
      </c>
      <c r="P2846" s="4">
        <f>MAX(0,I2846-H2846)</f>
        <v/>
      </c>
      <c r="Q2846" s="4">
        <f>MAX(0,J2846-G2846)</f>
        <v/>
      </c>
      <c r="R2846" s="4">
        <f>IF(AND(N2846=1,O2846=1),"On Track",IF(O2846=0,"Customer Delivery Late","Ship Late"))</f>
        <v/>
      </c>
    </row>
    <row r="2847">
      <c r="A2847" s="2" t="inlineStr">
        <is>
          <t>ORD-02846</t>
        </is>
      </c>
      <c r="B2847" s="2" t="inlineStr">
        <is>
          <t>Customer 14</t>
        </is>
      </c>
      <c r="C2847" s="2" t="inlineStr">
        <is>
          <t>Sensor</t>
        </is>
      </c>
      <c r="D2847" s="2" t="inlineStr">
        <is>
          <t>Plant A</t>
        </is>
      </c>
      <c r="E2847" s="2" t="inlineStr">
        <is>
          <t>Central</t>
        </is>
      </c>
      <c r="F2847" s="12" t="n">
        <v>46158</v>
      </c>
      <c r="G2847" s="12" t="n">
        <v>46166</v>
      </c>
      <c r="H2847" s="12" t="n">
        <v>46165</v>
      </c>
      <c r="I2847" s="12" t="n">
        <v>46165</v>
      </c>
      <c r="J2847" s="12" t="n">
        <v>46166</v>
      </c>
      <c r="K2847" s="2" t="n">
        <v>516</v>
      </c>
      <c r="L2847" s="2" t="inlineStr">
        <is>
          <t>Road</t>
        </is>
      </c>
      <c r="M2847" s="2" t="inlineStr">
        <is>
          <t>No Delay</t>
        </is>
      </c>
      <c r="N2847" s="4">
        <f>IF(I2847&lt;=H2847,1,0)</f>
        <v/>
      </c>
      <c r="O2847" s="4">
        <f>IF(J2847&lt;=G2847,1,0)</f>
        <v/>
      </c>
      <c r="P2847" s="4">
        <f>MAX(0,I2847-H2847)</f>
        <v/>
      </c>
      <c r="Q2847" s="4">
        <f>MAX(0,J2847-G2847)</f>
        <v/>
      </c>
      <c r="R2847" s="4">
        <f>IF(AND(N2847=1,O2847=1),"On Track",IF(O2847=0,"Customer Delivery Late","Ship Late"))</f>
        <v/>
      </c>
    </row>
    <row r="2848">
      <c r="A2848" s="2" t="inlineStr">
        <is>
          <t>ORD-02847</t>
        </is>
      </c>
      <c r="B2848" s="2" t="inlineStr">
        <is>
          <t>Customer 20</t>
        </is>
      </c>
      <c r="C2848" s="2" t="inlineStr">
        <is>
          <t>Contactor</t>
        </is>
      </c>
      <c r="D2848" s="2" t="inlineStr">
        <is>
          <t>Plant B</t>
        </is>
      </c>
      <c r="E2848" s="2" t="inlineStr">
        <is>
          <t>North</t>
        </is>
      </c>
      <c r="F2848" s="12" t="n">
        <v>46090</v>
      </c>
      <c r="G2848" s="12" t="n">
        <v>46106</v>
      </c>
      <c r="H2848" s="12" t="n">
        <v>46102</v>
      </c>
      <c r="I2848" s="12" t="n">
        <v>46100</v>
      </c>
      <c r="J2848" s="12" t="n">
        <v>46104</v>
      </c>
      <c r="K2848" s="2" t="n">
        <v>54</v>
      </c>
      <c r="L2848" s="2" t="inlineStr">
        <is>
          <t>Road</t>
        </is>
      </c>
      <c r="M2848" s="2" t="inlineStr">
        <is>
          <t>No Delay</t>
        </is>
      </c>
      <c r="N2848" s="4">
        <f>IF(I2848&lt;=H2848,1,0)</f>
        <v/>
      </c>
      <c r="O2848" s="4">
        <f>IF(J2848&lt;=G2848,1,0)</f>
        <v/>
      </c>
      <c r="P2848" s="4">
        <f>MAX(0,I2848-H2848)</f>
        <v/>
      </c>
      <c r="Q2848" s="4">
        <f>MAX(0,J2848-G2848)</f>
        <v/>
      </c>
      <c r="R2848" s="4">
        <f>IF(AND(N2848=1,O2848=1),"On Track",IF(O2848=0,"Customer Delivery Late","Ship Late"))</f>
        <v/>
      </c>
    </row>
    <row r="2849">
      <c r="A2849" s="2" t="inlineStr">
        <is>
          <t>ORD-02848</t>
        </is>
      </c>
      <c r="B2849" s="2" t="inlineStr">
        <is>
          <t>Customer 26</t>
        </is>
      </c>
      <c r="C2849" s="2" t="inlineStr">
        <is>
          <t>Switchgear</t>
        </is>
      </c>
      <c r="D2849" s="2" t="inlineStr">
        <is>
          <t>Plant B</t>
        </is>
      </c>
      <c r="E2849" s="2" t="inlineStr">
        <is>
          <t>North</t>
        </is>
      </c>
      <c r="F2849" s="12" t="n">
        <v>46092</v>
      </c>
      <c r="G2849" s="12" t="n">
        <v>46104</v>
      </c>
      <c r="H2849" s="12" t="n">
        <v>46100</v>
      </c>
      <c r="I2849" s="12" t="n">
        <v>46100</v>
      </c>
      <c r="J2849" s="12" t="n">
        <v>46104</v>
      </c>
      <c r="K2849" s="2" t="n">
        <v>1420</v>
      </c>
      <c r="L2849" s="2" t="inlineStr">
        <is>
          <t>Air</t>
        </is>
      </c>
      <c r="M2849" s="2" t="inlineStr">
        <is>
          <t>No Delay</t>
        </is>
      </c>
      <c r="N2849" s="4">
        <f>IF(I2849&lt;=H2849,1,0)</f>
        <v/>
      </c>
      <c r="O2849" s="4">
        <f>IF(J2849&lt;=G2849,1,0)</f>
        <v/>
      </c>
      <c r="P2849" s="4">
        <f>MAX(0,I2849-H2849)</f>
        <v/>
      </c>
      <c r="Q2849" s="4">
        <f>MAX(0,J2849-G2849)</f>
        <v/>
      </c>
      <c r="R2849" s="4">
        <f>IF(AND(N2849=1,O2849=1),"On Track",IF(O2849=0,"Customer Delivery Late","Ship Late"))</f>
        <v/>
      </c>
    </row>
    <row r="2850">
      <c r="A2850" s="2" t="inlineStr">
        <is>
          <t>ORD-02849</t>
        </is>
      </c>
      <c r="B2850" s="2" t="inlineStr">
        <is>
          <t>Customer 27</t>
        </is>
      </c>
      <c r="C2850" s="2" t="inlineStr">
        <is>
          <t>Drive</t>
        </is>
      </c>
      <c r="D2850" s="2" t="inlineStr">
        <is>
          <t>Plant B</t>
        </is>
      </c>
      <c r="E2850" s="2" t="inlineStr">
        <is>
          <t>North</t>
        </is>
      </c>
      <c r="F2850" s="12" t="n">
        <v>46076</v>
      </c>
      <c r="G2850" s="12" t="n">
        <v>46093</v>
      </c>
      <c r="H2850" s="12" t="n">
        <v>46091</v>
      </c>
      <c r="I2850" s="12" t="n">
        <v>46091</v>
      </c>
      <c r="J2850" s="12" t="n">
        <v>46093</v>
      </c>
      <c r="K2850" s="2" t="n">
        <v>1314</v>
      </c>
      <c r="L2850" s="2" t="inlineStr">
        <is>
          <t>Road</t>
        </is>
      </c>
      <c r="M2850" s="2" t="inlineStr">
        <is>
          <t>No Delay</t>
        </is>
      </c>
      <c r="N2850" s="4">
        <f>IF(I2850&lt;=H2850,1,0)</f>
        <v/>
      </c>
      <c r="O2850" s="4">
        <f>IF(J2850&lt;=G2850,1,0)</f>
        <v/>
      </c>
      <c r="P2850" s="4">
        <f>MAX(0,I2850-H2850)</f>
        <v/>
      </c>
      <c r="Q2850" s="4">
        <f>MAX(0,J2850-G2850)</f>
        <v/>
      </c>
      <c r="R2850" s="4">
        <f>IF(AND(N2850=1,O2850=1),"On Track",IF(O2850=0,"Customer Delivery Late","Ship Late"))</f>
        <v/>
      </c>
    </row>
    <row r="2851">
      <c r="A2851" s="2" t="inlineStr">
        <is>
          <t>ORD-02850</t>
        </is>
      </c>
      <c r="B2851" s="2" t="inlineStr">
        <is>
          <t>Customer 08</t>
        </is>
      </c>
      <c r="C2851" s="2" t="inlineStr">
        <is>
          <t>Power Supply</t>
        </is>
      </c>
      <c r="D2851" s="2" t="inlineStr">
        <is>
          <t>Plant C</t>
        </is>
      </c>
      <c r="E2851" s="2" t="inlineStr">
        <is>
          <t>Central</t>
        </is>
      </c>
      <c r="F2851" s="12" t="n">
        <v>46052</v>
      </c>
      <c r="G2851" s="12" t="n">
        <v>46075</v>
      </c>
      <c r="H2851" s="12" t="n">
        <v>46074</v>
      </c>
      <c r="I2851" s="12" t="n">
        <v>46072</v>
      </c>
      <c r="J2851" s="12" t="n">
        <v>46073</v>
      </c>
      <c r="K2851" s="2" t="n">
        <v>118</v>
      </c>
      <c r="L2851" s="2" t="inlineStr">
        <is>
          <t>Road</t>
        </is>
      </c>
      <c r="M2851" s="2" t="inlineStr">
        <is>
          <t>No Delay</t>
        </is>
      </c>
      <c r="N2851" s="4">
        <f>IF(I2851&lt;=H2851,1,0)</f>
        <v/>
      </c>
      <c r="O2851" s="4">
        <f>IF(J2851&lt;=G2851,1,0)</f>
        <v/>
      </c>
      <c r="P2851" s="4">
        <f>MAX(0,I2851-H2851)</f>
        <v/>
      </c>
      <c r="Q2851" s="4">
        <f>MAX(0,J2851-G2851)</f>
        <v/>
      </c>
      <c r="R2851" s="4">
        <f>IF(AND(N2851=1,O2851=1),"On Track",IF(O2851=0,"Customer Delivery Late","Ship Late"))</f>
        <v/>
      </c>
    </row>
    <row r="2852">
      <c r="A2852" s="2" t="inlineStr">
        <is>
          <t>ORD-02851</t>
        </is>
      </c>
      <c r="B2852" s="2" t="inlineStr">
        <is>
          <t>Customer 28</t>
        </is>
      </c>
      <c r="C2852" s="2" t="inlineStr">
        <is>
          <t>Power Supply</t>
        </is>
      </c>
      <c r="D2852" s="2" t="inlineStr">
        <is>
          <t>Plant B</t>
        </is>
      </c>
      <c r="E2852" s="2" t="inlineStr">
        <is>
          <t>Central</t>
        </is>
      </c>
      <c r="F2852" s="12" t="n">
        <v>46115</v>
      </c>
      <c r="G2852" s="12" t="n">
        <v>46124</v>
      </c>
      <c r="H2852" s="12" t="n">
        <v>46122</v>
      </c>
      <c r="I2852" s="12" t="n">
        <v>46122</v>
      </c>
      <c r="J2852" s="12" t="n">
        <v>46124</v>
      </c>
      <c r="K2852" s="2" t="n">
        <v>758</v>
      </c>
      <c r="L2852" s="2" t="inlineStr">
        <is>
          <t>Road</t>
        </is>
      </c>
      <c r="M2852" s="2" t="inlineStr">
        <is>
          <t>No Delay</t>
        </is>
      </c>
      <c r="N2852" s="4">
        <f>IF(I2852&lt;=H2852,1,0)</f>
        <v/>
      </c>
      <c r="O2852" s="4">
        <f>IF(J2852&lt;=G2852,1,0)</f>
        <v/>
      </c>
      <c r="P2852" s="4">
        <f>MAX(0,I2852-H2852)</f>
        <v/>
      </c>
      <c r="Q2852" s="4">
        <f>MAX(0,J2852-G2852)</f>
        <v/>
      </c>
      <c r="R2852" s="4">
        <f>IF(AND(N2852=1,O2852=1),"On Track",IF(O2852=0,"Customer Delivery Late","Ship Late"))</f>
        <v/>
      </c>
    </row>
    <row r="2853">
      <c r="A2853" s="2" t="inlineStr">
        <is>
          <t>ORD-02852</t>
        </is>
      </c>
      <c r="B2853" s="2" t="inlineStr">
        <is>
          <t>Customer 04</t>
        </is>
      </c>
      <c r="C2853" s="2" t="inlineStr">
        <is>
          <t>Drive</t>
        </is>
      </c>
      <c r="D2853" s="2" t="inlineStr">
        <is>
          <t>Plant C</t>
        </is>
      </c>
      <c r="E2853" s="2" t="inlineStr">
        <is>
          <t>South</t>
        </is>
      </c>
      <c r="F2853" s="12" t="n">
        <v>46166</v>
      </c>
      <c r="G2853" s="12" t="n">
        <v>46179</v>
      </c>
      <c r="H2853" s="12" t="n">
        <v>46177</v>
      </c>
      <c r="I2853" s="12" t="n">
        <v>46176</v>
      </c>
      <c r="J2853" s="12" t="n">
        <v>46177</v>
      </c>
      <c r="K2853" s="2" t="n">
        <v>563</v>
      </c>
      <c r="L2853" s="2" t="inlineStr">
        <is>
          <t>Sea</t>
        </is>
      </c>
      <c r="M2853" s="2" t="inlineStr">
        <is>
          <t>No Delay</t>
        </is>
      </c>
      <c r="N2853" s="4">
        <f>IF(I2853&lt;=H2853,1,0)</f>
        <v/>
      </c>
      <c r="O2853" s="4">
        <f>IF(J2853&lt;=G2853,1,0)</f>
        <v/>
      </c>
      <c r="P2853" s="4">
        <f>MAX(0,I2853-H2853)</f>
        <v/>
      </c>
      <c r="Q2853" s="4">
        <f>MAX(0,J2853-G2853)</f>
        <v/>
      </c>
      <c r="R2853" s="4">
        <f>IF(AND(N2853=1,O2853=1),"On Track",IF(O2853=0,"Customer Delivery Late","Ship Late"))</f>
        <v/>
      </c>
    </row>
    <row r="2854">
      <c r="A2854" s="2" t="inlineStr">
        <is>
          <t>ORD-02853</t>
        </is>
      </c>
      <c r="B2854" s="2" t="inlineStr">
        <is>
          <t>Customer 25</t>
        </is>
      </c>
      <c r="C2854" s="2" t="inlineStr">
        <is>
          <t>Drive</t>
        </is>
      </c>
      <c r="D2854" s="2" t="inlineStr">
        <is>
          <t>Plant C</t>
        </is>
      </c>
      <c r="E2854" s="2" t="inlineStr">
        <is>
          <t>Central</t>
        </is>
      </c>
      <c r="F2854" s="12" t="n">
        <v>46059</v>
      </c>
      <c r="G2854" s="12" t="n">
        <v>46077</v>
      </c>
      <c r="H2854" s="12" t="n">
        <v>46076</v>
      </c>
      <c r="I2854" s="12" t="n">
        <v>46075</v>
      </c>
      <c r="J2854" s="12" t="n">
        <v>46076</v>
      </c>
      <c r="K2854" s="2" t="n">
        <v>832</v>
      </c>
      <c r="L2854" s="2" t="inlineStr">
        <is>
          <t>Sea</t>
        </is>
      </c>
      <c r="M2854" s="2" t="inlineStr">
        <is>
          <t>No Delay</t>
        </is>
      </c>
      <c r="N2854" s="4">
        <f>IF(I2854&lt;=H2854,1,0)</f>
        <v/>
      </c>
      <c r="O2854" s="4">
        <f>IF(J2854&lt;=G2854,1,0)</f>
        <v/>
      </c>
      <c r="P2854" s="4">
        <f>MAX(0,I2854-H2854)</f>
        <v/>
      </c>
      <c r="Q2854" s="4">
        <f>MAX(0,J2854-G2854)</f>
        <v/>
      </c>
      <c r="R2854" s="4">
        <f>IF(AND(N2854=1,O2854=1),"On Track",IF(O2854=0,"Customer Delivery Late","Ship Late"))</f>
        <v/>
      </c>
    </row>
    <row r="2855">
      <c r="A2855" s="2" t="inlineStr">
        <is>
          <t>ORD-02854</t>
        </is>
      </c>
      <c r="B2855" s="2" t="inlineStr">
        <is>
          <t>Customer 19</t>
        </is>
      </c>
      <c r="C2855" s="2" t="inlineStr">
        <is>
          <t>Sensor</t>
        </is>
      </c>
      <c r="D2855" s="2" t="inlineStr">
        <is>
          <t>Plant A</t>
        </is>
      </c>
      <c r="E2855" s="2" t="inlineStr">
        <is>
          <t>Central</t>
        </is>
      </c>
      <c r="F2855" s="12" t="n">
        <v>46055</v>
      </c>
      <c r="G2855" s="12" t="n">
        <v>46080</v>
      </c>
      <c r="H2855" s="12" t="n">
        <v>46075</v>
      </c>
      <c r="I2855" s="12" t="n">
        <v>46075</v>
      </c>
      <c r="J2855" s="12" t="n">
        <v>46080</v>
      </c>
      <c r="K2855" s="2" t="n">
        <v>402</v>
      </c>
      <c r="L2855" s="2" t="inlineStr">
        <is>
          <t>Road</t>
        </is>
      </c>
      <c r="M2855" s="2" t="inlineStr">
        <is>
          <t>No Delay</t>
        </is>
      </c>
      <c r="N2855" s="4">
        <f>IF(I2855&lt;=H2855,1,0)</f>
        <v/>
      </c>
      <c r="O2855" s="4">
        <f>IF(J2855&lt;=G2855,1,0)</f>
        <v/>
      </c>
      <c r="P2855" s="4">
        <f>MAX(0,I2855-H2855)</f>
        <v/>
      </c>
      <c r="Q2855" s="4">
        <f>MAX(0,J2855-G2855)</f>
        <v/>
      </c>
      <c r="R2855" s="4">
        <f>IF(AND(N2855=1,O2855=1),"On Track",IF(O2855=0,"Customer Delivery Late","Ship Late"))</f>
        <v/>
      </c>
    </row>
    <row r="2856">
      <c r="A2856" s="2" t="inlineStr">
        <is>
          <t>ORD-02855</t>
        </is>
      </c>
      <c r="B2856" s="2" t="inlineStr">
        <is>
          <t>Customer 07</t>
        </is>
      </c>
      <c r="C2856" s="2" t="inlineStr">
        <is>
          <t>Drive</t>
        </is>
      </c>
      <c r="D2856" s="2" t="inlineStr">
        <is>
          <t>Plant C</t>
        </is>
      </c>
      <c r="E2856" s="2" t="inlineStr">
        <is>
          <t>Central</t>
        </is>
      </c>
      <c r="F2856" s="12" t="n">
        <v>46072</v>
      </c>
      <c r="G2856" s="12" t="n">
        <v>46088</v>
      </c>
      <c r="H2856" s="12" t="n">
        <v>46083</v>
      </c>
      <c r="I2856" s="12" t="n">
        <v>46081</v>
      </c>
      <c r="J2856" s="12" t="n">
        <v>46087</v>
      </c>
      <c r="K2856" s="2" t="n">
        <v>1050</v>
      </c>
      <c r="L2856" s="2" t="inlineStr">
        <is>
          <t>Sea</t>
        </is>
      </c>
      <c r="M2856" s="2" t="inlineStr">
        <is>
          <t>No Delay</t>
        </is>
      </c>
      <c r="N2856" s="4">
        <f>IF(I2856&lt;=H2856,1,0)</f>
        <v/>
      </c>
      <c r="O2856" s="4">
        <f>IF(J2856&lt;=G2856,1,0)</f>
        <v/>
      </c>
      <c r="P2856" s="4">
        <f>MAX(0,I2856-H2856)</f>
        <v/>
      </c>
      <c r="Q2856" s="4">
        <f>MAX(0,J2856-G2856)</f>
        <v/>
      </c>
      <c r="R2856" s="4">
        <f>IF(AND(N2856=1,O2856=1),"On Track",IF(O2856=0,"Customer Delivery Late","Ship Late"))</f>
        <v/>
      </c>
    </row>
    <row r="2857">
      <c r="A2857" s="2" t="inlineStr">
        <is>
          <t>ORD-02856</t>
        </is>
      </c>
      <c r="B2857" s="2" t="inlineStr">
        <is>
          <t>Customer 23</t>
        </is>
      </c>
      <c r="C2857" s="2" t="inlineStr">
        <is>
          <t>Contactor</t>
        </is>
      </c>
      <c r="D2857" s="2" t="inlineStr">
        <is>
          <t>Plant C</t>
        </is>
      </c>
      <c r="E2857" s="2" t="inlineStr">
        <is>
          <t>Export</t>
        </is>
      </c>
      <c r="F2857" s="12" t="n">
        <v>46030</v>
      </c>
      <c r="G2857" s="12" t="n">
        <v>46045</v>
      </c>
      <c r="H2857" s="12" t="n">
        <v>46044</v>
      </c>
      <c r="I2857" s="12" t="n">
        <v>46043</v>
      </c>
      <c r="J2857" s="12" t="n">
        <v>46044</v>
      </c>
      <c r="K2857" s="2" t="n">
        <v>443</v>
      </c>
      <c r="L2857" s="2" t="inlineStr">
        <is>
          <t>Air</t>
        </is>
      </c>
      <c r="M2857" s="2" t="inlineStr">
        <is>
          <t>No Delay</t>
        </is>
      </c>
      <c r="N2857" s="4">
        <f>IF(I2857&lt;=H2857,1,0)</f>
        <v/>
      </c>
      <c r="O2857" s="4">
        <f>IF(J2857&lt;=G2857,1,0)</f>
        <v/>
      </c>
      <c r="P2857" s="4">
        <f>MAX(0,I2857-H2857)</f>
        <v/>
      </c>
      <c r="Q2857" s="4">
        <f>MAX(0,J2857-G2857)</f>
        <v/>
      </c>
      <c r="R2857" s="4">
        <f>IF(AND(N2857=1,O2857=1),"On Track",IF(O2857=0,"Customer Delivery Late","Ship Late"))</f>
        <v/>
      </c>
    </row>
    <row r="2858">
      <c r="A2858" s="2" t="inlineStr">
        <is>
          <t>ORD-02857</t>
        </is>
      </c>
      <c r="B2858" s="2" t="inlineStr">
        <is>
          <t>Customer 09</t>
        </is>
      </c>
      <c r="C2858" s="2" t="inlineStr">
        <is>
          <t>Sensor</t>
        </is>
      </c>
      <c r="D2858" s="2" t="inlineStr">
        <is>
          <t>Plant B</t>
        </is>
      </c>
      <c r="E2858" s="2" t="inlineStr">
        <is>
          <t>Export</t>
        </is>
      </c>
      <c r="F2858" s="12" t="n">
        <v>46089</v>
      </c>
      <c r="G2858" s="12" t="n">
        <v>46103</v>
      </c>
      <c r="H2858" s="12" t="n">
        <v>46101</v>
      </c>
      <c r="I2858" s="12" t="n">
        <v>46100</v>
      </c>
      <c r="J2858" s="12" t="n">
        <v>46102</v>
      </c>
      <c r="K2858" s="2" t="n">
        <v>551</v>
      </c>
      <c r="L2858" s="2" t="inlineStr">
        <is>
          <t>Sea</t>
        </is>
      </c>
      <c r="M2858" s="2" t="inlineStr">
        <is>
          <t>No Delay</t>
        </is>
      </c>
      <c r="N2858" s="4">
        <f>IF(I2858&lt;=H2858,1,0)</f>
        <v/>
      </c>
      <c r="O2858" s="4">
        <f>IF(J2858&lt;=G2858,1,0)</f>
        <v/>
      </c>
      <c r="P2858" s="4">
        <f>MAX(0,I2858-H2858)</f>
        <v/>
      </c>
      <c r="Q2858" s="4">
        <f>MAX(0,J2858-G2858)</f>
        <v/>
      </c>
      <c r="R2858" s="4">
        <f>IF(AND(N2858=1,O2858=1),"On Track",IF(O2858=0,"Customer Delivery Late","Ship Late"))</f>
        <v/>
      </c>
    </row>
    <row r="2859">
      <c r="A2859" s="2" t="inlineStr">
        <is>
          <t>ORD-02858</t>
        </is>
      </c>
      <c r="B2859" s="2" t="inlineStr">
        <is>
          <t>Customer 28</t>
        </is>
      </c>
      <c r="C2859" s="2" t="inlineStr">
        <is>
          <t>Relay</t>
        </is>
      </c>
      <c r="D2859" s="2" t="inlineStr">
        <is>
          <t>Plant B</t>
        </is>
      </c>
      <c r="E2859" s="2" t="inlineStr">
        <is>
          <t>South</t>
        </is>
      </c>
      <c r="F2859" s="12" t="n">
        <v>46085</v>
      </c>
      <c r="G2859" s="12" t="n">
        <v>46091</v>
      </c>
      <c r="H2859" s="12" t="n">
        <v>46088</v>
      </c>
      <c r="I2859" s="12" t="n">
        <v>46086</v>
      </c>
      <c r="J2859" s="12" t="n">
        <v>46096</v>
      </c>
      <c r="K2859" s="2" t="n">
        <v>1128</v>
      </c>
      <c r="L2859" s="2" t="inlineStr">
        <is>
          <t>Air</t>
        </is>
      </c>
      <c r="M2859" s="2" t="inlineStr">
        <is>
          <t>Capacity Constraint</t>
        </is>
      </c>
      <c r="N2859" s="4">
        <f>IF(I2859&lt;=H2859,1,0)</f>
        <v/>
      </c>
      <c r="O2859" s="4">
        <f>IF(J2859&lt;=G2859,1,0)</f>
        <v/>
      </c>
      <c r="P2859" s="4">
        <f>MAX(0,I2859-H2859)</f>
        <v/>
      </c>
      <c r="Q2859" s="4">
        <f>MAX(0,J2859-G2859)</f>
        <v/>
      </c>
      <c r="R2859" s="4">
        <f>IF(AND(N2859=1,O2859=1),"On Track",IF(O2859=0,"Customer Delivery Late","Ship Late"))</f>
        <v/>
      </c>
    </row>
    <row r="2860">
      <c r="A2860" s="2" t="inlineStr">
        <is>
          <t>ORD-02859</t>
        </is>
      </c>
      <c r="B2860" s="2" t="inlineStr">
        <is>
          <t>Customer 26</t>
        </is>
      </c>
      <c r="C2860" s="2" t="inlineStr">
        <is>
          <t>Drive</t>
        </is>
      </c>
      <c r="D2860" s="2" t="inlineStr">
        <is>
          <t>Plant C</t>
        </is>
      </c>
      <c r="E2860" s="2" t="inlineStr">
        <is>
          <t>South</t>
        </is>
      </c>
      <c r="F2860" s="12" t="n">
        <v>46055</v>
      </c>
      <c r="G2860" s="12" t="n">
        <v>46074</v>
      </c>
      <c r="H2860" s="12" t="n">
        <v>46071</v>
      </c>
      <c r="I2860" s="12" t="n">
        <v>46069</v>
      </c>
      <c r="J2860" s="12" t="n">
        <v>46072</v>
      </c>
      <c r="K2860" s="2" t="n">
        <v>1347</v>
      </c>
      <c r="L2860" s="2" t="inlineStr">
        <is>
          <t>Air</t>
        </is>
      </c>
      <c r="M2860" s="2" t="inlineStr">
        <is>
          <t>No Delay</t>
        </is>
      </c>
      <c r="N2860" s="4">
        <f>IF(I2860&lt;=H2860,1,0)</f>
        <v/>
      </c>
      <c r="O2860" s="4">
        <f>IF(J2860&lt;=G2860,1,0)</f>
        <v/>
      </c>
      <c r="P2860" s="4">
        <f>MAX(0,I2860-H2860)</f>
        <v/>
      </c>
      <c r="Q2860" s="4">
        <f>MAX(0,J2860-G2860)</f>
        <v/>
      </c>
      <c r="R2860" s="4">
        <f>IF(AND(N2860=1,O2860=1),"On Track",IF(O2860=0,"Customer Delivery Late","Ship Late"))</f>
        <v/>
      </c>
    </row>
    <row r="2861">
      <c r="A2861" s="2" t="inlineStr">
        <is>
          <t>ORD-02860</t>
        </is>
      </c>
      <c r="B2861" s="2" t="inlineStr">
        <is>
          <t>Customer 28</t>
        </is>
      </c>
      <c r="C2861" s="2" t="inlineStr">
        <is>
          <t>Drive</t>
        </is>
      </c>
      <c r="D2861" s="2" t="inlineStr">
        <is>
          <t>Plant B</t>
        </is>
      </c>
      <c r="E2861" s="2" t="inlineStr">
        <is>
          <t>South</t>
        </is>
      </c>
      <c r="F2861" s="12" t="n">
        <v>46028</v>
      </c>
      <c r="G2861" s="12" t="n">
        <v>46051</v>
      </c>
      <c r="H2861" s="12" t="n">
        <v>46050</v>
      </c>
      <c r="I2861" s="12" t="n">
        <v>46048</v>
      </c>
      <c r="J2861" s="12" t="n">
        <v>46049</v>
      </c>
      <c r="K2861" s="2" t="n">
        <v>415</v>
      </c>
      <c r="L2861" s="2" t="inlineStr">
        <is>
          <t>Sea</t>
        </is>
      </c>
      <c r="M2861" s="2" t="inlineStr">
        <is>
          <t>No Delay</t>
        </is>
      </c>
      <c r="N2861" s="4">
        <f>IF(I2861&lt;=H2861,1,0)</f>
        <v/>
      </c>
      <c r="O2861" s="4">
        <f>IF(J2861&lt;=G2861,1,0)</f>
        <v/>
      </c>
      <c r="P2861" s="4">
        <f>MAX(0,I2861-H2861)</f>
        <v/>
      </c>
      <c r="Q2861" s="4">
        <f>MAX(0,J2861-G2861)</f>
        <v/>
      </c>
      <c r="R2861" s="4">
        <f>IF(AND(N2861=1,O2861=1),"On Track",IF(O2861=0,"Customer Delivery Late","Ship Late"))</f>
        <v/>
      </c>
    </row>
    <row r="2862">
      <c r="A2862" s="2" t="inlineStr">
        <is>
          <t>ORD-02861</t>
        </is>
      </c>
      <c r="B2862" s="2" t="inlineStr">
        <is>
          <t>Customer 24</t>
        </is>
      </c>
      <c r="C2862" s="2" t="inlineStr">
        <is>
          <t>Sensor</t>
        </is>
      </c>
      <c r="D2862" s="2" t="inlineStr">
        <is>
          <t>Plant B</t>
        </is>
      </c>
      <c r="E2862" s="2" t="inlineStr">
        <is>
          <t>North</t>
        </is>
      </c>
      <c r="F2862" s="12" t="n">
        <v>46134</v>
      </c>
      <c r="G2862" s="12" t="n">
        <v>46140</v>
      </c>
      <c r="H2862" s="12" t="n">
        <v>46139</v>
      </c>
      <c r="I2862" s="12" t="n">
        <v>46137</v>
      </c>
      <c r="J2862" s="12" t="n">
        <v>46138</v>
      </c>
      <c r="K2862" s="2" t="n">
        <v>911</v>
      </c>
      <c r="L2862" s="2" t="inlineStr">
        <is>
          <t>Sea</t>
        </is>
      </c>
      <c r="M2862" s="2" t="inlineStr">
        <is>
          <t>No Delay</t>
        </is>
      </c>
      <c r="N2862" s="4">
        <f>IF(I2862&lt;=H2862,1,0)</f>
        <v/>
      </c>
      <c r="O2862" s="4">
        <f>IF(J2862&lt;=G2862,1,0)</f>
        <v/>
      </c>
      <c r="P2862" s="4">
        <f>MAX(0,I2862-H2862)</f>
        <v/>
      </c>
      <c r="Q2862" s="4">
        <f>MAX(0,J2862-G2862)</f>
        <v/>
      </c>
      <c r="R2862" s="4">
        <f>IF(AND(N2862=1,O2862=1),"On Track",IF(O2862=0,"Customer Delivery Late","Ship Late"))</f>
        <v/>
      </c>
    </row>
    <row r="2863">
      <c r="A2863" s="2" t="inlineStr">
        <is>
          <t>ORD-02862</t>
        </is>
      </c>
      <c r="B2863" s="2" t="inlineStr">
        <is>
          <t>Customer 22</t>
        </is>
      </c>
      <c r="C2863" s="2" t="inlineStr">
        <is>
          <t>Power Supply</t>
        </is>
      </c>
      <c r="D2863" s="2" t="inlineStr">
        <is>
          <t>Plant A</t>
        </is>
      </c>
      <c r="E2863" s="2" t="inlineStr">
        <is>
          <t>Central</t>
        </is>
      </c>
      <c r="F2863" s="12" t="n">
        <v>46059</v>
      </c>
      <c r="G2863" s="12" t="n">
        <v>46076</v>
      </c>
      <c r="H2863" s="12" t="n">
        <v>46074</v>
      </c>
      <c r="I2863" s="12" t="n">
        <v>46072</v>
      </c>
      <c r="J2863" s="12" t="n">
        <v>46074</v>
      </c>
      <c r="K2863" s="2" t="n">
        <v>279</v>
      </c>
      <c r="L2863" s="2" t="inlineStr">
        <is>
          <t>Air</t>
        </is>
      </c>
      <c r="M2863" s="2" t="inlineStr">
        <is>
          <t>No Delay</t>
        </is>
      </c>
      <c r="N2863" s="4">
        <f>IF(I2863&lt;=H2863,1,0)</f>
        <v/>
      </c>
      <c r="O2863" s="4">
        <f>IF(J2863&lt;=G2863,1,0)</f>
        <v/>
      </c>
      <c r="P2863" s="4">
        <f>MAX(0,I2863-H2863)</f>
        <v/>
      </c>
      <c r="Q2863" s="4">
        <f>MAX(0,J2863-G2863)</f>
        <v/>
      </c>
      <c r="R2863" s="4">
        <f>IF(AND(N2863=1,O2863=1),"On Track",IF(O2863=0,"Customer Delivery Late","Ship Late"))</f>
        <v/>
      </c>
    </row>
    <row r="2864">
      <c r="A2864" s="2" t="inlineStr">
        <is>
          <t>ORD-02863</t>
        </is>
      </c>
      <c r="B2864" s="2" t="inlineStr">
        <is>
          <t>Customer 20</t>
        </is>
      </c>
      <c r="C2864" s="2" t="inlineStr">
        <is>
          <t>Sensor</t>
        </is>
      </c>
      <c r="D2864" s="2" t="inlineStr">
        <is>
          <t>Plant B</t>
        </is>
      </c>
      <c r="E2864" s="2" t="inlineStr">
        <is>
          <t>Central</t>
        </is>
      </c>
      <c r="F2864" s="12" t="n">
        <v>46038</v>
      </c>
      <c r="G2864" s="12" t="n">
        <v>46063</v>
      </c>
      <c r="H2864" s="12" t="n">
        <v>46061</v>
      </c>
      <c r="I2864" s="12" t="n">
        <v>46061</v>
      </c>
      <c r="J2864" s="12" t="n">
        <v>46063</v>
      </c>
      <c r="K2864" s="2" t="n">
        <v>951</v>
      </c>
      <c r="L2864" s="2" t="inlineStr">
        <is>
          <t>Sea</t>
        </is>
      </c>
      <c r="M2864" s="2" t="inlineStr">
        <is>
          <t>No Delay</t>
        </is>
      </c>
      <c r="N2864" s="4">
        <f>IF(I2864&lt;=H2864,1,0)</f>
        <v/>
      </c>
      <c r="O2864" s="4">
        <f>IF(J2864&lt;=G2864,1,0)</f>
        <v/>
      </c>
      <c r="P2864" s="4">
        <f>MAX(0,I2864-H2864)</f>
        <v/>
      </c>
      <c r="Q2864" s="4">
        <f>MAX(0,J2864-G2864)</f>
        <v/>
      </c>
      <c r="R2864" s="4">
        <f>IF(AND(N2864=1,O2864=1),"On Track",IF(O2864=0,"Customer Delivery Late","Ship Late"))</f>
        <v/>
      </c>
    </row>
    <row r="2865">
      <c r="A2865" s="2" t="inlineStr">
        <is>
          <t>ORD-02864</t>
        </is>
      </c>
      <c r="B2865" s="2" t="inlineStr">
        <is>
          <t>Customer 16</t>
        </is>
      </c>
      <c r="C2865" s="2" t="inlineStr">
        <is>
          <t>Sensor</t>
        </is>
      </c>
      <c r="D2865" s="2" t="inlineStr">
        <is>
          <t>Plant C</t>
        </is>
      </c>
      <c r="E2865" s="2" t="inlineStr">
        <is>
          <t>Export</t>
        </is>
      </c>
      <c r="F2865" s="12" t="n">
        <v>46169</v>
      </c>
      <c r="G2865" s="12" t="n">
        <v>46185</v>
      </c>
      <c r="H2865" s="12" t="n">
        <v>46183</v>
      </c>
      <c r="I2865" s="12" t="n">
        <v>46181</v>
      </c>
      <c r="J2865" s="12" t="n">
        <v>46182</v>
      </c>
      <c r="K2865" s="2" t="n">
        <v>1496</v>
      </c>
      <c r="L2865" s="2" t="inlineStr">
        <is>
          <t>Air</t>
        </is>
      </c>
      <c r="M2865" s="2" t="inlineStr">
        <is>
          <t>No Delay</t>
        </is>
      </c>
      <c r="N2865" s="4">
        <f>IF(I2865&lt;=H2865,1,0)</f>
        <v/>
      </c>
      <c r="O2865" s="4">
        <f>IF(J2865&lt;=G2865,1,0)</f>
        <v/>
      </c>
      <c r="P2865" s="4">
        <f>MAX(0,I2865-H2865)</f>
        <v/>
      </c>
      <c r="Q2865" s="4">
        <f>MAX(0,J2865-G2865)</f>
        <v/>
      </c>
      <c r="R2865" s="4">
        <f>IF(AND(N2865=1,O2865=1),"On Track",IF(O2865=0,"Customer Delivery Late","Ship Late"))</f>
        <v/>
      </c>
    </row>
    <row r="2866">
      <c r="A2866" s="2" t="inlineStr">
        <is>
          <t>ORD-02865</t>
        </is>
      </c>
      <c r="B2866" s="2" t="inlineStr">
        <is>
          <t>Customer 29</t>
        </is>
      </c>
      <c r="C2866" s="2" t="inlineStr">
        <is>
          <t>Contactor</t>
        </is>
      </c>
      <c r="D2866" s="2" t="inlineStr">
        <is>
          <t>Plant A</t>
        </is>
      </c>
      <c r="E2866" s="2" t="inlineStr">
        <is>
          <t>Export</t>
        </is>
      </c>
      <c r="F2866" s="12" t="n">
        <v>46109</v>
      </c>
      <c r="G2866" s="12" t="n">
        <v>46123</v>
      </c>
      <c r="H2866" s="12" t="n">
        <v>46118</v>
      </c>
      <c r="I2866" s="12" t="n">
        <v>46117</v>
      </c>
      <c r="J2866" s="12" t="n">
        <v>46122</v>
      </c>
      <c r="K2866" s="2" t="n">
        <v>1495</v>
      </c>
      <c r="L2866" s="2" t="inlineStr">
        <is>
          <t>Road</t>
        </is>
      </c>
      <c r="M2866" s="2" t="inlineStr">
        <is>
          <t>No Delay</t>
        </is>
      </c>
      <c r="N2866" s="4">
        <f>IF(I2866&lt;=H2866,1,0)</f>
        <v/>
      </c>
      <c r="O2866" s="4">
        <f>IF(J2866&lt;=G2866,1,0)</f>
        <v/>
      </c>
      <c r="P2866" s="4">
        <f>MAX(0,I2866-H2866)</f>
        <v/>
      </c>
      <c r="Q2866" s="4">
        <f>MAX(0,J2866-G2866)</f>
        <v/>
      </c>
      <c r="R2866" s="4">
        <f>IF(AND(N2866=1,O2866=1),"On Track",IF(O2866=0,"Customer Delivery Late","Ship Late"))</f>
        <v/>
      </c>
    </row>
    <row r="2867">
      <c r="A2867" s="2" t="inlineStr">
        <is>
          <t>ORD-02866</t>
        </is>
      </c>
      <c r="B2867" s="2" t="inlineStr">
        <is>
          <t>Customer 17</t>
        </is>
      </c>
      <c r="C2867" s="2" t="inlineStr">
        <is>
          <t>PLC</t>
        </is>
      </c>
      <c r="D2867" s="2" t="inlineStr">
        <is>
          <t>Plant A</t>
        </is>
      </c>
      <c r="E2867" s="2" t="inlineStr">
        <is>
          <t>Central</t>
        </is>
      </c>
      <c r="F2867" s="12" t="n">
        <v>46050</v>
      </c>
      <c r="G2867" s="12" t="n">
        <v>46070</v>
      </c>
      <c r="H2867" s="12" t="n">
        <v>46067</v>
      </c>
      <c r="I2867" s="12" t="n">
        <v>46067</v>
      </c>
      <c r="J2867" s="12" t="n">
        <v>46070</v>
      </c>
      <c r="K2867" s="2" t="n">
        <v>1408</v>
      </c>
      <c r="L2867" s="2" t="inlineStr">
        <is>
          <t>Air</t>
        </is>
      </c>
      <c r="M2867" s="2" t="inlineStr">
        <is>
          <t>No Delay</t>
        </is>
      </c>
      <c r="N2867" s="4">
        <f>IF(I2867&lt;=H2867,1,0)</f>
        <v/>
      </c>
      <c r="O2867" s="4">
        <f>IF(J2867&lt;=G2867,1,0)</f>
        <v/>
      </c>
      <c r="P2867" s="4">
        <f>MAX(0,I2867-H2867)</f>
        <v/>
      </c>
      <c r="Q2867" s="4">
        <f>MAX(0,J2867-G2867)</f>
        <v/>
      </c>
      <c r="R2867" s="4">
        <f>IF(AND(N2867=1,O2867=1),"On Track",IF(O2867=0,"Customer Delivery Late","Ship Late"))</f>
        <v/>
      </c>
    </row>
    <row r="2868">
      <c r="A2868" s="2" t="inlineStr">
        <is>
          <t>ORD-02867</t>
        </is>
      </c>
      <c r="B2868" s="2" t="inlineStr">
        <is>
          <t>Customer 04</t>
        </is>
      </c>
      <c r="C2868" s="2" t="inlineStr">
        <is>
          <t>Switchgear</t>
        </is>
      </c>
      <c r="D2868" s="2" t="inlineStr">
        <is>
          <t>Plant B</t>
        </is>
      </c>
      <c r="E2868" s="2" t="inlineStr">
        <is>
          <t>South</t>
        </is>
      </c>
      <c r="F2868" s="12" t="n">
        <v>46029</v>
      </c>
      <c r="G2868" s="12" t="n">
        <v>46039</v>
      </c>
      <c r="H2868" s="12" t="n">
        <v>46037</v>
      </c>
      <c r="I2868" s="12" t="n">
        <v>46035</v>
      </c>
      <c r="J2868" s="12" t="n">
        <v>46037</v>
      </c>
      <c r="K2868" s="2" t="n">
        <v>1465</v>
      </c>
      <c r="L2868" s="2" t="inlineStr">
        <is>
          <t>Road</t>
        </is>
      </c>
      <c r="M2868" s="2" t="inlineStr">
        <is>
          <t>No Delay</t>
        </is>
      </c>
      <c r="N2868" s="4">
        <f>IF(I2868&lt;=H2868,1,0)</f>
        <v/>
      </c>
      <c r="O2868" s="4">
        <f>IF(J2868&lt;=G2868,1,0)</f>
        <v/>
      </c>
      <c r="P2868" s="4">
        <f>MAX(0,I2868-H2868)</f>
        <v/>
      </c>
      <c r="Q2868" s="4">
        <f>MAX(0,J2868-G2868)</f>
        <v/>
      </c>
      <c r="R2868" s="4">
        <f>IF(AND(N2868=1,O2868=1),"On Track",IF(O2868=0,"Customer Delivery Late","Ship Late"))</f>
        <v/>
      </c>
    </row>
    <row r="2869">
      <c r="A2869" s="2" t="inlineStr">
        <is>
          <t>ORD-02868</t>
        </is>
      </c>
      <c r="B2869" s="2" t="inlineStr">
        <is>
          <t>Customer 06</t>
        </is>
      </c>
      <c r="C2869" s="2" t="inlineStr">
        <is>
          <t>Power Supply</t>
        </is>
      </c>
      <c r="D2869" s="2" t="inlineStr">
        <is>
          <t>Plant A</t>
        </is>
      </c>
      <c r="E2869" s="2" t="inlineStr">
        <is>
          <t>North</t>
        </is>
      </c>
      <c r="F2869" s="12" t="n">
        <v>46193</v>
      </c>
      <c r="G2869" s="12" t="n">
        <v>46206</v>
      </c>
      <c r="H2869" s="12" t="n">
        <v>46205</v>
      </c>
      <c r="I2869" s="12" t="n">
        <v>46204</v>
      </c>
      <c r="J2869" s="12" t="n">
        <v>46205</v>
      </c>
      <c r="K2869" s="2" t="n">
        <v>261</v>
      </c>
      <c r="L2869" s="2" t="inlineStr">
        <is>
          <t>Road</t>
        </is>
      </c>
      <c r="M2869" s="2" t="inlineStr">
        <is>
          <t>No Delay</t>
        </is>
      </c>
      <c r="N2869" s="4">
        <f>IF(I2869&lt;=H2869,1,0)</f>
        <v/>
      </c>
      <c r="O2869" s="4">
        <f>IF(J2869&lt;=G2869,1,0)</f>
        <v/>
      </c>
      <c r="P2869" s="4">
        <f>MAX(0,I2869-H2869)</f>
        <v/>
      </c>
      <c r="Q2869" s="4">
        <f>MAX(0,J2869-G2869)</f>
        <v/>
      </c>
      <c r="R2869" s="4">
        <f>IF(AND(N2869=1,O2869=1),"On Track",IF(O2869=0,"Customer Delivery Late","Ship Late"))</f>
        <v/>
      </c>
    </row>
    <row r="2870">
      <c r="A2870" s="2" t="inlineStr">
        <is>
          <t>ORD-02869</t>
        </is>
      </c>
      <c r="B2870" s="2" t="inlineStr">
        <is>
          <t>Customer 21</t>
        </is>
      </c>
      <c r="C2870" s="2" t="inlineStr">
        <is>
          <t>Sensor</t>
        </is>
      </c>
      <c r="D2870" s="2" t="inlineStr">
        <is>
          <t>Plant C</t>
        </is>
      </c>
      <c r="E2870" s="2" t="inlineStr">
        <is>
          <t>South</t>
        </is>
      </c>
      <c r="F2870" s="12" t="n">
        <v>46112</v>
      </c>
      <c r="G2870" s="12" t="n">
        <v>46117</v>
      </c>
      <c r="H2870" s="12" t="n">
        <v>46115</v>
      </c>
      <c r="I2870" s="12" t="n">
        <v>46113</v>
      </c>
      <c r="J2870" s="12" t="n">
        <v>46114</v>
      </c>
      <c r="K2870" s="2" t="n">
        <v>1213</v>
      </c>
      <c r="L2870" s="2" t="inlineStr">
        <is>
          <t>Air</t>
        </is>
      </c>
      <c r="M2870" s="2" t="inlineStr">
        <is>
          <t>No Delay</t>
        </is>
      </c>
      <c r="N2870" s="4">
        <f>IF(I2870&lt;=H2870,1,0)</f>
        <v/>
      </c>
      <c r="O2870" s="4">
        <f>IF(J2870&lt;=G2870,1,0)</f>
        <v/>
      </c>
      <c r="P2870" s="4">
        <f>MAX(0,I2870-H2870)</f>
        <v/>
      </c>
      <c r="Q2870" s="4">
        <f>MAX(0,J2870-G2870)</f>
        <v/>
      </c>
      <c r="R2870" s="4">
        <f>IF(AND(N2870=1,O2870=1),"On Track",IF(O2870=0,"Customer Delivery Late","Ship Late"))</f>
        <v/>
      </c>
    </row>
    <row r="2871">
      <c r="A2871" s="2" t="inlineStr">
        <is>
          <t>ORD-02870</t>
        </is>
      </c>
      <c r="B2871" s="2" t="inlineStr">
        <is>
          <t>Customer 06</t>
        </is>
      </c>
      <c r="C2871" s="2" t="inlineStr">
        <is>
          <t>PLC</t>
        </is>
      </c>
      <c r="D2871" s="2" t="inlineStr">
        <is>
          <t>Plant C</t>
        </is>
      </c>
      <c r="E2871" s="2" t="inlineStr">
        <is>
          <t>Central</t>
        </is>
      </c>
      <c r="F2871" s="12" t="n">
        <v>46066</v>
      </c>
      <c r="G2871" s="12" t="n">
        <v>46087</v>
      </c>
      <c r="H2871" s="12" t="n">
        <v>46085</v>
      </c>
      <c r="I2871" s="12" t="n">
        <v>46084</v>
      </c>
      <c r="J2871" s="12" t="n">
        <v>46086</v>
      </c>
      <c r="K2871" s="2" t="n">
        <v>661</v>
      </c>
      <c r="L2871" s="2" t="inlineStr">
        <is>
          <t>Sea</t>
        </is>
      </c>
      <c r="M2871" s="2" t="inlineStr">
        <is>
          <t>No Delay</t>
        </is>
      </c>
      <c r="N2871" s="4">
        <f>IF(I2871&lt;=H2871,1,0)</f>
        <v/>
      </c>
      <c r="O2871" s="4">
        <f>IF(J2871&lt;=G2871,1,0)</f>
        <v/>
      </c>
      <c r="P2871" s="4">
        <f>MAX(0,I2871-H2871)</f>
        <v/>
      </c>
      <c r="Q2871" s="4">
        <f>MAX(0,J2871-G2871)</f>
        <v/>
      </c>
      <c r="R2871" s="4">
        <f>IF(AND(N2871=1,O2871=1),"On Track",IF(O2871=0,"Customer Delivery Late","Ship Late"))</f>
        <v/>
      </c>
    </row>
    <row r="2872">
      <c r="A2872" s="2" t="inlineStr">
        <is>
          <t>ORD-02871</t>
        </is>
      </c>
      <c r="B2872" s="2" t="inlineStr">
        <is>
          <t>Customer 17</t>
        </is>
      </c>
      <c r="C2872" s="2" t="inlineStr">
        <is>
          <t>PLC</t>
        </is>
      </c>
      <c r="D2872" s="2" t="inlineStr">
        <is>
          <t>Plant C</t>
        </is>
      </c>
      <c r="E2872" s="2" t="inlineStr">
        <is>
          <t>Export</t>
        </is>
      </c>
      <c r="F2872" s="12" t="n">
        <v>46090</v>
      </c>
      <c r="G2872" s="12" t="n">
        <v>46101</v>
      </c>
      <c r="H2872" s="12" t="n">
        <v>46099</v>
      </c>
      <c r="I2872" s="12" t="n">
        <v>46098</v>
      </c>
      <c r="J2872" s="12" t="n">
        <v>46100</v>
      </c>
      <c r="K2872" s="2" t="n">
        <v>1194</v>
      </c>
      <c r="L2872" s="2" t="inlineStr">
        <is>
          <t>Road</t>
        </is>
      </c>
      <c r="M2872" s="2" t="inlineStr">
        <is>
          <t>No Delay</t>
        </is>
      </c>
      <c r="N2872" s="4">
        <f>IF(I2872&lt;=H2872,1,0)</f>
        <v/>
      </c>
      <c r="O2872" s="4">
        <f>IF(J2872&lt;=G2872,1,0)</f>
        <v/>
      </c>
      <c r="P2872" s="4">
        <f>MAX(0,I2872-H2872)</f>
        <v/>
      </c>
      <c r="Q2872" s="4">
        <f>MAX(0,J2872-G2872)</f>
        <v/>
      </c>
      <c r="R2872" s="4">
        <f>IF(AND(N2872=1,O2872=1),"On Track",IF(O2872=0,"Customer Delivery Late","Ship Late"))</f>
        <v/>
      </c>
    </row>
    <row r="2873">
      <c r="A2873" s="2" t="inlineStr">
        <is>
          <t>ORD-02872</t>
        </is>
      </c>
      <c r="B2873" s="2" t="inlineStr">
        <is>
          <t>Customer 25</t>
        </is>
      </c>
      <c r="C2873" s="2" t="inlineStr">
        <is>
          <t>Relay</t>
        </is>
      </c>
      <c r="D2873" s="2" t="inlineStr">
        <is>
          <t>Plant A</t>
        </is>
      </c>
      <c r="E2873" s="2" t="inlineStr">
        <is>
          <t>South</t>
        </is>
      </c>
      <c r="F2873" s="12" t="n">
        <v>46043</v>
      </c>
      <c r="G2873" s="12" t="n">
        <v>46059</v>
      </c>
      <c r="H2873" s="12" t="n">
        <v>46058</v>
      </c>
      <c r="I2873" s="12" t="n">
        <v>46056</v>
      </c>
      <c r="J2873" s="12" t="n">
        <v>46057</v>
      </c>
      <c r="K2873" s="2" t="n">
        <v>406</v>
      </c>
      <c r="L2873" s="2" t="inlineStr">
        <is>
          <t>Sea</t>
        </is>
      </c>
      <c r="M2873" s="2" t="inlineStr">
        <is>
          <t>No Delay</t>
        </is>
      </c>
      <c r="N2873" s="4">
        <f>IF(I2873&lt;=H2873,1,0)</f>
        <v/>
      </c>
      <c r="O2873" s="4">
        <f>IF(J2873&lt;=G2873,1,0)</f>
        <v/>
      </c>
      <c r="P2873" s="4">
        <f>MAX(0,I2873-H2873)</f>
        <v/>
      </c>
      <c r="Q2873" s="4">
        <f>MAX(0,J2873-G2873)</f>
        <v/>
      </c>
      <c r="R2873" s="4">
        <f>IF(AND(N2873=1,O2873=1),"On Track",IF(O2873=0,"Customer Delivery Late","Ship Late"))</f>
        <v/>
      </c>
    </row>
    <row r="2874">
      <c r="A2874" s="2" t="inlineStr">
        <is>
          <t>ORD-02873</t>
        </is>
      </c>
      <c r="B2874" s="2" t="inlineStr">
        <is>
          <t>Customer 16</t>
        </is>
      </c>
      <c r="C2874" s="2" t="inlineStr">
        <is>
          <t>Contactor</t>
        </is>
      </c>
      <c r="D2874" s="2" t="inlineStr">
        <is>
          <t>Plant B</t>
        </is>
      </c>
      <c r="E2874" s="2" t="inlineStr">
        <is>
          <t>South</t>
        </is>
      </c>
      <c r="F2874" s="12" t="n">
        <v>46183</v>
      </c>
      <c r="G2874" s="12" t="n">
        <v>46196</v>
      </c>
      <c r="H2874" s="12" t="n">
        <v>46191</v>
      </c>
      <c r="I2874" s="12" t="n">
        <v>46191</v>
      </c>
      <c r="J2874" s="12" t="n">
        <v>46196</v>
      </c>
      <c r="K2874" s="2" t="n">
        <v>985</v>
      </c>
      <c r="L2874" s="2" t="inlineStr">
        <is>
          <t>Road</t>
        </is>
      </c>
      <c r="M2874" s="2" t="inlineStr">
        <is>
          <t>No Delay</t>
        </is>
      </c>
      <c r="N2874" s="4">
        <f>IF(I2874&lt;=H2874,1,0)</f>
        <v/>
      </c>
      <c r="O2874" s="4">
        <f>IF(J2874&lt;=G2874,1,0)</f>
        <v/>
      </c>
      <c r="P2874" s="4">
        <f>MAX(0,I2874-H2874)</f>
        <v/>
      </c>
      <c r="Q2874" s="4">
        <f>MAX(0,J2874-G2874)</f>
        <v/>
      </c>
      <c r="R2874" s="4">
        <f>IF(AND(N2874=1,O2874=1),"On Track",IF(O2874=0,"Customer Delivery Late","Ship Late"))</f>
        <v/>
      </c>
    </row>
    <row r="2875">
      <c r="A2875" s="2" t="inlineStr">
        <is>
          <t>ORD-02874</t>
        </is>
      </c>
      <c r="B2875" s="2" t="inlineStr">
        <is>
          <t>Customer 08</t>
        </is>
      </c>
      <c r="C2875" s="2" t="inlineStr">
        <is>
          <t>Breaker</t>
        </is>
      </c>
      <c r="D2875" s="2" t="inlineStr">
        <is>
          <t>Plant C</t>
        </is>
      </c>
      <c r="E2875" s="2" t="inlineStr">
        <is>
          <t>South</t>
        </is>
      </c>
      <c r="F2875" s="12" t="n">
        <v>46051</v>
      </c>
      <c r="G2875" s="12" t="n">
        <v>46056</v>
      </c>
      <c r="H2875" s="12" t="n">
        <v>46053</v>
      </c>
      <c r="I2875" s="12" t="n">
        <v>46053</v>
      </c>
      <c r="J2875" s="12" t="n">
        <v>46055</v>
      </c>
      <c r="K2875" s="2" t="n">
        <v>115</v>
      </c>
      <c r="L2875" s="2" t="inlineStr">
        <is>
          <t>Air</t>
        </is>
      </c>
      <c r="M2875" s="2" t="inlineStr">
        <is>
          <t>No Delay</t>
        </is>
      </c>
      <c r="N2875" s="4">
        <f>IF(I2875&lt;=H2875,1,0)</f>
        <v/>
      </c>
      <c r="O2875" s="4">
        <f>IF(J2875&lt;=G2875,1,0)</f>
        <v/>
      </c>
      <c r="P2875" s="4">
        <f>MAX(0,I2875-H2875)</f>
        <v/>
      </c>
      <c r="Q2875" s="4">
        <f>MAX(0,J2875-G2875)</f>
        <v/>
      </c>
      <c r="R2875" s="4">
        <f>IF(AND(N2875=1,O2875=1),"On Track",IF(O2875=0,"Customer Delivery Late","Ship Late"))</f>
        <v/>
      </c>
    </row>
    <row r="2876">
      <c r="A2876" s="2" t="inlineStr">
        <is>
          <t>ORD-02875</t>
        </is>
      </c>
      <c r="B2876" s="2" t="inlineStr">
        <is>
          <t>Customer 07</t>
        </is>
      </c>
      <c r="C2876" s="2" t="inlineStr">
        <is>
          <t>Sensor</t>
        </is>
      </c>
      <c r="D2876" s="2" t="inlineStr">
        <is>
          <t>Plant A</t>
        </is>
      </c>
      <c r="E2876" s="2" t="inlineStr">
        <is>
          <t>South</t>
        </is>
      </c>
      <c r="F2876" s="12" t="n">
        <v>46182</v>
      </c>
      <c r="G2876" s="12" t="n">
        <v>46193</v>
      </c>
      <c r="H2876" s="12" t="n">
        <v>46191</v>
      </c>
      <c r="I2876" s="12" t="n">
        <v>46189</v>
      </c>
      <c r="J2876" s="12" t="n">
        <v>46191</v>
      </c>
      <c r="K2876" s="2" t="n">
        <v>1069</v>
      </c>
      <c r="L2876" s="2" t="inlineStr">
        <is>
          <t>Air</t>
        </is>
      </c>
      <c r="M2876" s="2" t="inlineStr">
        <is>
          <t>No Delay</t>
        </is>
      </c>
      <c r="N2876" s="4">
        <f>IF(I2876&lt;=H2876,1,0)</f>
        <v/>
      </c>
      <c r="O2876" s="4">
        <f>IF(J2876&lt;=G2876,1,0)</f>
        <v/>
      </c>
      <c r="P2876" s="4">
        <f>MAX(0,I2876-H2876)</f>
        <v/>
      </c>
      <c r="Q2876" s="4">
        <f>MAX(0,J2876-G2876)</f>
        <v/>
      </c>
      <c r="R2876" s="4">
        <f>IF(AND(N2876=1,O2876=1),"On Track",IF(O2876=0,"Customer Delivery Late","Ship Late"))</f>
        <v/>
      </c>
    </row>
    <row r="2877">
      <c r="A2877" s="2" t="inlineStr">
        <is>
          <t>ORD-02876</t>
        </is>
      </c>
      <c r="B2877" s="2" t="inlineStr">
        <is>
          <t>Customer 18</t>
        </is>
      </c>
      <c r="C2877" s="2" t="inlineStr">
        <is>
          <t>Breaker</t>
        </is>
      </c>
      <c r="D2877" s="2" t="inlineStr">
        <is>
          <t>Plant A</t>
        </is>
      </c>
      <c r="E2877" s="2" t="inlineStr">
        <is>
          <t>North</t>
        </is>
      </c>
      <c r="F2877" s="12" t="n">
        <v>46036</v>
      </c>
      <c r="G2877" s="12" t="n">
        <v>46046</v>
      </c>
      <c r="H2877" s="12" t="n">
        <v>46042</v>
      </c>
      <c r="I2877" s="12" t="n">
        <v>46041</v>
      </c>
      <c r="J2877" s="12" t="n">
        <v>46046</v>
      </c>
      <c r="K2877" s="2" t="n">
        <v>976</v>
      </c>
      <c r="L2877" s="2" t="inlineStr">
        <is>
          <t>Road</t>
        </is>
      </c>
      <c r="M2877" s="2" t="inlineStr">
        <is>
          <t>No Delay</t>
        </is>
      </c>
      <c r="N2877" s="4">
        <f>IF(I2877&lt;=H2877,1,0)</f>
        <v/>
      </c>
      <c r="O2877" s="4">
        <f>IF(J2877&lt;=G2877,1,0)</f>
        <v/>
      </c>
      <c r="P2877" s="4">
        <f>MAX(0,I2877-H2877)</f>
        <v/>
      </c>
      <c r="Q2877" s="4">
        <f>MAX(0,J2877-G2877)</f>
        <v/>
      </c>
      <c r="R2877" s="4">
        <f>IF(AND(N2877=1,O2877=1),"On Track",IF(O2877=0,"Customer Delivery Late","Ship Late"))</f>
        <v/>
      </c>
    </row>
    <row r="2878">
      <c r="A2878" s="2" t="inlineStr">
        <is>
          <t>ORD-02877</t>
        </is>
      </c>
      <c r="B2878" s="2" t="inlineStr">
        <is>
          <t>Customer 04</t>
        </is>
      </c>
      <c r="C2878" s="2" t="inlineStr">
        <is>
          <t>Sensor</t>
        </is>
      </c>
      <c r="D2878" s="2" t="inlineStr">
        <is>
          <t>Plant B</t>
        </is>
      </c>
      <c r="E2878" s="2" t="inlineStr">
        <is>
          <t>Central</t>
        </is>
      </c>
      <c r="F2878" s="12" t="n">
        <v>46067</v>
      </c>
      <c r="G2878" s="12" t="n">
        <v>46072</v>
      </c>
      <c r="H2878" s="12" t="n">
        <v>46067</v>
      </c>
      <c r="I2878" s="12" t="n">
        <v>46066</v>
      </c>
      <c r="J2878" s="12" t="n">
        <v>46071</v>
      </c>
      <c r="K2878" s="2" t="n">
        <v>512</v>
      </c>
      <c r="L2878" s="2" t="inlineStr">
        <is>
          <t>Sea</t>
        </is>
      </c>
      <c r="M2878" s="2" t="inlineStr">
        <is>
          <t>No Delay</t>
        </is>
      </c>
      <c r="N2878" s="4">
        <f>IF(I2878&lt;=H2878,1,0)</f>
        <v/>
      </c>
      <c r="O2878" s="4">
        <f>IF(J2878&lt;=G2878,1,0)</f>
        <v/>
      </c>
      <c r="P2878" s="4">
        <f>MAX(0,I2878-H2878)</f>
        <v/>
      </c>
      <c r="Q2878" s="4">
        <f>MAX(0,J2878-G2878)</f>
        <v/>
      </c>
      <c r="R2878" s="4">
        <f>IF(AND(N2878=1,O2878=1),"On Track",IF(O2878=0,"Customer Delivery Late","Ship Late"))</f>
        <v/>
      </c>
    </row>
    <row r="2879">
      <c r="A2879" s="2" t="inlineStr">
        <is>
          <t>ORD-02878</t>
        </is>
      </c>
      <c r="B2879" s="2" t="inlineStr">
        <is>
          <t>Customer 27</t>
        </is>
      </c>
      <c r="C2879" s="2" t="inlineStr">
        <is>
          <t>Drive</t>
        </is>
      </c>
      <c r="D2879" s="2" t="inlineStr">
        <is>
          <t>Plant C</t>
        </is>
      </c>
      <c r="E2879" s="2" t="inlineStr">
        <is>
          <t>Export</t>
        </is>
      </c>
      <c r="F2879" s="12" t="n">
        <v>46187</v>
      </c>
      <c r="G2879" s="12" t="n">
        <v>46202</v>
      </c>
      <c r="H2879" s="12" t="n">
        <v>46197</v>
      </c>
      <c r="I2879" s="12" t="n">
        <v>46195</v>
      </c>
      <c r="J2879" s="12" t="n">
        <v>46200</v>
      </c>
      <c r="K2879" s="2" t="n">
        <v>728</v>
      </c>
      <c r="L2879" s="2" t="inlineStr">
        <is>
          <t>Road</t>
        </is>
      </c>
      <c r="M2879" s="2" t="inlineStr">
        <is>
          <t>No Delay</t>
        </is>
      </c>
      <c r="N2879" s="4">
        <f>IF(I2879&lt;=H2879,1,0)</f>
        <v/>
      </c>
      <c r="O2879" s="4">
        <f>IF(J2879&lt;=G2879,1,0)</f>
        <v/>
      </c>
      <c r="P2879" s="4">
        <f>MAX(0,I2879-H2879)</f>
        <v/>
      </c>
      <c r="Q2879" s="4">
        <f>MAX(0,J2879-G2879)</f>
        <v/>
      </c>
      <c r="R2879" s="4">
        <f>IF(AND(N2879=1,O2879=1),"On Track",IF(O2879=0,"Customer Delivery Late","Ship Late"))</f>
        <v/>
      </c>
    </row>
    <row r="2880">
      <c r="A2880" s="2" t="inlineStr">
        <is>
          <t>ORD-02879</t>
        </is>
      </c>
      <c r="B2880" s="2" t="inlineStr">
        <is>
          <t>Customer 27</t>
        </is>
      </c>
      <c r="C2880" s="2" t="inlineStr">
        <is>
          <t>Breaker</t>
        </is>
      </c>
      <c r="D2880" s="2" t="inlineStr">
        <is>
          <t>Plant B</t>
        </is>
      </c>
      <c r="E2880" s="2" t="inlineStr">
        <is>
          <t>North</t>
        </is>
      </c>
      <c r="F2880" s="12" t="n">
        <v>46140</v>
      </c>
      <c r="G2880" s="12" t="n">
        <v>46156</v>
      </c>
      <c r="H2880" s="12" t="n">
        <v>46152</v>
      </c>
      <c r="I2880" s="12" t="n">
        <v>46150</v>
      </c>
      <c r="J2880" s="12" t="n">
        <v>46154</v>
      </c>
      <c r="K2880" s="2" t="n">
        <v>1249</v>
      </c>
      <c r="L2880" s="2" t="inlineStr">
        <is>
          <t>Air</t>
        </is>
      </c>
      <c r="M2880" s="2" t="inlineStr">
        <is>
          <t>No Delay</t>
        </is>
      </c>
      <c r="N2880" s="4">
        <f>IF(I2880&lt;=H2880,1,0)</f>
        <v/>
      </c>
      <c r="O2880" s="4">
        <f>IF(J2880&lt;=G2880,1,0)</f>
        <v/>
      </c>
      <c r="P2880" s="4">
        <f>MAX(0,I2880-H2880)</f>
        <v/>
      </c>
      <c r="Q2880" s="4">
        <f>MAX(0,J2880-G2880)</f>
        <v/>
      </c>
      <c r="R2880" s="4">
        <f>IF(AND(N2880=1,O2880=1),"On Track",IF(O2880=0,"Customer Delivery Late","Ship Late"))</f>
        <v/>
      </c>
    </row>
    <row r="2881">
      <c r="A2881" s="2" t="inlineStr">
        <is>
          <t>ORD-02880</t>
        </is>
      </c>
      <c r="B2881" s="2" t="inlineStr">
        <is>
          <t>Customer 30</t>
        </is>
      </c>
      <c r="C2881" s="2" t="inlineStr">
        <is>
          <t>Breaker</t>
        </is>
      </c>
      <c r="D2881" s="2" t="inlineStr">
        <is>
          <t>Plant A</t>
        </is>
      </c>
      <c r="E2881" s="2" t="inlineStr">
        <is>
          <t>Export</t>
        </is>
      </c>
      <c r="F2881" s="12" t="n">
        <v>46040</v>
      </c>
      <c r="G2881" s="12" t="n">
        <v>46059</v>
      </c>
      <c r="H2881" s="12" t="n">
        <v>46056</v>
      </c>
      <c r="I2881" s="12" t="n">
        <v>46056</v>
      </c>
      <c r="J2881" s="12" t="n">
        <v>46058</v>
      </c>
      <c r="K2881" s="2" t="n">
        <v>1061</v>
      </c>
      <c r="L2881" s="2" t="inlineStr">
        <is>
          <t>Sea</t>
        </is>
      </c>
      <c r="M2881" s="2" t="inlineStr">
        <is>
          <t>No Delay</t>
        </is>
      </c>
      <c r="N2881" s="4">
        <f>IF(I2881&lt;=H2881,1,0)</f>
        <v/>
      </c>
      <c r="O2881" s="4">
        <f>IF(J2881&lt;=G2881,1,0)</f>
        <v/>
      </c>
      <c r="P2881" s="4">
        <f>MAX(0,I2881-H2881)</f>
        <v/>
      </c>
      <c r="Q2881" s="4">
        <f>MAX(0,J2881-G2881)</f>
        <v/>
      </c>
      <c r="R2881" s="4">
        <f>IF(AND(N2881=1,O2881=1),"On Track",IF(O2881=0,"Customer Delivery Late","Ship Late"))</f>
        <v/>
      </c>
    </row>
    <row r="2882">
      <c r="A2882" s="2" t="inlineStr">
        <is>
          <t>ORD-02881</t>
        </is>
      </c>
      <c r="B2882" s="2" t="inlineStr">
        <is>
          <t>Customer 18</t>
        </is>
      </c>
      <c r="C2882" s="2" t="inlineStr">
        <is>
          <t>Drive</t>
        </is>
      </c>
      <c r="D2882" s="2" t="inlineStr">
        <is>
          <t>Plant A</t>
        </is>
      </c>
      <c r="E2882" s="2" t="inlineStr">
        <is>
          <t>South</t>
        </is>
      </c>
      <c r="F2882" s="12" t="n">
        <v>46162</v>
      </c>
      <c r="G2882" s="12" t="n">
        <v>46180</v>
      </c>
      <c r="H2882" s="12" t="n">
        <v>46176</v>
      </c>
      <c r="I2882" s="12" t="n">
        <v>46176</v>
      </c>
      <c r="J2882" s="12" t="n">
        <v>46180</v>
      </c>
      <c r="K2882" s="2" t="n">
        <v>1187</v>
      </c>
      <c r="L2882" s="2" t="inlineStr">
        <is>
          <t>Road</t>
        </is>
      </c>
      <c r="M2882" s="2" t="inlineStr">
        <is>
          <t>No Delay</t>
        </is>
      </c>
      <c r="N2882" s="4">
        <f>IF(I2882&lt;=H2882,1,0)</f>
        <v/>
      </c>
      <c r="O2882" s="4">
        <f>IF(J2882&lt;=G2882,1,0)</f>
        <v/>
      </c>
      <c r="P2882" s="4">
        <f>MAX(0,I2882-H2882)</f>
        <v/>
      </c>
      <c r="Q2882" s="4">
        <f>MAX(0,J2882-G2882)</f>
        <v/>
      </c>
      <c r="R2882" s="4">
        <f>IF(AND(N2882=1,O2882=1),"On Track",IF(O2882=0,"Customer Delivery Late","Ship Late"))</f>
        <v/>
      </c>
    </row>
    <row r="2883">
      <c r="A2883" s="2" t="inlineStr">
        <is>
          <t>ORD-02882</t>
        </is>
      </c>
      <c r="B2883" s="2" t="inlineStr">
        <is>
          <t>Customer 20</t>
        </is>
      </c>
      <c r="C2883" s="2" t="inlineStr">
        <is>
          <t>Sensor</t>
        </is>
      </c>
      <c r="D2883" s="2" t="inlineStr">
        <is>
          <t>Plant C</t>
        </is>
      </c>
      <c r="E2883" s="2" t="inlineStr">
        <is>
          <t>Export</t>
        </is>
      </c>
      <c r="F2883" s="12" t="n">
        <v>46100</v>
      </c>
      <c r="G2883" s="12" t="n">
        <v>46115</v>
      </c>
      <c r="H2883" s="12" t="n">
        <v>46114</v>
      </c>
      <c r="I2883" s="12" t="n">
        <v>46113</v>
      </c>
      <c r="J2883" s="12" t="n">
        <v>46114</v>
      </c>
      <c r="K2883" s="2" t="n">
        <v>272</v>
      </c>
      <c r="L2883" s="2" t="inlineStr">
        <is>
          <t>Air</t>
        </is>
      </c>
      <c r="M2883" s="2" t="inlineStr">
        <is>
          <t>No Delay</t>
        </is>
      </c>
      <c r="N2883" s="4">
        <f>IF(I2883&lt;=H2883,1,0)</f>
        <v/>
      </c>
      <c r="O2883" s="4">
        <f>IF(J2883&lt;=G2883,1,0)</f>
        <v/>
      </c>
      <c r="P2883" s="4">
        <f>MAX(0,I2883-H2883)</f>
        <v/>
      </c>
      <c r="Q2883" s="4">
        <f>MAX(0,J2883-G2883)</f>
        <v/>
      </c>
      <c r="R2883" s="4">
        <f>IF(AND(N2883=1,O2883=1),"On Track",IF(O2883=0,"Customer Delivery Late","Ship Late"))</f>
        <v/>
      </c>
    </row>
    <row r="2884">
      <c r="A2884" s="2" t="inlineStr">
        <is>
          <t>ORD-02883</t>
        </is>
      </c>
      <c r="B2884" s="2" t="inlineStr">
        <is>
          <t>Customer 05</t>
        </is>
      </c>
      <c r="C2884" s="2" t="inlineStr">
        <is>
          <t>Breaker</t>
        </is>
      </c>
      <c r="D2884" s="2" t="inlineStr">
        <is>
          <t>Plant B</t>
        </is>
      </c>
      <c r="E2884" s="2" t="inlineStr">
        <is>
          <t>Central</t>
        </is>
      </c>
      <c r="F2884" s="12" t="n">
        <v>46068</v>
      </c>
      <c r="G2884" s="12" t="n">
        <v>46089</v>
      </c>
      <c r="H2884" s="12" t="n">
        <v>46085</v>
      </c>
      <c r="I2884" s="12" t="n">
        <v>46083</v>
      </c>
      <c r="J2884" s="12" t="n">
        <v>46087</v>
      </c>
      <c r="K2884" s="2" t="n">
        <v>1343</v>
      </c>
      <c r="L2884" s="2" t="inlineStr">
        <is>
          <t>Sea</t>
        </is>
      </c>
      <c r="M2884" s="2" t="inlineStr">
        <is>
          <t>No Delay</t>
        </is>
      </c>
      <c r="N2884" s="4">
        <f>IF(I2884&lt;=H2884,1,0)</f>
        <v/>
      </c>
      <c r="O2884" s="4">
        <f>IF(J2884&lt;=G2884,1,0)</f>
        <v/>
      </c>
      <c r="P2884" s="4">
        <f>MAX(0,I2884-H2884)</f>
        <v/>
      </c>
      <c r="Q2884" s="4">
        <f>MAX(0,J2884-G2884)</f>
        <v/>
      </c>
      <c r="R2884" s="4">
        <f>IF(AND(N2884=1,O2884=1),"On Track",IF(O2884=0,"Customer Delivery Late","Ship Late"))</f>
        <v/>
      </c>
    </row>
    <row r="2885">
      <c r="A2885" s="2" t="inlineStr">
        <is>
          <t>ORD-02884</t>
        </is>
      </c>
      <c r="B2885" s="2" t="inlineStr">
        <is>
          <t>Customer 16</t>
        </is>
      </c>
      <c r="C2885" s="2" t="inlineStr">
        <is>
          <t>Power Supply</t>
        </is>
      </c>
      <c r="D2885" s="2" t="inlineStr">
        <is>
          <t>Plant B</t>
        </is>
      </c>
      <c r="E2885" s="2" t="inlineStr">
        <is>
          <t>Central</t>
        </is>
      </c>
      <c r="F2885" s="12" t="n">
        <v>46092</v>
      </c>
      <c r="G2885" s="12" t="n">
        <v>46107</v>
      </c>
      <c r="H2885" s="12" t="n">
        <v>46106</v>
      </c>
      <c r="I2885" s="12" t="n">
        <v>46106</v>
      </c>
      <c r="J2885" s="12" t="n">
        <v>46107</v>
      </c>
      <c r="K2885" s="2" t="n">
        <v>615</v>
      </c>
      <c r="L2885" s="2" t="inlineStr">
        <is>
          <t>Sea</t>
        </is>
      </c>
      <c r="M2885" s="2" t="inlineStr">
        <is>
          <t>No Delay</t>
        </is>
      </c>
      <c r="N2885" s="4">
        <f>IF(I2885&lt;=H2885,1,0)</f>
        <v/>
      </c>
      <c r="O2885" s="4">
        <f>IF(J2885&lt;=G2885,1,0)</f>
        <v/>
      </c>
      <c r="P2885" s="4">
        <f>MAX(0,I2885-H2885)</f>
        <v/>
      </c>
      <c r="Q2885" s="4">
        <f>MAX(0,J2885-G2885)</f>
        <v/>
      </c>
      <c r="R2885" s="4">
        <f>IF(AND(N2885=1,O2885=1),"On Track",IF(O2885=0,"Customer Delivery Late","Ship Late"))</f>
        <v/>
      </c>
    </row>
    <row r="2886">
      <c r="A2886" s="2" t="inlineStr">
        <is>
          <t>ORD-02885</t>
        </is>
      </c>
      <c r="B2886" s="2" t="inlineStr">
        <is>
          <t>Customer 02</t>
        </is>
      </c>
      <c r="C2886" s="2" t="inlineStr">
        <is>
          <t>Switchgear</t>
        </is>
      </c>
      <c r="D2886" s="2" t="inlineStr">
        <is>
          <t>Plant C</t>
        </is>
      </c>
      <c r="E2886" s="2" t="inlineStr">
        <is>
          <t>Export</t>
        </is>
      </c>
      <c r="F2886" s="12" t="n">
        <v>46074</v>
      </c>
      <c r="G2886" s="12" t="n">
        <v>46097</v>
      </c>
      <c r="H2886" s="12" t="n">
        <v>46094</v>
      </c>
      <c r="I2886" s="12" t="n">
        <v>46094</v>
      </c>
      <c r="J2886" s="12" t="n">
        <v>46097</v>
      </c>
      <c r="K2886" s="2" t="n">
        <v>1164</v>
      </c>
      <c r="L2886" s="2" t="inlineStr">
        <is>
          <t>Sea</t>
        </is>
      </c>
      <c r="M2886" s="2" t="inlineStr">
        <is>
          <t>No Delay</t>
        </is>
      </c>
      <c r="N2886" s="4">
        <f>IF(I2886&lt;=H2886,1,0)</f>
        <v/>
      </c>
      <c r="O2886" s="4">
        <f>IF(J2886&lt;=G2886,1,0)</f>
        <v/>
      </c>
      <c r="P2886" s="4">
        <f>MAX(0,I2886-H2886)</f>
        <v/>
      </c>
      <c r="Q2886" s="4">
        <f>MAX(0,J2886-G2886)</f>
        <v/>
      </c>
      <c r="R2886" s="4">
        <f>IF(AND(N2886=1,O2886=1),"On Track",IF(O2886=0,"Customer Delivery Late","Ship Late"))</f>
        <v/>
      </c>
    </row>
    <row r="2887">
      <c r="A2887" s="2" t="inlineStr">
        <is>
          <t>ORD-02886</t>
        </is>
      </c>
      <c r="B2887" s="2" t="inlineStr">
        <is>
          <t>Customer 21</t>
        </is>
      </c>
      <c r="C2887" s="2" t="inlineStr">
        <is>
          <t>Power Supply</t>
        </is>
      </c>
      <c r="D2887" s="2" t="inlineStr">
        <is>
          <t>Plant B</t>
        </is>
      </c>
      <c r="E2887" s="2" t="inlineStr">
        <is>
          <t>Central</t>
        </is>
      </c>
      <c r="F2887" s="12" t="n">
        <v>46201</v>
      </c>
      <c r="G2887" s="12" t="n">
        <v>46217</v>
      </c>
      <c r="H2887" s="12" t="n">
        <v>46212</v>
      </c>
      <c r="I2887" s="12" t="n">
        <v>46211</v>
      </c>
      <c r="J2887" s="12" t="n">
        <v>46215</v>
      </c>
      <c r="K2887" s="2" t="n">
        <v>888</v>
      </c>
      <c r="L2887" s="2" t="inlineStr">
        <is>
          <t>Air</t>
        </is>
      </c>
      <c r="M2887" s="2" t="inlineStr">
        <is>
          <t>No Delay</t>
        </is>
      </c>
      <c r="N2887" s="4">
        <f>IF(I2887&lt;=H2887,1,0)</f>
        <v/>
      </c>
      <c r="O2887" s="4">
        <f>IF(J2887&lt;=G2887,1,0)</f>
        <v/>
      </c>
      <c r="P2887" s="4">
        <f>MAX(0,I2887-H2887)</f>
        <v/>
      </c>
      <c r="Q2887" s="4">
        <f>MAX(0,J2887-G2887)</f>
        <v/>
      </c>
      <c r="R2887" s="4">
        <f>IF(AND(N2887=1,O2887=1),"On Track",IF(O2887=0,"Customer Delivery Late","Ship Late"))</f>
        <v/>
      </c>
    </row>
    <row r="2888">
      <c r="A2888" s="2" t="inlineStr">
        <is>
          <t>ORD-02887</t>
        </is>
      </c>
      <c r="B2888" s="2" t="inlineStr">
        <is>
          <t>Customer 07</t>
        </is>
      </c>
      <c r="C2888" s="2" t="inlineStr">
        <is>
          <t>Switchgear</t>
        </is>
      </c>
      <c r="D2888" s="2" t="inlineStr">
        <is>
          <t>Plant B</t>
        </is>
      </c>
      <c r="E2888" s="2" t="inlineStr">
        <is>
          <t>North</t>
        </is>
      </c>
      <c r="F2888" s="12" t="n">
        <v>46046</v>
      </c>
      <c r="G2888" s="12" t="n">
        <v>46067</v>
      </c>
      <c r="H2888" s="12" t="n">
        <v>46063</v>
      </c>
      <c r="I2888" s="12" t="n">
        <v>46063</v>
      </c>
      <c r="J2888" s="12" t="n">
        <v>46068</v>
      </c>
      <c r="K2888" s="2" t="n">
        <v>158</v>
      </c>
      <c r="L2888" s="2" t="inlineStr">
        <is>
          <t>Road</t>
        </is>
      </c>
      <c r="M2888" s="2" t="inlineStr">
        <is>
          <t>Carrier Delay</t>
        </is>
      </c>
      <c r="N2888" s="4">
        <f>IF(I2888&lt;=H2888,1,0)</f>
        <v/>
      </c>
      <c r="O2888" s="4">
        <f>IF(J2888&lt;=G2888,1,0)</f>
        <v/>
      </c>
      <c r="P2888" s="4">
        <f>MAX(0,I2888-H2888)</f>
        <v/>
      </c>
      <c r="Q2888" s="4">
        <f>MAX(0,J2888-G2888)</f>
        <v/>
      </c>
      <c r="R2888" s="4">
        <f>IF(AND(N2888=1,O2888=1),"On Track",IF(O2888=0,"Customer Delivery Late","Ship Late"))</f>
        <v/>
      </c>
    </row>
    <row r="2889">
      <c r="A2889" s="2" t="inlineStr">
        <is>
          <t>ORD-02888</t>
        </is>
      </c>
      <c r="B2889" s="2" t="inlineStr">
        <is>
          <t>Customer 22</t>
        </is>
      </c>
      <c r="C2889" s="2" t="inlineStr">
        <is>
          <t>Relay</t>
        </is>
      </c>
      <c r="D2889" s="2" t="inlineStr">
        <is>
          <t>Plant B</t>
        </is>
      </c>
      <c r="E2889" s="2" t="inlineStr">
        <is>
          <t>Central</t>
        </is>
      </c>
      <c r="F2889" s="12" t="n">
        <v>46094</v>
      </c>
      <c r="G2889" s="12" t="n">
        <v>46117</v>
      </c>
      <c r="H2889" s="12" t="n">
        <v>46115</v>
      </c>
      <c r="I2889" s="12" t="n">
        <v>46113</v>
      </c>
      <c r="J2889" s="12" t="n">
        <v>46115</v>
      </c>
      <c r="K2889" s="2" t="n">
        <v>908</v>
      </c>
      <c r="L2889" s="2" t="inlineStr">
        <is>
          <t>Sea</t>
        </is>
      </c>
      <c r="M2889" s="2" t="inlineStr">
        <is>
          <t>No Delay</t>
        </is>
      </c>
      <c r="N2889" s="4">
        <f>IF(I2889&lt;=H2889,1,0)</f>
        <v/>
      </c>
      <c r="O2889" s="4">
        <f>IF(J2889&lt;=G2889,1,0)</f>
        <v/>
      </c>
      <c r="P2889" s="4">
        <f>MAX(0,I2889-H2889)</f>
        <v/>
      </c>
      <c r="Q2889" s="4">
        <f>MAX(0,J2889-G2889)</f>
        <v/>
      </c>
      <c r="R2889" s="4">
        <f>IF(AND(N2889=1,O2889=1),"On Track",IF(O2889=0,"Customer Delivery Late","Ship Late"))</f>
        <v/>
      </c>
    </row>
    <row r="2890">
      <c r="A2890" s="2" t="inlineStr">
        <is>
          <t>ORD-02889</t>
        </is>
      </c>
      <c r="B2890" s="2" t="inlineStr">
        <is>
          <t>Customer 12</t>
        </is>
      </c>
      <c r="C2890" s="2" t="inlineStr">
        <is>
          <t>Contactor</t>
        </is>
      </c>
      <c r="D2890" s="2" t="inlineStr">
        <is>
          <t>Plant C</t>
        </is>
      </c>
      <c r="E2890" s="2" t="inlineStr">
        <is>
          <t>Export</t>
        </is>
      </c>
      <c r="F2890" s="12" t="n">
        <v>46026</v>
      </c>
      <c r="G2890" s="12" t="n">
        <v>46039</v>
      </c>
      <c r="H2890" s="12" t="n">
        <v>46035</v>
      </c>
      <c r="I2890" s="12" t="n">
        <v>46033</v>
      </c>
      <c r="J2890" s="12" t="n">
        <v>46038</v>
      </c>
      <c r="K2890" s="2" t="n">
        <v>774</v>
      </c>
      <c r="L2890" s="2" t="inlineStr">
        <is>
          <t>Air</t>
        </is>
      </c>
      <c r="M2890" s="2" t="inlineStr">
        <is>
          <t>No Delay</t>
        </is>
      </c>
      <c r="N2890" s="4">
        <f>IF(I2890&lt;=H2890,1,0)</f>
        <v/>
      </c>
      <c r="O2890" s="4">
        <f>IF(J2890&lt;=G2890,1,0)</f>
        <v/>
      </c>
      <c r="P2890" s="4">
        <f>MAX(0,I2890-H2890)</f>
        <v/>
      </c>
      <c r="Q2890" s="4">
        <f>MAX(0,J2890-G2890)</f>
        <v/>
      </c>
      <c r="R2890" s="4">
        <f>IF(AND(N2890=1,O2890=1),"On Track",IF(O2890=0,"Customer Delivery Late","Ship Late"))</f>
        <v/>
      </c>
    </row>
    <row r="2891">
      <c r="A2891" s="2" t="inlineStr">
        <is>
          <t>ORD-02890</t>
        </is>
      </c>
      <c r="B2891" s="2" t="inlineStr">
        <is>
          <t>Customer 25</t>
        </is>
      </c>
      <c r="C2891" s="2" t="inlineStr">
        <is>
          <t>PLC</t>
        </is>
      </c>
      <c r="D2891" s="2" t="inlineStr">
        <is>
          <t>Plant C</t>
        </is>
      </c>
      <c r="E2891" s="2" t="inlineStr">
        <is>
          <t>Central</t>
        </is>
      </c>
      <c r="F2891" s="12" t="n">
        <v>46171</v>
      </c>
      <c r="G2891" s="12" t="n">
        <v>46181</v>
      </c>
      <c r="H2891" s="12" t="n">
        <v>46177</v>
      </c>
      <c r="I2891" s="12" t="n">
        <v>46177</v>
      </c>
      <c r="J2891" s="12" t="n">
        <v>46180</v>
      </c>
      <c r="K2891" s="2" t="n">
        <v>971</v>
      </c>
      <c r="L2891" s="2" t="inlineStr">
        <is>
          <t>Road</t>
        </is>
      </c>
      <c r="M2891" s="2" t="inlineStr">
        <is>
          <t>No Delay</t>
        </is>
      </c>
      <c r="N2891" s="4">
        <f>IF(I2891&lt;=H2891,1,0)</f>
        <v/>
      </c>
      <c r="O2891" s="4">
        <f>IF(J2891&lt;=G2891,1,0)</f>
        <v/>
      </c>
      <c r="P2891" s="4">
        <f>MAX(0,I2891-H2891)</f>
        <v/>
      </c>
      <c r="Q2891" s="4">
        <f>MAX(0,J2891-G2891)</f>
        <v/>
      </c>
      <c r="R2891" s="4">
        <f>IF(AND(N2891=1,O2891=1),"On Track",IF(O2891=0,"Customer Delivery Late","Ship Late"))</f>
        <v/>
      </c>
    </row>
    <row r="2892">
      <c r="A2892" s="2" t="inlineStr">
        <is>
          <t>ORD-02891</t>
        </is>
      </c>
      <c r="B2892" s="2" t="inlineStr">
        <is>
          <t>Customer 05</t>
        </is>
      </c>
      <c r="C2892" s="2" t="inlineStr">
        <is>
          <t>PLC</t>
        </is>
      </c>
      <c r="D2892" s="2" t="inlineStr">
        <is>
          <t>Plant A</t>
        </is>
      </c>
      <c r="E2892" s="2" t="inlineStr">
        <is>
          <t>North</t>
        </is>
      </c>
      <c r="F2892" s="12" t="n">
        <v>46110</v>
      </c>
      <c r="G2892" s="12" t="n">
        <v>46130</v>
      </c>
      <c r="H2892" s="12" t="n">
        <v>46129</v>
      </c>
      <c r="I2892" s="12" t="n">
        <v>46128</v>
      </c>
      <c r="J2892" s="12" t="n">
        <v>46129</v>
      </c>
      <c r="K2892" s="2" t="n">
        <v>1141</v>
      </c>
      <c r="L2892" s="2" t="inlineStr">
        <is>
          <t>Air</t>
        </is>
      </c>
      <c r="M2892" s="2" t="inlineStr">
        <is>
          <t>No Delay</t>
        </is>
      </c>
      <c r="N2892" s="4">
        <f>IF(I2892&lt;=H2892,1,0)</f>
        <v/>
      </c>
      <c r="O2892" s="4">
        <f>IF(J2892&lt;=G2892,1,0)</f>
        <v/>
      </c>
      <c r="P2892" s="4">
        <f>MAX(0,I2892-H2892)</f>
        <v/>
      </c>
      <c r="Q2892" s="4">
        <f>MAX(0,J2892-G2892)</f>
        <v/>
      </c>
      <c r="R2892" s="4">
        <f>IF(AND(N2892=1,O2892=1),"On Track",IF(O2892=0,"Customer Delivery Late","Ship Late"))</f>
        <v/>
      </c>
    </row>
    <row r="2893">
      <c r="A2893" s="2" t="inlineStr">
        <is>
          <t>ORD-02892</t>
        </is>
      </c>
      <c r="B2893" s="2" t="inlineStr">
        <is>
          <t>Customer 23</t>
        </is>
      </c>
      <c r="C2893" s="2" t="inlineStr">
        <is>
          <t>Sensor</t>
        </is>
      </c>
      <c r="D2893" s="2" t="inlineStr">
        <is>
          <t>Plant A</t>
        </is>
      </c>
      <c r="E2893" s="2" t="inlineStr">
        <is>
          <t>South</t>
        </is>
      </c>
      <c r="F2893" s="12" t="n">
        <v>46140</v>
      </c>
      <c r="G2893" s="12" t="n">
        <v>46161</v>
      </c>
      <c r="H2893" s="12" t="n">
        <v>46156</v>
      </c>
      <c r="I2893" s="12" t="n">
        <v>46156</v>
      </c>
      <c r="J2893" s="12" t="n">
        <v>46161</v>
      </c>
      <c r="K2893" s="2" t="n">
        <v>805</v>
      </c>
      <c r="L2893" s="2" t="inlineStr">
        <is>
          <t>Air</t>
        </is>
      </c>
      <c r="M2893" s="2" t="inlineStr">
        <is>
          <t>No Delay</t>
        </is>
      </c>
      <c r="N2893" s="4">
        <f>IF(I2893&lt;=H2893,1,0)</f>
        <v/>
      </c>
      <c r="O2893" s="4">
        <f>IF(J2893&lt;=G2893,1,0)</f>
        <v/>
      </c>
      <c r="P2893" s="4">
        <f>MAX(0,I2893-H2893)</f>
        <v/>
      </c>
      <c r="Q2893" s="4">
        <f>MAX(0,J2893-G2893)</f>
        <v/>
      </c>
      <c r="R2893" s="4">
        <f>IF(AND(N2893=1,O2893=1),"On Track",IF(O2893=0,"Customer Delivery Late","Ship Late"))</f>
        <v/>
      </c>
    </row>
    <row r="2894">
      <c r="A2894" s="2" t="inlineStr">
        <is>
          <t>ORD-02893</t>
        </is>
      </c>
      <c r="B2894" s="2" t="inlineStr">
        <is>
          <t>Customer 26</t>
        </is>
      </c>
      <c r="C2894" s="2" t="inlineStr">
        <is>
          <t>PLC</t>
        </is>
      </c>
      <c r="D2894" s="2" t="inlineStr">
        <is>
          <t>Plant B</t>
        </is>
      </c>
      <c r="E2894" s="2" t="inlineStr">
        <is>
          <t>North</t>
        </is>
      </c>
      <c r="F2894" s="12" t="n">
        <v>46028</v>
      </c>
      <c r="G2894" s="12" t="n">
        <v>46033</v>
      </c>
      <c r="H2894" s="12" t="n">
        <v>46028</v>
      </c>
      <c r="I2894" s="12" t="n">
        <v>46028</v>
      </c>
      <c r="J2894" s="12" t="n">
        <v>46033</v>
      </c>
      <c r="K2894" s="2" t="n">
        <v>1439</v>
      </c>
      <c r="L2894" s="2" t="inlineStr">
        <is>
          <t>Road</t>
        </is>
      </c>
      <c r="M2894" s="2" t="inlineStr">
        <is>
          <t>No Delay</t>
        </is>
      </c>
      <c r="N2894" s="4">
        <f>IF(I2894&lt;=H2894,1,0)</f>
        <v/>
      </c>
      <c r="O2894" s="4">
        <f>IF(J2894&lt;=G2894,1,0)</f>
        <v/>
      </c>
      <c r="P2894" s="4">
        <f>MAX(0,I2894-H2894)</f>
        <v/>
      </c>
      <c r="Q2894" s="4">
        <f>MAX(0,J2894-G2894)</f>
        <v/>
      </c>
      <c r="R2894" s="4">
        <f>IF(AND(N2894=1,O2894=1),"On Track",IF(O2894=0,"Customer Delivery Late","Ship Late"))</f>
        <v/>
      </c>
    </row>
    <row r="2895">
      <c r="A2895" s="2" t="inlineStr">
        <is>
          <t>ORD-02894</t>
        </is>
      </c>
      <c r="B2895" s="2" t="inlineStr">
        <is>
          <t>Customer 05</t>
        </is>
      </c>
      <c r="C2895" s="2" t="inlineStr">
        <is>
          <t>Drive</t>
        </is>
      </c>
      <c r="D2895" s="2" t="inlineStr">
        <is>
          <t>Plant B</t>
        </is>
      </c>
      <c r="E2895" s="2" t="inlineStr">
        <is>
          <t>South</t>
        </is>
      </c>
      <c r="F2895" s="12" t="n">
        <v>46030</v>
      </c>
      <c r="G2895" s="12" t="n">
        <v>46041</v>
      </c>
      <c r="H2895" s="12" t="n">
        <v>46038</v>
      </c>
      <c r="I2895" s="12" t="n">
        <v>46036</v>
      </c>
      <c r="J2895" s="12" t="n">
        <v>46039</v>
      </c>
      <c r="K2895" s="2" t="n">
        <v>1272</v>
      </c>
      <c r="L2895" s="2" t="inlineStr">
        <is>
          <t>Sea</t>
        </is>
      </c>
      <c r="M2895" s="2" t="inlineStr">
        <is>
          <t>No Delay</t>
        </is>
      </c>
      <c r="N2895" s="4">
        <f>IF(I2895&lt;=H2895,1,0)</f>
        <v/>
      </c>
      <c r="O2895" s="4">
        <f>IF(J2895&lt;=G2895,1,0)</f>
        <v/>
      </c>
      <c r="P2895" s="4">
        <f>MAX(0,I2895-H2895)</f>
        <v/>
      </c>
      <c r="Q2895" s="4">
        <f>MAX(0,J2895-G2895)</f>
        <v/>
      </c>
      <c r="R2895" s="4">
        <f>IF(AND(N2895=1,O2895=1),"On Track",IF(O2895=0,"Customer Delivery Late","Ship Late"))</f>
        <v/>
      </c>
    </row>
    <row r="2896">
      <c r="A2896" s="2" t="inlineStr">
        <is>
          <t>ORD-02895</t>
        </is>
      </c>
      <c r="B2896" s="2" t="inlineStr">
        <is>
          <t>Customer 01</t>
        </is>
      </c>
      <c r="C2896" s="2" t="inlineStr">
        <is>
          <t>Switchgear</t>
        </is>
      </c>
      <c r="D2896" s="2" t="inlineStr">
        <is>
          <t>Plant B</t>
        </is>
      </c>
      <c r="E2896" s="2" t="inlineStr">
        <is>
          <t>Export</t>
        </is>
      </c>
      <c r="F2896" s="12" t="n">
        <v>46177</v>
      </c>
      <c r="G2896" s="12" t="n">
        <v>46196</v>
      </c>
      <c r="H2896" s="12" t="n">
        <v>46192</v>
      </c>
      <c r="I2896" s="12" t="n">
        <v>46190</v>
      </c>
      <c r="J2896" s="12" t="n">
        <v>46193</v>
      </c>
      <c r="K2896" s="2" t="n">
        <v>213</v>
      </c>
      <c r="L2896" s="2" t="inlineStr">
        <is>
          <t>Air</t>
        </is>
      </c>
      <c r="M2896" s="2" t="inlineStr">
        <is>
          <t>No Delay</t>
        </is>
      </c>
      <c r="N2896" s="4">
        <f>IF(I2896&lt;=H2896,1,0)</f>
        <v/>
      </c>
      <c r="O2896" s="4">
        <f>IF(J2896&lt;=G2896,1,0)</f>
        <v/>
      </c>
      <c r="P2896" s="4">
        <f>MAX(0,I2896-H2896)</f>
        <v/>
      </c>
      <c r="Q2896" s="4">
        <f>MAX(0,J2896-G2896)</f>
        <v/>
      </c>
      <c r="R2896" s="4">
        <f>IF(AND(N2896=1,O2896=1),"On Track",IF(O2896=0,"Customer Delivery Late","Ship Late"))</f>
        <v/>
      </c>
    </row>
    <row r="2897">
      <c r="A2897" s="2" t="inlineStr">
        <is>
          <t>ORD-02896</t>
        </is>
      </c>
      <c r="B2897" s="2" t="inlineStr">
        <is>
          <t>Customer 28</t>
        </is>
      </c>
      <c r="C2897" s="2" t="inlineStr">
        <is>
          <t>Switchgear</t>
        </is>
      </c>
      <c r="D2897" s="2" t="inlineStr">
        <is>
          <t>Plant B</t>
        </is>
      </c>
      <c r="E2897" s="2" t="inlineStr">
        <is>
          <t>South</t>
        </is>
      </c>
      <c r="F2897" s="12" t="n">
        <v>46084</v>
      </c>
      <c r="G2897" s="12" t="n">
        <v>46096</v>
      </c>
      <c r="H2897" s="12" t="n">
        <v>46092</v>
      </c>
      <c r="I2897" s="12" t="n">
        <v>46090</v>
      </c>
      <c r="J2897" s="12" t="n">
        <v>46095</v>
      </c>
      <c r="K2897" s="2" t="n">
        <v>413</v>
      </c>
      <c r="L2897" s="2" t="inlineStr">
        <is>
          <t>Air</t>
        </is>
      </c>
      <c r="M2897" s="2" t="inlineStr">
        <is>
          <t>No Delay</t>
        </is>
      </c>
      <c r="N2897" s="4">
        <f>IF(I2897&lt;=H2897,1,0)</f>
        <v/>
      </c>
      <c r="O2897" s="4">
        <f>IF(J2897&lt;=G2897,1,0)</f>
        <v/>
      </c>
      <c r="P2897" s="4">
        <f>MAX(0,I2897-H2897)</f>
        <v/>
      </c>
      <c r="Q2897" s="4">
        <f>MAX(0,J2897-G2897)</f>
        <v/>
      </c>
      <c r="R2897" s="4">
        <f>IF(AND(N2897=1,O2897=1),"On Track",IF(O2897=0,"Customer Delivery Late","Ship Late"))</f>
        <v/>
      </c>
    </row>
    <row r="2898">
      <c r="A2898" s="2" t="inlineStr">
        <is>
          <t>ORD-02897</t>
        </is>
      </c>
      <c r="B2898" s="2" t="inlineStr">
        <is>
          <t>Customer 23</t>
        </is>
      </c>
      <c r="C2898" s="2" t="inlineStr">
        <is>
          <t>Switchgear</t>
        </is>
      </c>
      <c r="D2898" s="2" t="inlineStr">
        <is>
          <t>Plant B</t>
        </is>
      </c>
      <c r="E2898" s="2" t="inlineStr">
        <is>
          <t>Central</t>
        </is>
      </c>
      <c r="F2898" s="12" t="n">
        <v>46166</v>
      </c>
      <c r="G2898" s="12" t="n">
        <v>46185</v>
      </c>
      <c r="H2898" s="12" t="n">
        <v>46184</v>
      </c>
      <c r="I2898" s="12" t="n">
        <v>46184</v>
      </c>
      <c r="J2898" s="12" t="n">
        <v>46185</v>
      </c>
      <c r="K2898" s="2" t="n">
        <v>172</v>
      </c>
      <c r="L2898" s="2" t="inlineStr">
        <is>
          <t>Air</t>
        </is>
      </c>
      <c r="M2898" s="2" t="inlineStr">
        <is>
          <t>No Delay</t>
        </is>
      </c>
      <c r="N2898" s="4">
        <f>IF(I2898&lt;=H2898,1,0)</f>
        <v/>
      </c>
      <c r="O2898" s="4">
        <f>IF(J2898&lt;=G2898,1,0)</f>
        <v/>
      </c>
      <c r="P2898" s="4">
        <f>MAX(0,I2898-H2898)</f>
        <v/>
      </c>
      <c r="Q2898" s="4">
        <f>MAX(0,J2898-G2898)</f>
        <v/>
      </c>
      <c r="R2898" s="4">
        <f>IF(AND(N2898=1,O2898=1),"On Track",IF(O2898=0,"Customer Delivery Late","Ship Late"))</f>
        <v/>
      </c>
    </row>
    <row r="2899">
      <c r="A2899" s="2" t="inlineStr">
        <is>
          <t>ORD-02898</t>
        </is>
      </c>
      <c r="B2899" s="2" t="inlineStr">
        <is>
          <t>Customer 27</t>
        </is>
      </c>
      <c r="C2899" s="2" t="inlineStr">
        <is>
          <t>Power Supply</t>
        </is>
      </c>
      <c r="D2899" s="2" t="inlineStr">
        <is>
          <t>Plant B</t>
        </is>
      </c>
      <c r="E2899" s="2" t="inlineStr">
        <is>
          <t>North</t>
        </is>
      </c>
      <c r="F2899" s="12" t="n">
        <v>46145</v>
      </c>
      <c r="G2899" s="12" t="n">
        <v>46165</v>
      </c>
      <c r="H2899" s="12" t="n">
        <v>46162</v>
      </c>
      <c r="I2899" s="12" t="n">
        <v>46162</v>
      </c>
      <c r="J2899" s="12" t="n">
        <v>46165</v>
      </c>
      <c r="K2899" s="2" t="n">
        <v>1082</v>
      </c>
      <c r="L2899" s="2" t="inlineStr">
        <is>
          <t>Road</t>
        </is>
      </c>
      <c r="M2899" s="2" t="inlineStr">
        <is>
          <t>No Delay</t>
        </is>
      </c>
      <c r="N2899" s="4">
        <f>IF(I2899&lt;=H2899,1,0)</f>
        <v/>
      </c>
      <c r="O2899" s="4">
        <f>IF(J2899&lt;=G2899,1,0)</f>
        <v/>
      </c>
      <c r="P2899" s="4">
        <f>MAX(0,I2899-H2899)</f>
        <v/>
      </c>
      <c r="Q2899" s="4">
        <f>MAX(0,J2899-G2899)</f>
        <v/>
      </c>
      <c r="R2899" s="4">
        <f>IF(AND(N2899=1,O2899=1),"On Track",IF(O2899=0,"Customer Delivery Late","Ship Late"))</f>
        <v/>
      </c>
    </row>
    <row r="2900">
      <c r="A2900" s="2" t="inlineStr">
        <is>
          <t>ORD-02899</t>
        </is>
      </c>
      <c r="B2900" s="2" t="inlineStr">
        <is>
          <t>Customer 29</t>
        </is>
      </c>
      <c r="C2900" s="2" t="inlineStr">
        <is>
          <t>PLC</t>
        </is>
      </c>
      <c r="D2900" s="2" t="inlineStr">
        <is>
          <t>Plant C</t>
        </is>
      </c>
      <c r="E2900" s="2" t="inlineStr">
        <is>
          <t>North</t>
        </is>
      </c>
      <c r="F2900" s="12" t="n">
        <v>46097</v>
      </c>
      <c r="G2900" s="12" t="n">
        <v>46119</v>
      </c>
      <c r="H2900" s="12" t="n">
        <v>46115</v>
      </c>
      <c r="I2900" s="12" t="n">
        <v>46114</v>
      </c>
      <c r="J2900" s="12" t="n">
        <v>46118</v>
      </c>
      <c r="K2900" s="2" t="n">
        <v>523</v>
      </c>
      <c r="L2900" s="2" t="inlineStr">
        <is>
          <t>Road</t>
        </is>
      </c>
      <c r="M2900" s="2" t="inlineStr">
        <is>
          <t>No Delay</t>
        </is>
      </c>
      <c r="N2900" s="4">
        <f>IF(I2900&lt;=H2900,1,0)</f>
        <v/>
      </c>
      <c r="O2900" s="4">
        <f>IF(J2900&lt;=G2900,1,0)</f>
        <v/>
      </c>
      <c r="P2900" s="4">
        <f>MAX(0,I2900-H2900)</f>
        <v/>
      </c>
      <c r="Q2900" s="4">
        <f>MAX(0,J2900-G2900)</f>
        <v/>
      </c>
      <c r="R2900" s="4">
        <f>IF(AND(N2900=1,O2900=1),"On Track",IF(O2900=0,"Customer Delivery Late","Ship Late"))</f>
        <v/>
      </c>
    </row>
    <row r="2901">
      <c r="A2901" s="2" t="inlineStr">
        <is>
          <t>ORD-02900</t>
        </is>
      </c>
      <c r="B2901" s="2" t="inlineStr">
        <is>
          <t>Customer 06</t>
        </is>
      </c>
      <c r="C2901" s="2" t="inlineStr">
        <is>
          <t>Contactor</t>
        </is>
      </c>
      <c r="D2901" s="2" t="inlineStr">
        <is>
          <t>Plant C</t>
        </is>
      </c>
      <c r="E2901" s="2" t="inlineStr">
        <is>
          <t>Central</t>
        </is>
      </c>
      <c r="F2901" s="12" t="n">
        <v>46177</v>
      </c>
      <c r="G2901" s="12" t="n">
        <v>46198</v>
      </c>
      <c r="H2901" s="12" t="n">
        <v>46193</v>
      </c>
      <c r="I2901" s="12" t="n">
        <v>46192</v>
      </c>
      <c r="J2901" s="12" t="n">
        <v>46197</v>
      </c>
      <c r="K2901" s="2" t="n">
        <v>289</v>
      </c>
      <c r="L2901" s="2" t="inlineStr">
        <is>
          <t>Road</t>
        </is>
      </c>
      <c r="M2901" s="2" t="inlineStr">
        <is>
          <t>No Delay</t>
        </is>
      </c>
      <c r="N2901" s="4">
        <f>IF(I2901&lt;=H2901,1,0)</f>
        <v/>
      </c>
      <c r="O2901" s="4">
        <f>IF(J2901&lt;=G2901,1,0)</f>
        <v/>
      </c>
      <c r="P2901" s="4">
        <f>MAX(0,I2901-H2901)</f>
        <v/>
      </c>
      <c r="Q2901" s="4">
        <f>MAX(0,J2901-G2901)</f>
        <v/>
      </c>
      <c r="R2901" s="4">
        <f>IF(AND(N2901=1,O2901=1),"On Track",IF(O2901=0,"Customer Delivery Late","Ship Late"))</f>
        <v/>
      </c>
    </row>
    <row r="2902">
      <c r="A2902" s="2" t="inlineStr">
        <is>
          <t>ORD-02901</t>
        </is>
      </c>
      <c r="B2902" s="2" t="inlineStr">
        <is>
          <t>Customer 26</t>
        </is>
      </c>
      <c r="C2902" s="2" t="inlineStr">
        <is>
          <t>Breaker</t>
        </is>
      </c>
      <c r="D2902" s="2" t="inlineStr">
        <is>
          <t>Plant A</t>
        </is>
      </c>
      <c r="E2902" s="2" t="inlineStr">
        <is>
          <t>Export</t>
        </is>
      </c>
      <c r="F2902" s="12" t="n">
        <v>46079</v>
      </c>
      <c r="G2902" s="12" t="n">
        <v>46102</v>
      </c>
      <c r="H2902" s="12" t="n">
        <v>46097</v>
      </c>
      <c r="I2902" s="12" t="n">
        <v>46097</v>
      </c>
      <c r="J2902" s="12" t="n">
        <v>46101</v>
      </c>
      <c r="K2902" s="2" t="n">
        <v>1440</v>
      </c>
      <c r="L2902" s="2" t="inlineStr">
        <is>
          <t>Road</t>
        </is>
      </c>
      <c r="M2902" s="2" t="inlineStr">
        <is>
          <t>No Delay</t>
        </is>
      </c>
      <c r="N2902" s="4">
        <f>IF(I2902&lt;=H2902,1,0)</f>
        <v/>
      </c>
      <c r="O2902" s="4">
        <f>IF(J2902&lt;=G2902,1,0)</f>
        <v/>
      </c>
      <c r="P2902" s="4">
        <f>MAX(0,I2902-H2902)</f>
        <v/>
      </c>
      <c r="Q2902" s="4">
        <f>MAX(0,J2902-G2902)</f>
        <v/>
      </c>
      <c r="R2902" s="4">
        <f>IF(AND(N2902=1,O2902=1),"On Track",IF(O2902=0,"Customer Delivery Late","Ship Late"))</f>
        <v/>
      </c>
    </row>
    <row r="2903">
      <c r="A2903" s="2" t="inlineStr">
        <is>
          <t>ORD-02902</t>
        </is>
      </c>
      <c r="B2903" s="2" t="inlineStr">
        <is>
          <t>Customer 30</t>
        </is>
      </c>
      <c r="C2903" s="2" t="inlineStr">
        <is>
          <t>Switchgear</t>
        </is>
      </c>
      <c r="D2903" s="2" t="inlineStr">
        <is>
          <t>Plant A</t>
        </is>
      </c>
      <c r="E2903" s="2" t="inlineStr">
        <is>
          <t>South</t>
        </is>
      </c>
      <c r="F2903" s="12" t="n">
        <v>46077</v>
      </c>
      <c r="G2903" s="12" t="n">
        <v>46086</v>
      </c>
      <c r="H2903" s="12" t="n">
        <v>46085</v>
      </c>
      <c r="I2903" s="12" t="n">
        <v>46084</v>
      </c>
      <c r="J2903" s="12" t="n">
        <v>46085</v>
      </c>
      <c r="K2903" s="2" t="n">
        <v>1375</v>
      </c>
      <c r="L2903" s="2" t="inlineStr">
        <is>
          <t>Air</t>
        </is>
      </c>
      <c r="M2903" s="2" t="inlineStr">
        <is>
          <t>No Delay</t>
        </is>
      </c>
      <c r="N2903" s="4">
        <f>IF(I2903&lt;=H2903,1,0)</f>
        <v/>
      </c>
      <c r="O2903" s="4">
        <f>IF(J2903&lt;=G2903,1,0)</f>
        <v/>
      </c>
      <c r="P2903" s="4">
        <f>MAX(0,I2903-H2903)</f>
        <v/>
      </c>
      <c r="Q2903" s="4">
        <f>MAX(0,J2903-G2903)</f>
        <v/>
      </c>
      <c r="R2903" s="4">
        <f>IF(AND(N2903=1,O2903=1),"On Track",IF(O2903=0,"Customer Delivery Late","Ship Late"))</f>
        <v/>
      </c>
    </row>
    <row r="2904">
      <c r="A2904" s="2" t="inlineStr">
        <is>
          <t>ORD-02903</t>
        </is>
      </c>
      <c r="B2904" s="2" t="inlineStr">
        <is>
          <t>Customer 27</t>
        </is>
      </c>
      <c r="C2904" s="2" t="inlineStr">
        <is>
          <t>PLC</t>
        </is>
      </c>
      <c r="D2904" s="2" t="inlineStr">
        <is>
          <t>Plant C</t>
        </is>
      </c>
      <c r="E2904" s="2" t="inlineStr">
        <is>
          <t>North</t>
        </is>
      </c>
      <c r="F2904" s="12" t="n">
        <v>46051</v>
      </c>
      <c r="G2904" s="12" t="n">
        <v>46070</v>
      </c>
      <c r="H2904" s="12" t="n">
        <v>46066</v>
      </c>
      <c r="I2904" s="12" t="n">
        <v>46065</v>
      </c>
      <c r="J2904" s="12" t="n">
        <v>46069</v>
      </c>
      <c r="K2904" s="2" t="n">
        <v>212</v>
      </c>
      <c r="L2904" s="2" t="inlineStr">
        <is>
          <t>Air</t>
        </is>
      </c>
      <c r="M2904" s="2" t="inlineStr">
        <is>
          <t>No Delay</t>
        </is>
      </c>
      <c r="N2904" s="4">
        <f>IF(I2904&lt;=H2904,1,0)</f>
        <v/>
      </c>
      <c r="O2904" s="4">
        <f>IF(J2904&lt;=G2904,1,0)</f>
        <v/>
      </c>
      <c r="P2904" s="4">
        <f>MAX(0,I2904-H2904)</f>
        <v/>
      </c>
      <c r="Q2904" s="4">
        <f>MAX(0,J2904-G2904)</f>
        <v/>
      </c>
      <c r="R2904" s="4">
        <f>IF(AND(N2904=1,O2904=1),"On Track",IF(O2904=0,"Customer Delivery Late","Ship Late"))</f>
        <v/>
      </c>
    </row>
    <row r="2905">
      <c r="A2905" s="2" t="inlineStr">
        <is>
          <t>ORD-02904</t>
        </is>
      </c>
      <c r="B2905" s="2" t="inlineStr">
        <is>
          <t>Customer 13</t>
        </is>
      </c>
      <c r="C2905" s="2" t="inlineStr">
        <is>
          <t>Drive</t>
        </is>
      </c>
      <c r="D2905" s="2" t="inlineStr">
        <is>
          <t>Plant B</t>
        </is>
      </c>
      <c r="E2905" s="2" t="inlineStr">
        <is>
          <t>Export</t>
        </is>
      </c>
      <c r="F2905" s="12" t="n">
        <v>46198</v>
      </c>
      <c r="G2905" s="12" t="n">
        <v>46212</v>
      </c>
      <c r="H2905" s="12" t="n">
        <v>46209</v>
      </c>
      <c r="I2905" s="12" t="n">
        <v>46208</v>
      </c>
      <c r="J2905" s="12" t="n">
        <v>46211</v>
      </c>
      <c r="K2905" s="2" t="n">
        <v>798</v>
      </c>
      <c r="L2905" s="2" t="inlineStr">
        <is>
          <t>Air</t>
        </is>
      </c>
      <c r="M2905" s="2" t="inlineStr">
        <is>
          <t>No Delay</t>
        </is>
      </c>
      <c r="N2905" s="4">
        <f>IF(I2905&lt;=H2905,1,0)</f>
        <v/>
      </c>
      <c r="O2905" s="4">
        <f>IF(J2905&lt;=G2905,1,0)</f>
        <v/>
      </c>
      <c r="P2905" s="4">
        <f>MAX(0,I2905-H2905)</f>
        <v/>
      </c>
      <c r="Q2905" s="4">
        <f>MAX(0,J2905-G2905)</f>
        <v/>
      </c>
      <c r="R2905" s="4">
        <f>IF(AND(N2905=1,O2905=1),"On Track",IF(O2905=0,"Customer Delivery Late","Ship Late"))</f>
        <v/>
      </c>
    </row>
    <row r="2906">
      <c r="A2906" s="2" t="inlineStr">
        <is>
          <t>ORD-02905</t>
        </is>
      </c>
      <c r="B2906" s="2" t="inlineStr">
        <is>
          <t>Customer 24</t>
        </is>
      </c>
      <c r="C2906" s="2" t="inlineStr">
        <is>
          <t>Drive</t>
        </is>
      </c>
      <c r="D2906" s="2" t="inlineStr">
        <is>
          <t>Plant C</t>
        </is>
      </c>
      <c r="E2906" s="2" t="inlineStr">
        <is>
          <t>Central</t>
        </is>
      </c>
      <c r="F2906" s="12" t="n">
        <v>46087</v>
      </c>
      <c r="G2906" s="12" t="n">
        <v>46107</v>
      </c>
      <c r="H2906" s="12" t="n">
        <v>46103</v>
      </c>
      <c r="I2906" s="12" t="n">
        <v>46102</v>
      </c>
      <c r="J2906" s="12" t="n">
        <v>46105</v>
      </c>
      <c r="K2906" s="2" t="n">
        <v>1210</v>
      </c>
      <c r="L2906" s="2" t="inlineStr">
        <is>
          <t>Air</t>
        </is>
      </c>
      <c r="M2906" s="2" t="inlineStr">
        <is>
          <t>No Delay</t>
        </is>
      </c>
      <c r="N2906" s="4">
        <f>IF(I2906&lt;=H2906,1,0)</f>
        <v/>
      </c>
      <c r="O2906" s="4">
        <f>IF(J2906&lt;=G2906,1,0)</f>
        <v/>
      </c>
      <c r="P2906" s="4">
        <f>MAX(0,I2906-H2906)</f>
        <v/>
      </c>
      <c r="Q2906" s="4">
        <f>MAX(0,J2906-G2906)</f>
        <v/>
      </c>
      <c r="R2906" s="4">
        <f>IF(AND(N2906=1,O2906=1),"On Track",IF(O2906=0,"Customer Delivery Late","Ship Late"))</f>
        <v/>
      </c>
    </row>
    <row r="2907">
      <c r="A2907" s="2" t="inlineStr">
        <is>
          <t>ORD-02906</t>
        </is>
      </c>
      <c r="B2907" s="2" t="inlineStr">
        <is>
          <t>Customer 19</t>
        </is>
      </c>
      <c r="C2907" s="2" t="inlineStr">
        <is>
          <t>Switchgear</t>
        </is>
      </c>
      <c r="D2907" s="2" t="inlineStr">
        <is>
          <t>Plant C</t>
        </is>
      </c>
      <c r="E2907" s="2" t="inlineStr">
        <is>
          <t>Central</t>
        </is>
      </c>
      <c r="F2907" s="12" t="n">
        <v>46102</v>
      </c>
      <c r="G2907" s="12" t="n">
        <v>46117</v>
      </c>
      <c r="H2907" s="12" t="n">
        <v>46114</v>
      </c>
      <c r="I2907" s="12" t="n">
        <v>46112</v>
      </c>
      <c r="J2907" s="12" t="n">
        <v>46115</v>
      </c>
      <c r="K2907" s="2" t="n">
        <v>1225</v>
      </c>
      <c r="L2907" s="2" t="inlineStr">
        <is>
          <t>Sea</t>
        </is>
      </c>
      <c r="M2907" s="2" t="inlineStr">
        <is>
          <t>No Delay</t>
        </is>
      </c>
      <c r="N2907" s="4">
        <f>IF(I2907&lt;=H2907,1,0)</f>
        <v/>
      </c>
      <c r="O2907" s="4">
        <f>IF(J2907&lt;=G2907,1,0)</f>
        <v/>
      </c>
      <c r="P2907" s="4">
        <f>MAX(0,I2907-H2907)</f>
        <v/>
      </c>
      <c r="Q2907" s="4">
        <f>MAX(0,J2907-G2907)</f>
        <v/>
      </c>
      <c r="R2907" s="4">
        <f>IF(AND(N2907=1,O2907=1),"On Track",IF(O2907=0,"Customer Delivery Late","Ship Late"))</f>
        <v/>
      </c>
    </row>
    <row r="2908">
      <c r="A2908" s="2" t="inlineStr">
        <is>
          <t>ORD-02907</t>
        </is>
      </c>
      <c r="B2908" s="2" t="inlineStr">
        <is>
          <t>Customer 14</t>
        </is>
      </c>
      <c r="C2908" s="2" t="inlineStr">
        <is>
          <t>Contactor</t>
        </is>
      </c>
      <c r="D2908" s="2" t="inlineStr">
        <is>
          <t>Plant C</t>
        </is>
      </c>
      <c r="E2908" s="2" t="inlineStr">
        <is>
          <t>South</t>
        </is>
      </c>
      <c r="F2908" s="12" t="n">
        <v>46151</v>
      </c>
      <c r="G2908" s="12" t="n">
        <v>46171</v>
      </c>
      <c r="H2908" s="12" t="n">
        <v>46169</v>
      </c>
      <c r="I2908" s="12" t="n">
        <v>46168</v>
      </c>
      <c r="J2908" s="12" t="n">
        <v>46170</v>
      </c>
      <c r="K2908" s="2" t="n">
        <v>1427</v>
      </c>
      <c r="L2908" s="2" t="inlineStr">
        <is>
          <t>Road</t>
        </is>
      </c>
      <c r="M2908" s="2" t="inlineStr">
        <is>
          <t>No Delay</t>
        </is>
      </c>
      <c r="N2908" s="4">
        <f>IF(I2908&lt;=H2908,1,0)</f>
        <v/>
      </c>
      <c r="O2908" s="4">
        <f>IF(J2908&lt;=G2908,1,0)</f>
        <v/>
      </c>
      <c r="P2908" s="4">
        <f>MAX(0,I2908-H2908)</f>
        <v/>
      </c>
      <c r="Q2908" s="4">
        <f>MAX(0,J2908-G2908)</f>
        <v/>
      </c>
      <c r="R2908" s="4">
        <f>IF(AND(N2908=1,O2908=1),"On Track",IF(O2908=0,"Customer Delivery Late","Ship Late"))</f>
        <v/>
      </c>
    </row>
    <row r="2909">
      <c r="A2909" s="2" t="inlineStr">
        <is>
          <t>ORD-02908</t>
        </is>
      </c>
      <c r="B2909" s="2" t="inlineStr">
        <is>
          <t>Customer 14</t>
        </is>
      </c>
      <c r="C2909" s="2" t="inlineStr">
        <is>
          <t>Sensor</t>
        </is>
      </c>
      <c r="D2909" s="2" t="inlineStr">
        <is>
          <t>Plant A</t>
        </is>
      </c>
      <c r="E2909" s="2" t="inlineStr">
        <is>
          <t>North</t>
        </is>
      </c>
      <c r="F2909" s="12" t="n">
        <v>46129</v>
      </c>
      <c r="G2909" s="12" t="n">
        <v>46153</v>
      </c>
      <c r="H2909" s="12" t="n">
        <v>46151</v>
      </c>
      <c r="I2909" s="12" t="n">
        <v>46151</v>
      </c>
      <c r="J2909" s="12" t="n">
        <v>46153</v>
      </c>
      <c r="K2909" s="2" t="n">
        <v>788</v>
      </c>
      <c r="L2909" s="2" t="inlineStr">
        <is>
          <t>Air</t>
        </is>
      </c>
      <c r="M2909" s="2" t="inlineStr">
        <is>
          <t>No Delay</t>
        </is>
      </c>
      <c r="N2909" s="4">
        <f>IF(I2909&lt;=H2909,1,0)</f>
        <v/>
      </c>
      <c r="O2909" s="4">
        <f>IF(J2909&lt;=G2909,1,0)</f>
        <v/>
      </c>
      <c r="P2909" s="4">
        <f>MAX(0,I2909-H2909)</f>
        <v/>
      </c>
      <c r="Q2909" s="4">
        <f>MAX(0,J2909-G2909)</f>
        <v/>
      </c>
      <c r="R2909" s="4">
        <f>IF(AND(N2909=1,O2909=1),"On Track",IF(O2909=0,"Customer Delivery Late","Ship Late"))</f>
        <v/>
      </c>
    </row>
    <row r="2910">
      <c r="A2910" s="2" t="inlineStr">
        <is>
          <t>ORD-02909</t>
        </is>
      </c>
      <c r="B2910" s="2" t="inlineStr">
        <is>
          <t>Customer 06</t>
        </is>
      </c>
      <c r="C2910" s="2" t="inlineStr">
        <is>
          <t>Contactor</t>
        </is>
      </c>
      <c r="D2910" s="2" t="inlineStr">
        <is>
          <t>Plant B</t>
        </is>
      </c>
      <c r="E2910" s="2" t="inlineStr">
        <is>
          <t>Central</t>
        </is>
      </c>
      <c r="F2910" s="12" t="n">
        <v>46058</v>
      </c>
      <c r="G2910" s="12" t="n">
        <v>46072</v>
      </c>
      <c r="H2910" s="12" t="n">
        <v>46068</v>
      </c>
      <c r="I2910" s="12" t="n">
        <v>46067</v>
      </c>
      <c r="J2910" s="12" t="n">
        <v>46072</v>
      </c>
      <c r="K2910" s="2" t="n">
        <v>123</v>
      </c>
      <c r="L2910" s="2" t="inlineStr">
        <is>
          <t>Road</t>
        </is>
      </c>
      <c r="M2910" s="2" t="inlineStr">
        <is>
          <t>No Delay</t>
        </is>
      </c>
      <c r="N2910" s="4">
        <f>IF(I2910&lt;=H2910,1,0)</f>
        <v/>
      </c>
      <c r="O2910" s="4">
        <f>IF(J2910&lt;=G2910,1,0)</f>
        <v/>
      </c>
      <c r="P2910" s="4">
        <f>MAX(0,I2910-H2910)</f>
        <v/>
      </c>
      <c r="Q2910" s="4">
        <f>MAX(0,J2910-G2910)</f>
        <v/>
      </c>
      <c r="R2910" s="4">
        <f>IF(AND(N2910=1,O2910=1),"On Track",IF(O2910=0,"Customer Delivery Late","Ship Late"))</f>
        <v/>
      </c>
    </row>
    <row r="2911">
      <c r="A2911" s="2" t="inlineStr">
        <is>
          <t>ORD-02910</t>
        </is>
      </c>
      <c r="B2911" s="2" t="inlineStr">
        <is>
          <t>Customer 30</t>
        </is>
      </c>
      <c r="C2911" s="2" t="inlineStr">
        <is>
          <t>Contactor</t>
        </is>
      </c>
      <c r="D2911" s="2" t="inlineStr">
        <is>
          <t>Plant C</t>
        </is>
      </c>
      <c r="E2911" s="2" t="inlineStr">
        <is>
          <t>South</t>
        </is>
      </c>
      <c r="F2911" s="12" t="n">
        <v>46045</v>
      </c>
      <c r="G2911" s="12" t="n">
        <v>46067</v>
      </c>
      <c r="H2911" s="12" t="n">
        <v>46065</v>
      </c>
      <c r="I2911" s="12" t="n">
        <v>46069</v>
      </c>
      <c r="J2911" s="12" t="n">
        <v>46070</v>
      </c>
      <c r="K2911" s="2" t="n">
        <v>1379</v>
      </c>
      <c r="L2911" s="2" t="inlineStr">
        <is>
          <t>Road</t>
        </is>
      </c>
      <c r="M2911" s="2" t="inlineStr">
        <is>
          <t>Material Shortage</t>
        </is>
      </c>
      <c r="N2911" s="4">
        <f>IF(I2911&lt;=H2911,1,0)</f>
        <v/>
      </c>
      <c r="O2911" s="4">
        <f>IF(J2911&lt;=G2911,1,0)</f>
        <v/>
      </c>
      <c r="P2911" s="4">
        <f>MAX(0,I2911-H2911)</f>
        <v/>
      </c>
      <c r="Q2911" s="4">
        <f>MAX(0,J2911-G2911)</f>
        <v/>
      </c>
      <c r="R2911" s="4">
        <f>IF(AND(N2911=1,O2911=1),"On Track",IF(O2911=0,"Customer Delivery Late","Ship Late"))</f>
        <v/>
      </c>
    </row>
    <row r="2912">
      <c r="A2912" s="2" t="inlineStr">
        <is>
          <t>ORD-02911</t>
        </is>
      </c>
      <c r="B2912" s="2" t="inlineStr">
        <is>
          <t>Customer 12</t>
        </is>
      </c>
      <c r="C2912" s="2" t="inlineStr">
        <is>
          <t>Relay</t>
        </is>
      </c>
      <c r="D2912" s="2" t="inlineStr">
        <is>
          <t>Plant C</t>
        </is>
      </c>
      <c r="E2912" s="2" t="inlineStr">
        <is>
          <t>South</t>
        </is>
      </c>
      <c r="F2912" s="12" t="n">
        <v>46125</v>
      </c>
      <c r="G2912" s="12" t="n">
        <v>46141</v>
      </c>
      <c r="H2912" s="12" t="n">
        <v>46138</v>
      </c>
      <c r="I2912" s="12" t="n">
        <v>46137</v>
      </c>
      <c r="J2912" s="12" t="n">
        <v>46141</v>
      </c>
      <c r="K2912" s="2" t="n">
        <v>738</v>
      </c>
      <c r="L2912" s="2" t="inlineStr">
        <is>
          <t>Road</t>
        </is>
      </c>
      <c r="M2912" s="2" t="inlineStr">
        <is>
          <t>No Delay</t>
        </is>
      </c>
      <c r="N2912" s="4">
        <f>IF(I2912&lt;=H2912,1,0)</f>
        <v/>
      </c>
      <c r="O2912" s="4">
        <f>IF(J2912&lt;=G2912,1,0)</f>
        <v/>
      </c>
      <c r="P2912" s="4">
        <f>MAX(0,I2912-H2912)</f>
        <v/>
      </c>
      <c r="Q2912" s="4">
        <f>MAX(0,J2912-G2912)</f>
        <v/>
      </c>
      <c r="R2912" s="4">
        <f>IF(AND(N2912=1,O2912=1),"On Track",IF(O2912=0,"Customer Delivery Late","Ship Late"))</f>
        <v/>
      </c>
    </row>
    <row r="2913">
      <c r="A2913" s="2" t="inlineStr">
        <is>
          <t>ORD-02912</t>
        </is>
      </c>
      <c r="B2913" s="2" t="inlineStr">
        <is>
          <t>Customer 30</t>
        </is>
      </c>
      <c r="C2913" s="2" t="inlineStr">
        <is>
          <t>Sensor</t>
        </is>
      </c>
      <c r="D2913" s="2" t="inlineStr">
        <is>
          <t>Plant B</t>
        </is>
      </c>
      <c r="E2913" s="2" t="inlineStr">
        <is>
          <t>Export</t>
        </is>
      </c>
      <c r="F2913" s="12" t="n">
        <v>46168</v>
      </c>
      <c r="G2913" s="12" t="n">
        <v>46185</v>
      </c>
      <c r="H2913" s="12" t="n">
        <v>46184</v>
      </c>
      <c r="I2913" s="12" t="n">
        <v>46183</v>
      </c>
      <c r="J2913" s="12" t="n">
        <v>46184</v>
      </c>
      <c r="K2913" s="2" t="n">
        <v>1458</v>
      </c>
      <c r="L2913" s="2" t="inlineStr">
        <is>
          <t>Sea</t>
        </is>
      </c>
      <c r="M2913" s="2" t="inlineStr">
        <is>
          <t>No Delay</t>
        </is>
      </c>
      <c r="N2913" s="4">
        <f>IF(I2913&lt;=H2913,1,0)</f>
        <v/>
      </c>
      <c r="O2913" s="4">
        <f>IF(J2913&lt;=G2913,1,0)</f>
        <v/>
      </c>
      <c r="P2913" s="4">
        <f>MAX(0,I2913-H2913)</f>
        <v/>
      </c>
      <c r="Q2913" s="4">
        <f>MAX(0,J2913-G2913)</f>
        <v/>
      </c>
      <c r="R2913" s="4">
        <f>IF(AND(N2913=1,O2913=1),"On Track",IF(O2913=0,"Customer Delivery Late","Ship Late"))</f>
        <v/>
      </c>
    </row>
    <row r="2914">
      <c r="A2914" s="2" t="inlineStr">
        <is>
          <t>ORD-02913</t>
        </is>
      </c>
      <c r="B2914" s="2" t="inlineStr">
        <is>
          <t>Customer 22</t>
        </is>
      </c>
      <c r="C2914" s="2" t="inlineStr">
        <is>
          <t>PLC</t>
        </is>
      </c>
      <c r="D2914" s="2" t="inlineStr">
        <is>
          <t>Plant B</t>
        </is>
      </c>
      <c r="E2914" s="2" t="inlineStr">
        <is>
          <t>South</t>
        </is>
      </c>
      <c r="F2914" s="12" t="n">
        <v>46077</v>
      </c>
      <c r="G2914" s="12" t="n">
        <v>46092</v>
      </c>
      <c r="H2914" s="12" t="n">
        <v>46091</v>
      </c>
      <c r="I2914" s="12" t="n">
        <v>46091</v>
      </c>
      <c r="J2914" s="12" t="n">
        <v>46093</v>
      </c>
      <c r="K2914" s="2" t="n">
        <v>823</v>
      </c>
      <c r="L2914" s="2" t="inlineStr">
        <is>
          <t>Air</t>
        </is>
      </c>
      <c r="M2914" s="2" t="inlineStr">
        <is>
          <t>Material Shortage</t>
        </is>
      </c>
      <c r="N2914" s="4">
        <f>IF(I2914&lt;=H2914,1,0)</f>
        <v/>
      </c>
      <c r="O2914" s="4">
        <f>IF(J2914&lt;=G2914,1,0)</f>
        <v/>
      </c>
      <c r="P2914" s="4">
        <f>MAX(0,I2914-H2914)</f>
        <v/>
      </c>
      <c r="Q2914" s="4">
        <f>MAX(0,J2914-G2914)</f>
        <v/>
      </c>
      <c r="R2914" s="4">
        <f>IF(AND(N2914=1,O2914=1),"On Track",IF(O2914=0,"Customer Delivery Late","Ship Late"))</f>
        <v/>
      </c>
    </row>
    <row r="2915">
      <c r="A2915" s="2" t="inlineStr">
        <is>
          <t>ORD-02914</t>
        </is>
      </c>
      <c r="B2915" s="2" t="inlineStr">
        <is>
          <t>Customer 09</t>
        </is>
      </c>
      <c r="C2915" s="2" t="inlineStr">
        <is>
          <t>Contactor</t>
        </is>
      </c>
      <c r="D2915" s="2" t="inlineStr">
        <is>
          <t>Plant B</t>
        </is>
      </c>
      <c r="E2915" s="2" t="inlineStr">
        <is>
          <t>Central</t>
        </is>
      </c>
      <c r="F2915" s="12" t="n">
        <v>46181</v>
      </c>
      <c r="G2915" s="12" t="n">
        <v>46199</v>
      </c>
      <c r="H2915" s="12" t="n">
        <v>46197</v>
      </c>
      <c r="I2915" s="12" t="n">
        <v>46195</v>
      </c>
      <c r="J2915" s="12" t="n">
        <v>46198</v>
      </c>
      <c r="K2915" s="2" t="n">
        <v>679</v>
      </c>
      <c r="L2915" s="2" t="inlineStr">
        <is>
          <t>Sea</t>
        </is>
      </c>
      <c r="M2915" s="2" t="inlineStr">
        <is>
          <t>No Delay</t>
        </is>
      </c>
      <c r="N2915" s="4">
        <f>IF(I2915&lt;=H2915,1,0)</f>
        <v/>
      </c>
      <c r="O2915" s="4">
        <f>IF(J2915&lt;=G2915,1,0)</f>
        <v/>
      </c>
      <c r="P2915" s="4">
        <f>MAX(0,I2915-H2915)</f>
        <v/>
      </c>
      <c r="Q2915" s="4">
        <f>MAX(0,J2915-G2915)</f>
        <v/>
      </c>
      <c r="R2915" s="4">
        <f>IF(AND(N2915=1,O2915=1),"On Track",IF(O2915=0,"Customer Delivery Late","Ship Late"))</f>
        <v/>
      </c>
    </row>
    <row r="2916">
      <c r="A2916" s="2" t="inlineStr">
        <is>
          <t>ORD-02915</t>
        </is>
      </c>
      <c r="B2916" s="2" t="inlineStr">
        <is>
          <t>Customer 28</t>
        </is>
      </c>
      <c r="C2916" s="2" t="inlineStr">
        <is>
          <t>Power Supply</t>
        </is>
      </c>
      <c r="D2916" s="2" t="inlineStr">
        <is>
          <t>Plant C</t>
        </is>
      </c>
      <c r="E2916" s="2" t="inlineStr">
        <is>
          <t>South</t>
        </is>
      </c>
      <c r="F2916" s="12" t="n">
        <v>46122</v>
      </c>
      <c r="G2916" s="12" t="n">
        <v>46128</v>
      </c>
      <c r="H2916" s="12" t="n">
        <v>46127</v>
      </c>
      <c r="I2916" s="12" t="n">
        <v>46127</v>
      </c>
      <c r="J2916" s="12" t="n">
        <v>46128</v>
      </c>
      <c r="K2916" s="2" t="n">
        <v>1308</v>
      </c>
      <c r="L2916" s="2" t="inlineStr">
        <is>
          <t>Air</t>
        </is>
      </c>
      <c r="M2916" s="2" t="inlineStr">
        <is>
          <t>No Delay</t>
        </is>
      </c>
      <c r="N2916" s="4">
        <f>IF(I2916&lt;=H2916,1,0)</f>
        <v/>
      </c>
      <c r="O2916" s="4">
        <f>IF(J2916&lt;=G2916,1,0)</f>
        <v/>
      </c>
      <c r="P2916" s="4">
        <f>MAX(0,I2916-H2916)</f>
        <v/>
      </c>
      <c r="Q2916" s="4">
        <f>MAX(0,J2916-G2916)</f>
        <v/>
      </c>
      <c r="R2916" s="4">
        <f>IF(AND(N2916=1,O2916=1),"On Track",IF(O2916=0,"Customer Delivery Late","Ship Late"))</f>
        <v/>
      </c>
    </row>
    <row r="2917">
      <c r="A2917" s="2" t="inlineStr">
        <is>
          <t>ORD-02916</t>
        </is>
      </c>
      <c r="B2917" s="2" t="inlineStr">
        <is>
          <t>Customer 28</t>
        </is>
      </c>
      <c r="C2917" s="2" t="inlineStr">
        <is>
          <t>Drive</t>
        </is>
      </c>
      <c r="D2917" s="2" t="inlineStr">
        <is>
          <t>Plant A</t>
        </is>
      </c>
      <c r="E2917" s="2" t="inlineStr">
        <is>
          <t>Export</t>
        </is>
      </c>
      <c r="F2917" s="12" t="n">
        <v>46130</v>
      </c>
      <c r="G2917" s="12" t="n">
        <v>46140</v>
      </c>
      <c r="H2917" s="12" t="n">
        <v>46135</v>
      </c>
      <c r="I2917" s="12" t="n">
        <v>46135</v>
      </c>
      <c r="J2917" s="12" t="n">
        <v>46140</v>
      </c>
      <c r="K2917" s="2" t="n">
        <v>1218</v>
      </c>
      <c r="L2917" s="2" t="inlineStr">
        <is>
          <t>Air</t>
        </is>
      </c>
      <c r="M2917" s="2" t="inlineStr">
        <is>
          <t>No Delay</t>
        </is>
      </c>
      <c r="N2917" s="4">
        <f>IF(I2917&lt;=H2917,1,0)</f>
        <v/>
      </c>
      <c r="O2917" s="4">
        <f>IF(J2917&lt;=G2917,1,0)</f>
        <v/>
      </c>
      <c r="P2917" s="4">
        <f>MAX(0,I2917-H2917)</f>
        <v/>
      </c>
      <c r="Q2917" s="4">
        <f>MAX(0,J2917-G2917)</f>
        <v/>
      </c>
      <c r="R2917" s="4">
        <f>IF(AND(N2917=1,O2917=1),"On Track",IF(O2917=0,"Customer Delivery Late","Ship Late"))</f>
        <v/>
      </c>
    </row>
    <row r="2918">
      <c r="A2918" s="2" t="inlineStr">
        <is>
          <t>ORD-02917</t>
        </is>
      </c>
      <c r="B2918" s="2" t="inlineStr">
        <is>
          <t>Customer 01</t>
        </is>
      </c>
      <c r="C2918" s="2" t="inlineStr">
        <is>
          <t>Relay</t>
        </is>
      </c>
      <c r="D2918" s="2" t="inlineStr">
        <is>
          <t>Plant C</t>
        </is>
      </c>
      <c r="E2918" s="2" t="inlineStr">
        <is>
          <t>Export</t>
        </is>
      </c>
      <c r="F2918" s="12" t="n">
        <v>46071</v>
      </c>
      <c r="G2918" s="12" t="n">
        <v>46089</v>
      </c>
      <c r="H2918" s="12" t="n">
        <v>46085</v>
      </c>
      <c r="I2918" s="12" t="n">
        <v>46085</v>
      </c>
      <c r="J2918" s="12" t="n">
        <v>46088</v>
      </c>
      <c r="K2918" s="2" t="n">
        <v>167</v>
      </c>
      <c r="L2918" s="2" t="inlineStr">
        <is>
          <t>Sea</t>
        </is>
      </c>
      <c r="M2918" s="2" t="inlineStr">
        <is>
          <t>No Delay</t>
        </is>
      </c>
      <c r="N2918" s="4">
        <f>IF(I2918&lt;=H2918,1,0)</f>
        <v/>
      </c>
      <c r="O2918" s="4">
        <f>IF(J2918&lt;=G2918,1,0)</f>
        <v/>
      </c>
      <c r="P2918" s="4">
        <f>MAX(0,I2918-H2918)</f>
        <v/>
      </c>
      <c r="Q2918" s="4">
        <f>MAX(0,J2918-G2918)</f>
        <v/>
      </c>
      <c r="R2918" s="4">
        <f>IF(AND(N2918=1,O2918=1),"On Track",IF(O2918=0,"Customer Delivery Late","Ship Late"))</f>
        <v/>
      </c>
    </row>
    <row r="2919">
      <c r="A2919" s="2" t="inlineStr">
        <is>
          <t>ORD-02918</t>
        </is>
      </c>
      <c r="B2919" s="2" t="inlineStr">
        <is>
          <t>Customer 22</t>
        </is>
      </c>
      <c r="C2919" s="2" t="inlineStr">
        <is>
          <t>Switchgear</t>
        </is>
      </c>
      <c r="D2919" s="2" t="inlineStr">
        <is>
          <t>Plant A</t>
        </is>
      </c>
      <c r="E2919" s="2" t="inlineStr">
        <is>
          <t>North</t>
        </is>
      </c>
      <c r="F2919" s="12" t="n">
        <v>46037</v>
      </c>
      <c r="G2919" s="12" t="n">
        <v>46061</v>
      </c>
      <c r="H2919" s="12" t="n">
        <v>46058</v>
      </c>
      <c r="I2919" s="12" t="n">
        <v>46058</v>
      </c>
      <c r="J2919" s="12" t="n">
        <v>46060</v>
      </c>
      <c r="K2919" s="2" t="n">
        <v>273</v>
      </c>
      <c r="L2919" s="2" t="inlineStr">
        <is>
          <t>Road</t>
        </is>
      </c>
      <c r="M2919" s="2" t="inlineStr">
        <is>
          <t>No Delay</t>
        </is>
      </c>
      <c r="N2919" s="4">
        <f>IF(I2919&lt;=H2919,1,0)</f>
        <v/>
      </c>
      <c r="O2919" s="4">
        <f>IF(J2919&lt;=G2919,1,0)</f>
        <v/>
      </c>
      <c r="P2919" s="4">
        <f>MAX(0,I2919-H2919)</f>
        <v/>
      </c>
      <c r="Q2919" s="4">
        <f>MAX(0,J2919-G2919)</f>
        <v/>
      </c>
      <c r="R2919" s="4">
        <f>IF(AND(N2919=1,O2919=1),"On Track",IF(O2919=0,"Customer Delivery Late","Ship Late"))</f>
        <v/>
      </c>
    </row>
    <row r="2920">
      <c r="A2920" s="2" t="inlineStr">
        <is>
          <t>ORD-02919</t>
        </is>
      </c>
      <c r="B2920" s="2" t="inlineStr">
        <is>
          <t>Customer 13</t>
        </is>
      </c>
      <c r="C2920" s="2" t="inlineStr">
        <is>
          <t>Relay</t>
        </is>
      </c>
      <c r="D2920" s="2" t="inlineStr">
        <is>
          <t>Plant B</t>
        </is>
      </c>
      <c r="E2920" s="2" t="inlineStr">
        <is>
          <t>South</t>
        </is>
      </c>
      <c r="F2920" s="12" t="n">
        <v>46116</v>
      </c>
      <c r="G2920" s="12" t="n">
        <v>46141</v>
      </c>
      <c r="H2920" s="12" t="n">
        <v>46140</v>
      </c>
      <c r="I2920" s="12" t="n">
        <v>46140</v>
      </c>
      <c r="J2920" s="12" t="n">
        <v>46141</v>
      </c>
      <c r="K2920" s="2" t="n">
        <v>864</v>
      </c>
      <c r="L2920" s="2" t="inlineStr">
        <is>
          <t>Sea</t>
        </is>
      </c>
      <c r="M2920" s="2" t="inlineStr">
        <is>
          <t>No Delay</t>
        </is>
      </c>
      <c r="N2920" s="4">
        <f>IF(I2920&lt;=H2920,1,0)</f>
        <v/>
      </c>
      <c r="O2920" s="4">
        <f>IF(J2920&lt;=G2920,1,0)</f>
        <v/>
      </c>
      <c r="P2920" s="4">
        <f>MAX(0,I2920-H2920)</f>
        <v/>
      </c>
      <c r="Q2920" s="4">
        <f>MAX(0,J2920-G2920)</f>
        <v/>
      </c>
      <c r="R2920" s="4">
        <f>IF(AND(N2920=1,O2920=1),"On Track",IF(O2920=0,"Customer Delivery Late","Ship Late"))</f>
        <v/>
      </c>
    </row>
    <row r="2921">
      <c r="A2921" s="2" t="inlineStr">
        <is>
          <t>ORD-02920</t>
        </is>
      </c>
      <c r="B2921" s="2" t="inlineStr">
        <is>
          <t>Customer 26</t>
        </is>
      </c>
      <c r="C2921" s="2" t="inlineStr">
        <is>
          <t>PLC</t>
        </is>
      </c>
      <c r="D2921" s="2" t="inlineStr">
        <is>
          <t>Plant C</t>
        </is>
      </c>
      <c r="E2921" s="2" t="inlineStr">
        <is>
          <t>Central</t>
        </is>
      </c>
      <c r="F2921" s="12" t="n">
        <v>46069</v>
      </c>
      <c r="G2921" s="12" t="n">
        <v>46078</v>
      </c>
      <c r="H2921" s="12" t="n">
        <v>46077</v>
      </c>
      <c r="I2921" s="12" t="n">
        <v>46076</v>
      </c>
      <c r="J2921" s="12" t="n">
        <v>46077</v>
      </c>
      <c r="K2921" s="2" t="n">
        <v>1398</v>
      </c>
      <c r="L2921" s="2" t="inlineStr">
        <is>
          <t>Air</t>
        </is>
      </c>
      <c r="M2921" s="2" t="inlineStr">
        <is>
          <t>No Delay</t>
        </is>
      </c>
      <c r="N2921" s="4">
        <f>IF(I2921&lt;=H2921,1,0)</f>
        <v/>
      </c>
      <c r="O2921" s="4">
        <f>IF(J2921&lt;=G2921,1,0)</f>
        <v/>
      </c>
      <c r="P2921" s="4">
        <f>MAX(0,I2921-H2921)</f>
        <v/>
      </c>
      <c r="Q2921" s="4">
        <f>MAX(0,J2921-G2921)</f>
        <v/>
      </c>
      <c r="R2921" s="4">
        <f>IF(AND(N2921=1,O2921=1),"On Track",IF(O2921=0,"Customer Delivery Late","Ship Late"))</f>
        <v/>
      </c>
    </row>
    <row r="2922">
      <c r="A2922" s="2" t="inlineStr">
        <is>
          <t>ORD-02921</t>
        </is>
      </c>
      <c r="B2922" s="2" t="inlineStr">
        <is>
          <t>Customer 08</t>
        </is>
      </c>
      <c r="C2922" s="2" t="inlineStr">
        <is>
          <t>Contactor</t>
        </is>
      </c>
      <c r="D2922" s="2" t="inlineStr">
        <is>
          <t>Plant B</t>
        </is>
      </c>
      <c r="E2922" s="2" t="inlineStr">
        <is>
          <t>North</t>
        </is>
      </c>
      <c r="F2922" s="12" t="n">
        <v>46032</v>
      </c>
      <c r="G2922" s="12" t="n">
        <v>46053</v>
      </c>
      <c r="H2922" s="12" t="n">
        <v>46051</v>
      </c>
      <c r="I2922" s="12" t="n">
        <v>46051</v>
      </c>
      <c r="J2922" s="12" t="n">
        <v>46053</v>
      </c>
      <c r="K2922" s="2" t="n">
        <v>491</v>
      </c>
      <c r="L2922" s="2" t="inlineStr">
        <is>
          <t>Road</t>
        </is>
      </c>
      <c r="M2922" s="2" t="inlineStr">
        <is>
          <t>No Delay</t>
        </is>
      </c>
      <c r="N2922" s="4">
        <f>IF(I2922&lt;=H2922,1,0)</f>
        <v/>
      </c>
      <c r="O2922" s="4">
        <f>IF(J2922&lt;=G2922,1,0)</f>
        <v/>
      </c>
      <c r="P2922" s="4">
        <f>MAX(0,I2922-H2922)</f>
        <v/>
      </c>
      <c r="Q2922" s="4">
        <f>MAX(0,J2922-G2922)</f>
        <v/>
      </c>
      <c r="R2922" s="4">
        <f>IF(AND(N2922=1,O2922=1),"On Track",IF(O2922=0,"Customer Delivery Late","Ship Late"))</f>
        <v/>
      </c>
    </row>
    <row r="2923">
      <c r="A2923" s="2" t="inlineStr">
        <is>
          <t>ORD-02922</t>
        </is>
      </c>
      <c r="B2923" s="2" t="inlineStr">
        <is>
          <t>Customer 29</t>
        </is>
      </c>
      <c r="C2923" s="2" t="inlineStr">
        <is>
          <t>Relay</t>
        </is>
      </c>
      <c r="D2923" s="2" t="inlineStr">
        <is>
          <t>Plant A</t>
        </is>
      </c>
      <c r="E2923" s="2" t="inlineStr">
        <is>
          <t>Central</t>
        </is>
      </c>
      <c r="F2923" s="12" t="n">
        <v>46187</v>
      </c>
      <c r="G2923" s="12" t="n">
        <v>46207</v>
      </c>
      <c r="H2923" s="12" t="n">
        <v>46204</v>
      </c>
      <c r="I2923" s="12" t="n">
        <v>46204</v>
      </c>
      <c r="J2923" s="12" t="n">
        <v>46206</v>
      </c>
      <c r="K2923" s="2" t="n">
        <v>589</v>
      </c>
      <c r="L2923" s="2" t="inlineStr">
        <is>
          <t>Sea</t>
        </is>
      </c>
      <c r="M2923" s="2" t="inlineStr">
        <is>
          <t>No Delay</t>
        </is>
      </c>
      <c r="N2923" s="4">
        <f>IF(I2923&lt;=H2923,1,0)</f>
        <v/>
      </c>
      <c r="O2923" s="4">
        <f>IF(J2923&lt;=G2923,1,0)</f>
        <v/>
      </c>
      <c r="P2923" s="4">
        <f>MAX(0,I2923-H2923)</f>
        <v/>
      </c>
      <c r="Q2923" s="4">
        <f>MAX(0,J2923-G2923)</f>
        <v/>
      </c>
      <c r="R2923" s="4">
        <f>IF(AND(N2923=1,O2923=1),"On Track",IF(O2923=0,"Customer Delivery Late","Ship Late"))</f>
        <v/>
      </c>
    </row>
    <row r="2924">
      <c r="A2924" s="2" t="inlineStr">
        <is>
          <t>ORD-02923</t>
        </is>
      </c>
      <c r="B2924" s="2" t="inlineStr">
        <is>
          <t>Customer 24</t>
        </is>
      </c>
      <c r="C2924" s="2" t="inlineStr">
        <is>
          <t>PLC</t>
        </is>
      </c>
      <c r="D2924" s="2" t="inlineStr">
        <is>
          <t>Plant C</t>
        </is>
      </c>
      <c r="E2924" s="2" t="inlineStr">
        <is>
          <t>Central</t>
        </is>
      </c>
      <c r="F2924" s="12" t="n">
        <v>46099</v>
      </c>
      <c r="G2924" s="12" t="n">
        <v>46110</v>
      </c>
      <c r="H2924" s="12" t="n">
        <v>46107</v>
      </c>
      <c r="I2924" s="12" t="n">
        <v>46106</v>
      </c>
      <c r="J2924" s="12" t="n">
        <v>46108</v>
      </c>
      <c r="K2924" s="2" t="n">
        <v>387</v>
      </c>
      <c r="L2924" s="2" t="inlineStr">
        <is>
          <t>Sea</t>
        </is>
      </c>
      <c r="M2924" s="2" t="inlineStr">
        <is>
          <t>No Delay</t>
        </is>
      </c>
      <c r="N2924" s="4">
        <f>IF(I2924&lt;=H2924,1,0)</f>
        <v/>
      </c>
      <c r="O2924" s="4">
        <f>IF(J2924&lt;=G2924,1,0)</f>
        <v/>
      </c>
      <c r="P2924" s="4">
        <f>MAX(0,I2924-H2924)</f>
        <v/>
      </c>
      <c r="Q2924" s="4">
        <f>MAX(0,J2924-G2924)</f>
        <v/>
      </c>
      <c r="R2924" s="4">
        <f>IF(AND(N2924=1,O2924=1),"On Track",IF(O2924=0,"Customer Delivery Late","Ship Late"))</f>
        <v/>
      </c>
    </row>
    <row r="2925">
      <c r="A2925" s="2" t="inlineStr">
        <is>
          <t>ORD-02924</t>
        </is>
      </c>
      <c r="B2925" s="2" t="inlineStr">
        <is>
          <t>Customer 01</t>
        </is>
      </c>
      <c r="C2925" s="2" t="inlineStr">
        <is>
          <t>Sensor</t>
        </is>
      </c>
      <c r="D2925" s="2" t="inlineStr">
        <is>
          <t>Plant A</t>
        </is>
      </c>
      <c r="E2925" s="2" t="inlineStr">
        <is>
          <t>North</t>
        </is>
      </c>
      <c r="F2925" s="12" t="n">
        <v>46036</v>
      </c>
      <c r="G2925" s="12" t="n">
        <v>46059</v>
      </c>
      <c r="H2925" s="12" t="n">
        <v>46054</v>
      </c>
      <c r="I2925" s="12" t="n">
        <v>46053</v>
      </c>
      <c r="J2925" s="12" t="n">
        <v>46058</v>
      </c>
      <c r="K2925" s="2" t="n">
        <v>59</v>
      </c>
      <c r="L2925" s="2" t="inlineStr">
        <is>
          <t>Sea</t>
        </is>
      </c>
      <c r="M2925" s="2" t="inlineStr">
        <is>
          <t>No Delay</t>
        </is>
      </c>
      <c r="N2925" s="4">
        <f>IF(I2925&lt;=H2925,1,0)</f>
        <v/>
      </c>
      <c r="O2925" s="4">
        <f>IF(J2925&lt;=G2925,1,0)</f>
        <v/>
      </c>
      <c r="P2925" s="4">
        <f>MAX(0,I2925-H2925)</f>
        <v/>
      </c>
      <c r="Q2925" s="4">
        <f>MAX(0,J2925-G2925)</f>
        <v/>
      </c>
      <c r="R2925" s="4">
        <f>IF(AND(N2925=1,O2925=1),"On Track",IF(O2925=0,"Customer Delivery Late","Ship Late"))</f>
        <v/>
      </c>
    </row>
    <row r="2926">
      <c r="A2926" s="2" t="inlineStr">
        <is>
          <t>ORD-02925</t>
        </is>
      </c>
      <c r="B2926" s="2" t="inlineStr">
        <is>
          <t>Customer 23</t>
        </is>
      </c>
      <c r="C2926" s="2" t="inlineStr">
        <is>
          <t>PLC</t>
        </is>
      </c>
      <c r="D2926" s="2" t="inlineStr">
        <is>
          <t>Plant A</t>
        </is>
      </c>
      <c r="E2926" s="2" t="inlineStr">
        <is>
          <t>Export</t>
        </is>
      </c>
      <c r="F2926" s="12" t="n">
        <v>46026</v>
      </c>
      <c r="G2926" s="12" t="n">
        <v>46045</v>
      </c>
      <c r="H2926" s="12" t="n">
        <v>46041</v>
      </c>
      <c r="I2926" s="12" t="n">
        <v>46041</v>
      </c>
      <c r="J2926" s="12" t="n">
        <v>46045</v>
      </c>
      <c r="K2926" s="2" t="n">
        <v>982</v>
      </c>
      <c r="L2926" s="2" t="inlineStr">
        <is>
          <t>Sea</t>
        </is>
      </c>
      <c r="M2926" s="2" t="inlineStr">
        <is>
          <t>No Delay</t>
        </is>
      </c>
      <c r="N2926" s="4">
        <f>IF(I2926&lt;=H2926,1,0)</f>
        <v/>
      </c>
      <c r="O2926" s="4">
        <f>IF(J2926&lt;=G2926,1,0)</f>
        <v/>
      </c>
      <c r="P2926" s="4">
        <f>MAX(0,I2926-H2926)</f>
        <v/>
      </c>
      <c r="Q2926" s="4">
        <f>MAX(0,J2926-G2926)</f>
        <v/>
      </c>
      <c r="R2926" s="4">
        <f>IF(AND(N2926=1,O2926=1),"On Track",IF(O2926=0,"Customer Delivery Late","Ship Late"))</f>
        <v/>
      </c>
    </row>
    <row r="2927">
      <c r="A2927" s="2" t="inlineStr">
        <is>
          <t>ORD-02926</t>
        </is>
      </c>
      <c r="B2927" s="2" t="inlineStr">
        <is>
          <t>Customer 15</t>
        </is>
      </c>
      <c r="C2927" s="2" t="inlineStr">
        <is>
          <t>Relay</t>
        </is>
      </c>
      <c r="D2927" s="2" t="inlineStr">
        <is>
          <t>Plant B</t>
        </is>
      </c>
      <c r="E2927" s="2" t="inlineStr">
        <is>
          <t>South</t>
        </is>
      </c>
      <c r="F2927" s="12" t="n">
        <v>46187</v>
      </c>
      <c r="G2927" s="12" t="n">
        <v>46199</v>
      </c>
      <c r="H2927" s="12" t="n">
        <v>46195</v>
      </c>
      <c r="I2927" s="12" t="n">
        <v>46194</v>
      </c>
      <c r="J2927" s="12" t="n">
        <v>46198</v>
      </c>
      <c r="K2927" s="2" t="n">
        <v>984</v>
      </c>
      <c r="L2927" s="2" t="inlineStr">
        <is>
          <t>Road</t>
        </is>
      </c>
      <c r="M2927" s="2" t="inlineStr">
        <is>
          <t>No Delay</t>
        </is>
      </c>
      <c r="N2927" s="4">
        <f>IF(I2927&lt;=H2927,1,0)</f>
        <v/>
      </c>
      <c r="O2927" s="4">
        <f>IF(J2927&lt;=G2927,1,0)</f>
        <v/>
      </c>
      <c r="P2927" s="4">
        <f>MAX(0,I2927-H2927)</f>
        <v/>
      </c>
      <c r="Q2927" s="4">
        <f>MAX(0,J2927-G2927)</f>
        <v/>
      </c>
      <c r="R2927" s="4">
        <f>IF(AND(N2927=1,O2927=1),"On Track",IF(O2927=0,"Customer Delivery Late","Ship Late"))</f>
        <v/>
      </c>
    </row>
    <row r="2928">
      <c r="A2928" s="2" t="inlineStr">
        <is>
          <t>ORD-02927</t>
        </is>
      </c>
      <c r="B2928" s="2" t="inlineStr">
        <is>
          <t>Customer 06</t>
        </is>
      </c>
      <c r="C2928" s="2" t="inlineStr">
        <is>
          <t>Power Supply</t>
        </is>
      </c>
      <c r="D2928" s="2" t="inlineStr">
        <is>
          <t>Plant B</t>
        </is>
      </c>
      <c r="E2928" s="2" t="inlineStr">
        <is>
          <t>Export</t>
        </is>
      </c>
      <c r="F2928" s="12" t="n">
        <v>46109</v>
      </c>
      <c r="G2928" s="12" t="n">
        <v>46124</v>
      </c>
      <c r="H2928" s="12" t="n">
        <v>46121</v>
      </c>
      <c r="I2928" s="12" t="n">
        <v>46119</v>
      </c>
      <c r="J2928" s="12" t="n">
        <v>46122</v>
      </c>
      <c r="K2928" s="2" t="n">
        <v>226</v>
      </c>
      <c r="L2928" s="2" t="inlineStr">
        <is>
          <t>Air</t>
        </is>
      </c>
      <c r="M2928" s="2" t="inlineStr">
        <is>
          <t>No Delay</t>
        </is>
      </c>
      <c r="N2928" s="4">
        <f>IF(I2928&lt;=H2928,1,0)</f>
        <v/>
      </c>
      <c r="O2928" s="4">
        <f>IF(J2928&lt;=G2928,1,0)</f>
        <v/>
      </c>
      <c r="P2928" s="4">
        <f>MAX(0,I2928-H2928)</f>
        <v/>
      </c>
      <c r="Q2928" s="4">
        <f>MAX(0,J2928-G2928)</f>
        <v/>
      </c>
      <c r="R2928" s="4">
        <f>IF(AND(N2928=1,O2928=1),"On Track",IF(O2928=0,"Customer Delivery Late","Ship Late"))</f>
        <v/>
      </c>
    </row>
    <row r="2929">
      <c r="A2929" s="2" t="inlineStr">
        <is>
          <t>ORD-02928</t>
        </is>
      </c>
      <c r="B2929" s="2" t="inlineStr">
        <is>
          <t>Customer 23</t>
        </is>
      </c>
      <c r="C2929" s="2" t="inlineStr">
        <is>
          <t>Breaker</t>
        </is>
      </c>
      <c r="D2929" s="2" t="inlineStr">
        <is>
          <t>Plant A</t>
        </is>
      </c>
      <c r="E2929" s="2" t="inlineStr">
        <is>
          <t>North</t>
        </is>
      </c>
      <c r="F2929" s="12" t="n">
        <v>46197</v>
      </c>
      <c r="G2929" s="12" t="n">
        <v>46209</v>
      </c>
      <c r="H2929" s="12" t="n">
        <v>46204</v>
      </c>
      <c r="I2929" s="12" t="n">
        <v>46204</v>
      </c>
      <c r="J2929" s="12" t="n">
        <v>46210</v>
      </c>
      <c r="K2929" s="2" t="n">
        <v>718</v>
      </c>
      <c r="L2929" s="2" t="inlineStr">
        <is>
          <t>Road</t>
        </is>
      </c>
      <c r="M2929" s="2" t="inlineStr">
        <is>
          <t>Documentation Issue</t>
        </is>
      </c>
      <c r="N2929" s="4">
        <f>IF(I2929&lt;=H2929,1,0)</f>
        <v/>
      </c>
      <c r="O2929" s="4">
        <f>IF(J2929&lt;=G2929,1,0)</f>
        <v/>
      </c>
      <c r="P2929" s="4">
        <f>MAX(0,I2929-H2929)</f>
        <v/>
      </c>
      <c r="Q2929" s="4">
        <f>MAX(0,J2929-G2929)</f>
        <v/>
      </c>
      <c r="R2929" s="4">
        <f>IF(AND(N2929=1,O2929=1),"On Track",IF(O2929=0,"Customer Delivery Late","Ship Late"))</f>
        <v/>
      </c>
    </row>
    <row r="2930">
      <c r="A2930" s="2" t="inlineStr">
        <is>
          <t>ORD-02929</t>
        </is>
      </c>
      <c r="B2930" s="2" t="inlineStr">
        <is>
          <t>Customer 06</t>
        </is>
      </c>
      <c r="C2930" s="2" t="inlineStr">
        <is>
          <t>Switchgear</t>
        </is>
      </c>
      <c r="D2930" s="2" t="inlineStr">
        <is>
          <t>Plant C</t>
        </is>
      </c>
      <c r="E2930" s="2" t="inlineStr">
        <is>
          <t>South</t>
        </is>
      </c>
      <c r="F2930" s="12" t="n">
        <v>46187</v>
      </c>
      <c r="G2930" s="12" t="n">
        <v>46195</v>
      </c>
      <c r="H2930" s="12" t="n">
        <v>46193</v>
      </c>
      <c r="I2930" s="12" t="n">
        <v>46191</v>
      </c>
      <c r="J2930" s="12" t="n">
        <v>46194</v>
      </c>
      <c r="K2930" s="2" t="n">
        <v>1042</v>
      </c>
      <c r="L2930" s="2" t="inlineStr">
        <is>
          <t>Road</t>
        </is>
      </c>
      <c r="M2930" s="2" t="inlineStr">
        <is>
          <t>No Delay</t>
        </is>
      </c>
      <c r="N2930" s="4">
        <f>IF(I2930&lt;=H2930,1,0)</f>
        <v/>
      </c>
      <c r="O2930" s="4">
        <f>IF(J2930&lt;=G2930,1,0)</f>
        <v/>
      </c>
      <c r="P2930" s="4">
        <f>MAX(0,I2930-H2930)</f>
        <v/>
      </c>
      <c r="Q2930" s="4">
        <f>MAX(0,J2930-G2930)</f>
        <v/>
      </c>
      <c r="R2930" s="4">
        <f>IF(AND(N2930=1,O2930=1),"On Track",IF(O2930=0,"Customer Delivery Late","Ship Late"))</f>
        <v/>
      </c>
    </row>
    <row r="2931">
      <c r="A2931" s="2" t="inlineStr">
        <is>
          <t>ORD-02930</t>
        </is>
      </c>
      <c r="B2931" s="2" t="inlineStr">
        <is>
          <t>Customer 20</t>
        </is>
      </c>
      <c r="C2931" s="2" t="inlineStr">
        <is>
          <t>Breaker</t>
        </is>
      </c>
      <c r="D2931" s="2" t="inlineStr">
        <is>
          <t>Plant A</t>
        </is>
      </c>
      <c r="E2931" s="2" t="inlineStr">
        <is>
          <t>Export</t>
        </is>
      </c>
      <c r="F2931" s="12" t="n">
        <v>46096</v>
      </c>
      <c r="G2931" s="12" t="n">
        <v>46115</v>
      </c>
      <c r="H2931" s="12" t="n">
        <v>46111</v>
      </c>
      <c r="I2931" s="12" t="n">
        <v>46111</v>
      </c>
      <c r="J2931" s="12" t="n">
        <v>46115</v>
      </c>
      <c r="K2931" s="2" t="n">
        <v>239</v>
      </c>
      <c r="L2931" s="2" t="inlineStr">
        <is>
          <t>Sea</t>
        </is>
      </c>
      <c r="M2931" s="2" t="inlineStr">
        <is>
          <t>No Delay</t>
        </is>
      </c>
      <c r="N2931" s="4">
        <f>IF(I2931&lt;=H2931,1,0)</f>
        <v/>
      </c>
      <c r="O2931" s="4">
        <f>IF(J2931&lt;=G2931,1,0)</f>
        <v/>
      </c>
      <c r="P2931" s="4">
        <f>MAX(0,I2931-H2931)</f>
        <v/>
      </c>
      <c r="Q2931" s="4">
        <f>MAX(0,J2931-G2931)</f>
        <v/>
      </c>
      <c r="R2931" s="4">
        <f>IF(AND(N2931=1,O2931=1),"On Track",IF(O2931=0,"Customer Delivery Late","Ship Late"))</f>
        <v/>
      </c>
    </row>
    <row r="2932">
      <c r="A2932" s="2" t="inlineStr">
        <is>
          <t>ORD-02931</t>
        </is>
      </c>
      <c r="B2932" s="2" t="inlineStr">
        <is>
          <t>Customer 11</t>
        </is>
      </c>
      <c r="C2932" s="2" t="inlineStr">
        <is>
          <t>Switchgear</t>
        </is>
      </c>
      <c r="D2932" s="2" t="inlineStr">
        <is>
          <t>Plant C</t>
        </is>
      </c>
      <c r="E2932" s="2" t="inlineStr">
        <is>
          <t>North</t>
        </is>
      </c>
      <c r="F2932" s="12" t="n">
        <v>46176</v>
      </c>
      <c r="G2932" s="12" t="n">
        <v>46184</v>
      </c>
      <c r="H2932" s="12" t="n">
        <v>46182</v>
      </c>
      <c r="I2932" s="12" t="n">
        <v>46188</v>
      </c>
      <c r="J2932" s="12" t="n">
        <v>46191</v>
      </c>
      <c r="K2932" s="2" t="n">
        <v>599</v>
      </c>
      <c r="L2932" s="2" t="inlineStr">
        <is>
          <t>Road</t>
        </is>
      </c>
      <c r="M2932" s="2" t="inlineStr">
        <is>
          <t>Carrier Delay</t>
        </is>
      </c>
      <c r="N2932" s="4">
        <f>IF(I2932&lt;=H2932,1,0)</f>
        <v/>
      </c>
      <c r="O2932" s="4">
        <f>IF(J2932&lt;=G2932,1,0)</f>
        <v/>
      </c>
      <c r="P2932" s="4">
        <f>MAX(0,I2932-H2932)</f>
        <v/>
      </c>
      <c r="Q2932" s="4">
        <f>MAX(0,J2932-G2932)</f>
        <v/>
      </c>
      <c r="R2932" s="4">
        <f>IF(AND(N2932=1,O2932=1),"On Track",IF(O2932=0,"Customer Delivery Late","Ship Late"))</f>
        <v/>
      </c>
    </row>
    <row r="2933">
      <c r="A2933" s="2" t="inlineStr">
        <is>
          <t>ORD-02932</t>
        </is>
      </c>
      <c r="B2933" s="2" t="inlineStr">
        <is>
          <t>Customer 23</t>
        </is>
      </c>
      <c r="C2933" s="2" t="inlineStr">
        <is>
          <t>Power Supply</t>
        </is>
      </c>
      <c r="D2933" s="2" t="inlineStr">
        <is>
          <t>Plant C</t>
        </is>
      </c>
      <c r="E2933" s="2" t="inlineStr">
        <is>
          <t>South</t>
        </is>
      </c>
      <c r="F2933" s="12" t="n">
        <v>46044</v>
      </c>
      <c r="G2933" s="12" t="n">
        <v>46051</v>
      </c>
      <c r="H2933" s="12" t="n">
        <v>46047</v>
      </c>
      <c r="I2933" s="12" t="n">
        <v>46045</v>
      </c>
      <c r="J2933" s="12" t="n">
        <v>46048</v>
      </c>
      <c r="K2933" s="2" t="n">
        <v>1234</v>
      </c>
      <c r="L2933" s="2" t="inlineStr">
        <is>
          <t>Road</t>
        </is>
      </c>
      <c r="M2933" s="2" t="inlineStr">
        <is>
          <t>No Delay</t>
        </is>
      </c>
      <c r="N2933" s="4">
        <f>IF(I2933&lt;=H2933,1,0)</f>
        <v/>
      </c>
      <c r="O2933" s="4">
        <f>IF(J2933&lt;=G2933,1,0)</f>
        <v/>
      </c>
      <c r="P2933" s="4">
        <f>MAX(0,I2933-H2933)</f>
        <v/>
      </c>
      <c r="Q2933" s="4">
        <f>MAX(0,J2933-G2933)</f>
        <v/>
      </c>
      <c r="R2933" s="4">
        <f>IF(AND(N2933=1,O2933=1),"On Track",IF(O2933=0,"Customer Delivery Late","Ship Late"))</f>
        <v/>
      </c>
    </row>
    <row r="2934">
      <c r="A2934" s="2" t="inlineStr">
        <is>
          <t>ORD-02933</t>
        </is>
      </c>
      <c r="B2934" s="2" t="inlineStr">
        <is>
          <t>Customer 13</t>
        </is>
      </c>
      <c r="C2934" s="2" t="inlineStr">
        <is>
          <t>Sensor</t>
        </is>
      </c>
      <c r="D2934" s="2" t="inlineStr">
        <is>
          <t>Plant B</t>
        </is>
      </c>
      <c r="E2934" s="2" t="inlineStr">
        <is>
          <t>South</t>
        </is>
      </c>
      <c r="F2934" s="12" t="n">
        <v>46034</v>
      </c>
      <c r="G2934" s="12" t="n">
        <v>46039</v>
      </c>
      <c r="H2934" s="12" t="n">
        <v>46036</v>
      </c>
      <c r="I2934" s="12" t="n">
        <v>46034</v>
      </c>
      <c r="J2934" s="12" t="n">
        <v>46037</v>
      </c>
      <c r="K2934" s="2" t="n">
        <v>440</v>
      </c>
      <c r="L2934" s="2" t="inlineStr">
        <is>
          <t>Road</t>
        </is>
      </c>
      <c r="M2934" s="2" t="inlineStr">
        <is>
          <t>No Delay</t>
        </is>
      </c>
      <c r="N2934" s="4">
        <f>IF(I2934&lt;=H2934,1,0)</f>
        <v/>
      </c>
      <c r="O2934" s="4">
        <f>IF(J2934&lt;=G2934,1,0)</f>
        <v/>
      </c>
      <c r="P2934" s="4">
        <f>MAX(0,I2934-H2934)</f>
        <v/>
      </c>
      <c r="Q2934" s="4">
        <f>MAX(0,J2934-G2934)</f>
        <v/>
      </c>
      <c r="R2934" s="4">
        <f>IF(AND(N2934=1,O2934=1),"On Track",IF(O2934=0,"Customer Delivery Late","Ship Late"))</f>
        <v/>
      </c>
    </row>
    <row r="2935">
      <c r="A2935" s="2" t="inlineStr">
        <is>
          <t>ORD-02934</t>
        </is>
      </c>
      <c r="B2935" s="2" t="inlineStr">
        <is>
          <t>Customer 15</t>
        </is>
      </c>
      <c r="C2935" s="2" t="inlineStr">
        <is>
          <t>Relay</t>
        </is>
      </c>
      <c r="D2935" s="2" t="inlineStr">
        <is>
          <t>Plant A</t>
        </is>
      </c>
      <c r="E2935" s="2" t="inlineStr">
        <is>
          <t>Export</t>
        </is>
      </c>
      <c r="F2935" s="12" t="n">
        <v>46167</v>
      </c>
      <c r="G2935" s="12" t="n">
        <v>46185</v>
      </c>
      <c r="H2935" s="12" t="n">
        <v>46180</v>
      </c>
      <c r="I2935" s="12" t="n">
        <v>46178</v>
      </c>
      <c r="J2935" s="12" t="n">
        <v>46182</v>
      </c>
      <c r="K2935" s="2" t="n">
        <v>825</v>
      </c>
      <c r="L2935" s="2" t="inlineStr">
        <is>
          <t>Sea</t>
        </is>
      </c>
      <c r="M2935" s="2" t="inlineStr">
        <is>
          <t>No Delay</t>
        </is>
      </c>
      <c r="N2935" s="4">
        <f>IF(I2935&lt;=H2935,1,0)</f>
        <v/>
      </c>
      <c r="O2935" s="4">
        <f>IF(J2935&lt;=G2935,1,0)</f>
        <v/>
      </c>
      <c r="P2935" s="4">
        <f>MAX(0,I2935-H2935)</f>
        <v/>
      </c>
      <c r="Q2935" s="4">
        <f>MAX(0,J2935-G2935)</f>
        <v/>
      </c>
      <c r="R2935" s="4">
        <f>IF(AND(N2935=1,O2935=1),"On Track",IF(O2935=0,"Customer Delivery Late","Ship Late"))</f>
        <v/>
      </c>
    </row>
    <row r="2936">
      <c r="A2936" s="2" t="inlineStr">
        <is>
          <t>ORD-02935</t>
        </is>
      </c>
      <c r="B2936" s="2" t="inlineStr">
        <is>
          <t>Customer 30</t>
        </is>
      </c>
      <c r="C2936" s="2" t="inlineStr">
        <is>
          <t>Drive</t>
        </is>
      </c>
      <c r="D2936" s="2" t="inlineStr">
        <is>
          <t>Plant C</t>
        </is>
      </c>
      <c r="E2936" s="2" t="inlineStr">
        <is>
          <t>Export</t>
        </is>
      </c>
      <c r="F2936" s="12" t="n">
        <v>46151</v>
      </c>
      <c r="G2936" s="12" t="n">
        <v>46163</v>
      </c>
      <c r="H2936" s="12" t="n">
        <v>46160</v>
      </c>
      <c r="I2936" s="12" t="n">
        <v>46160</v>
      </c>
      <c r="J2936" s="12" t="n">
        <v>46164</v>
      </c>
      <c r="K2936" s="2" t="n">
        <v>227</v>
      </c>
      <c r="L2936" s="2" t="inlineStr">
        <is>
          <t>Road</t>
        </is>
      </c>
      <c r="M2936" s="2" t="inlineStr">
        <is>
          <t>Documentation Issue</t>
        </is>
      </c>
      <c r="N2936" s="4">
        <f>IF(I2936&lt;=H2936,1,0)</f>
        <v/>
      </c>
      <c r="O2936" s="4">
        <f>IF(J2936&lt;=G2936,1,0)</f>
        <v/>
      </c>
      <c r="P2936" s="4">
        <f>MAX(0,I2936-H2936)</f>
        <v/>
      </c>
      <c r="Q2936" s="4">
        <f>MAX(0,J2936-G2936)</f>
        <v/>
      </c>
      <c r="R2936" s="4">
        <f>IF(AND(N2936=1,O2936=1),"On Track",IF(O2936=0,"Customer Delivery Late","Ship Late"))</f>
        <v/>
      </c>
    </row>
    <row r="2937">
      <c r="A2937" s="2" t="inlineStr">
        <is>
          <t>ORD-02936</t>
        </is>
      </c>
      <c r="B2937" s="2" t="inlineStr">
        <is>
          <t>Customer 29</t>
        </is>
      </c>
      <c r="C2937" s="2" t="inlineStr">
        <is>
          <t>Breaker</t>
        </is>
      </c>
      <c r="D2937" s="2" t="inlineStr">
        <is>
          <t>Plant C</t>
        </is>
      </c>
      <c r="E2937" s="2" t="inlineStr">
        <is>
          <t>Export</t>
        </is>
      </c>
      <c r="F2937" s="12" t="n">
        <v>46177</v>
      </c>
      <c r="G2937" s="12" t="n">
        <v>46188</v>
      </c>
      <c r="H2937" s="12" t="n">
        <v>46186</v>
      </c>
      <c r="I2937" s="12" t="n">
        <v>46185</v>
      </c>
      <c r="J2937" s="12" t="n">
        <v>46193</v>
      </c>
      <c r="K2937" s="2" t="n">
        <v>443</v>
      </c>
      <c r="L2937" s="2" t="inlineStr">
        <is>
          <t>Sea</t>
        </is>
      </c>
      <c r="M2937" s="2" t="inlineStr">
        <is>
          <t>Material Shortage</t>
        </is>
      </c>
      <c r="N2937" s="4">
        <f>IF(I2937&lt;=H2937,1,0)</f>
        <v/>
      </c>
      <c r="O2937" s="4">
        <f>IF(J2937&lt;=G2937,1,0)</f>
        <v/>
      </c>
      <c r="P2937" s="4">
        <f>MAX(0,I2937-H2937)</f>
        <v/>
      </c>
      <c r="Q2937" s="4">
        <f>MAX(0,J2937-G2937)</f>
        <v/>
      </c>
      <c r="R2937" s="4">
        <f>IF(AND(N2937=1,O2937=1),"On Track",IF(O2937=0,"Customer Delivery Late","Ship Late"))</f>
        <v/>
      </c>
    </row>
    <row r="2938">
      <c r="A2938" s="2" t="inlineStr">
        <is>
          <t>ORD-02937</t>
        </is>
      </c>
      <c r="B2938" s="2" t="inlineStr">
        <is>
          <t>Customer 10</t>
        </is>
      </c>
      <c r="C2938" s="2" t="inlineStr">
        <is>
          <t>Power Supply</t>
        </is>
      </c>
      <c r="D2938" s="2" t="inlineStr">
        <is>
          <t>Plant B</t>
        </is>
      </c>
      <c r="E2938" s="2" t="inlineStr">
        <is>
          <t>Export</t>
        </is>
      </c>
      <c r="F2938" s="12" t="n">
        <v>46058</v>
      </c>
      <c r="G2938" s="12" t="n">
        <v>46073</v>
      </c>
      <c r="H2938" s="12" t="n">
        <v>46068</v>
      </c>
      <c r="I2938" s="12" t="n">
        <v>46067</v>
      </c>
      <c r="J2938" s="12" t="n">
        <v>46072</v>
      </c>
      <c r="K2938" s="2" t="n">
        <v>256</v>
      </c>
      <c r="L2938" s="2" t="inlineStr">
        <is>
          <t>Air</t>
        </is>
      </c>
      <c r="M2938" s="2" t="inlineStr">
        <is>
          <t>No Delay</t>
        </is>
      </c>
      <c r="N2938" s="4">
        <f>IF(I2938&lt;=H2938,1,0)</f>
        <v/>
      </c>
      <c r="O2938" s="4">
        <f>IF(J2938&lt;=G2938,1,0)</f>
        <v/>
      </c>
      <c r="P2938" s="4">
        <f>MAX(0,I2938-H2938)</f>
        <v/>
      </c>
      <c r="Q2938" s="4">
        <f>MAX(0,J2938-G2938)</f>
        <v/>
      </c>
      <c r="R2938" s="4">
        <f>IF(AND(N2938=1,O2938=1),"On Track",IF(O2938=0,"Customer Delivery Late","Ship Late"))</f>
        <v/>
      </c>
    </row>
    <row r="2939">
      <c r="A2939" s="2" t="inlineStr">
        <is>
          <t>ORD-02938</t>
        </is>
      </c>
      <c r="B2939" s="2" t="inlineStr">
        <is>
          <t>Customer 26</t>
        </is>
      </c>
      <c r="C2939" s="2" t="inlineStr">
        <is>
          <t>Power Supply</t>
        </is>
      </c>
      <c r="D2939" s="2" t="inlineStr">
        <is>
          <t>Plant C</t>
        </is>
      </c>
      <c r="E2939" s="2" t="inlineStr">
        <is>
          <t>Central</t>
        </is>
      </c>
      <c r="F2939" s="12" t="n">
        <v>46065</v>
      </c>
      <c r="G2939" s="12" t="n">
        <v>46087</v>
      </c>
      <c r="H2939" s="12" t="n">
        <v>46084</v>
      </c>
      <c r="I2939" s="12" t="n">
        <v>46084</v>
      </c>
      <c r="J2939" s="12" t="n">
        <v>46087</v>
      </c>
      <c r="K2939" s="2" t="n">
        <v>461</v>
      </c>
      <c r="L2939" s="2" t="inlineStr">
        <is>
          <t>Road</t>
        </is>
      </c>
      <c r="M2939" s="2" t="inlineStr">
        <is>
          <t>No Delay</t>
        </is>
      </c>
      <c r="N2939" s="4">
        <f>IF(I2939&lt;=H2939,1,0)</f>
        <v/>
      </c>
      <c r="O2939" s="4">
        <f>IF(J2939&lt;=G2939,1,0)</f>
        <v/>
      </c>
      <c r="P2939" s="4">
        <f>MAX(0,I2939-H2939)</f>
        <v/>
      </c>
      <c r="Q2939" s="4">
        <f>MAX(0,J2939-G2939)</f>
        <v/>
      </c>
      <c r="R2939" s="4">
        <f>IF(AND(N2939=1,O2939=1),"On Track",IF(O2939=0,"Customer Delivery Late","Ship Late"))</f>
        <v/>
      </c>
    </row>
    <row r="2940">
      <c r="A2940" s="2" t="inlineStr">
        <is>
          <t>ORD-02939</t>
        </is>
      </c>
      <c r="B2940" s="2" t="inlineStr">
        <is>
          <t>Customer 11</t>
        </is>
      </c>
      <c r="C2940" s="2" t="inlineStr">
        <is>
          <t>Sensor</t>
        </is>
      </c>
      <c r="D2940" s="2" t="inlineStr">
        <is>
          <t>Plant C</t>
        </is>
      </c>
      <c r="E2940" s="2" t="inlineStr">
        <is>
          <t>Export</t>
        </is>
      </c>
      <c r="F2940" s="12" t="n">
        <v>46096</v>
      </c>
      <c r="G2940" s="12" t="n">
        <v>46113</v>
      </c>
      <c r="H2940" s="12" t="n">
        <v>46110</v>
      </c>
      <c r="I2940" s="12" t="n">
        <v>46110</v>
      </c>
      <c r="J2940" s="12" t="n">
        <v>46114</v>
      </c>
      <c r="K2940" s="2" t="n">
        <v>421</v>
      </c>
      <c r="L2940" s="2" t="inlineStr">
        <is>
          <t>Air</t>
        </is>
      </c>
      <c r="M2940" s="2" t="inlineStr">
        <is>
          <t>Material Shortage</t>
        </is>
      </c>
      <c r="N2940" s="4">
        <f>IF(I2940&lt;=H2940,1,0)</f>
        <v/>
      </c>
      <c r="O2940" s="4">
        <f>IF(J2940&lt;=G2940,1,0)</f>
        <v/>
      </c>
      <c r="P2940" s="4">
        <f>MAX(0,I2940-H2940)</f>
        <v/>
      </c>
      <c r="Q2940" s="4">
        <f>MAX(0,J2940-G2940)</f>
        <v/>
      </c>
      <c r="R2940" s="4">
        <f>IF(AND(N2940=1,O2940=1),"On Track",IF(O2940=0,"Customer Delivery Late","Ship Late"))</f>
        <v/>
      </c>
    </row>
    <row r="2941">
      <c r="A2941" s="2" t="inlineStr">
        <is>
          <t>ORD-02940</t>
        </is>
      </c>
      <c r="B2941" s="2" t="inlineStr">
        <is>
          <t>Customer 26</t>
        </is>
      </c>
      <c r="C2941" s="2" t="inlineStr">
        <is>
          <t>Switchgear</t>
        </is>
      </c>
      <c r="D2941" s="2" t="inlineStr">
        <is>
          <t>Plant B</t>
        </is>
      </c>
      <c r="E2941" s="2" t="inlineStr">
        <is>
          <t>Export</t>
        </is>
      </c>
      <c r="F2941" s="12" t="n">
        <v>46053</v>
      </c>
      <c r="G2941" s="12" t="n">
        <v>46072</v>
      </c>
      <c r="H2941" s="12" t="n">
        <v>46069</v>
      </c>
      <c r="I2941" s="12" t="n">
        <v>46068</v>
      </c>
      <c r="J2941" s="12" t="n">
        <v>46072</v>
      </c>
      <c r="K2941" s="2" t="n">
        <v>745</v>
      </c>
      <c r="L2941" s="2" t="inlineStr">
        <is>
          <t>Sea</t>
        </is>
      </c>
      <c r="M2941" s="2" t="inlineStr">
        <is>
          <t>No Delay</t>
        </is>
      </c>
      <c r="N2941" s="4">
        <f>IF(I2941&lt;=H2941,1,0)</f>
        <v/>
      </c>
      <c r="O2941" s="4">
        <f>IF(J2941&lt;=G2941,1,0)</f>
        <v/>
      </c>
      <c r="P2941" s="4">
        <f>MAX(0,I2941-H2941)</f>
        <v/>
      </c>
      <c r="Q2941" s="4">
        <f>MAX(0,J2941-G2941)</f>
        <v/>
      </c>
      <c r="R2941" s="4">
        <f>IF(AND(N2941=1,O2941=1),"On Track",IF(O2941=0,"Customer Delivery Late","Ship Late"))</f>
        <v/>
      </c>
    </row>
    <row r="2942">
      <c r="A2942" s="2" t="inlineStr">
        <is>
          <t>ORD-02941</t>
        </is>
      </c>
      <c r="B2942" s="2" t="inlineStr">
        <is>
          <t>Customer 21</t>
        </is>
      </c>
      <c r="C2942" s="2" t="inlineStr">
        <is>
          <t>PLC</t>
        </is>
      </c>
      <c r="D2942" s="2" t="inlineStr">
        <is>
          <t>Plant C</t>
        </is>
      </c>
      <c r="E2942" s="2" t="inlineStr">
        <is>
          <t>Central</t>
        </is>
      </c>
      <c r="F2942" s="12" t="n">
        <v>46167</v>
      </c>
      <c r="G2942" s="12" t="n">
        <v>46183</v>
      </c>
      <c r="H2942" s="12" t="n">
        <v>46178</v>
      </c>
      <c r="I2942" s="12" t="n">
        <v>46177</v>
      </c>
      <c r="J2942" s="12" t="n">
        <v>46181</v>
      </c>
      <c r="K2942" s="2" t="n">
        <v>926</v>
      </c>
      <c r="L2942" s="2" t="inlineStr">
        <is>
          <t>Sea</t>
        </is>
      </c>
      <c r="M2942" s="2" t="inlineStr">
        <is>
          <t>No Delay</t>
        </is>
      </c>
      <c r="N2942" s="4">
        <f>IF(I2942&lt;=H2942,1,0)</f>
        <v/>
      </c>
      <c r="O2942" s="4">
        <f>IF(J2942&lt;=G2942,1,0)</f>
        <v/>
      </c>
      <c r="P2942" s="4">
        <f>MAX(0,I2942-H2942)</f>
        <v/>
      </c>
      <c r="Q2942" s="4">
        <f>MAX(0,J2942-G2942)</f>
        <v/>
      </c>
      <c r="R2942" s="4">
        <f>IF(AND(N2942=1,O2942=1),"On Track",IF(O2942=0,"Customer Delivery Late","Ship Late"))</f>
        <v/>
      </c>
    </row>
    <row r="2943">
      <c r="A2943" s="2" t="inlineStr">
        <is>
          <t>ORD-02942</t>
        </is>
      </c>
      <c r="B2943" s="2" t="inlineStr">
        <is>
          <t>Customer 05</t>
        </is>
      </c>
      <c r="C2943" s="2" t="inlineStr">
        <is>
          <t>Contactor</t>
        </is>
      </c>
      <c r="D2943" s="2" t="inlineStr">
        <is>
          <t>Plant A</t>
        </is>
      </c>
      <c r="E2943" s="2" t="inlineStr">
        <is>
          <t>Central</t>
        </is>
      </c>
      <c r="F2943" s="12" t="n">
        <v>46103</v>
      </c>
      <c r="G2943" s="12" t="n">
        <v>46112</v>
      </c>
      <c r="H2943" s="12" t="n">
        <v>46110</v>
      </c>
      <c r="I2943" s="12" t="n">
        <v>46109</v>
      </c>
      <c r="J2943" s="12" t="n">
        <v>46112</v>
      </c>
      <c r="K2943" s="2" t="n">
        <v>386</v>
      </c>
      <c r="L2943" s="2" t="inlineStr">
        <is>
          <t>Road</t>
        </is>
      </c>
      <c r="M2943" s="2" t="inlineStr">
        <is>
          <t>No Delay</t>
        </is>
      </c>
      <c r="N2943" s="4">
        <f>IF(I2943&lt;=H2943,1,0)</f>
        <v/>
      </c>
      <c r="O2943" s="4">
        <f>IF(J2943&lt;=G2943,1,0)</f>
        <v/>
      </c>
      <c r="P2943" s="4">
        <f>MAX(0,I2943-H2943)</f>
        <v/>
      </c>
      <c r="Q2943" s="4">
        <f>MAX(0,J2943-G2943)</f>
        <v/>
      </c>
      <c r="R2943" s="4">
        <f>IF(AND(N2943=1,O2943=1),"On Track",IF(O2943=0,"Customer Delivery Late","Ship Late"))</f>
        <v/>
      </c>
    </row>
    <row r="2944">
      <c r="A2944" s="2" t="inlineStr">
        <is>
          <t>ORD-02943</t>
        </is>
      </c>
      <c r="B2944" s="2" t="inlineStr">
        <is>
          <t>Customer 05</t>
        </is>
      </c>
      <c r="C2944" s="2" t="inlineStr">
        <is>
          <t>PLC</t>
        </is>
      </c>
      <c r="D2944" s="2" t="inlineStr">
        <is>
          <t>Plant B</t>
        </is>
      </c>
      <c r="E2944" s="2" t="inlineStr">
        <is>
          <t>Export</t>
        </is>
      </c>
      <c r="F2944" s="12" t="n">
        <v>46106</v>
      </c>
      <c r="G2944" s="12" t="n">
        <v>46113</v>
      </c>
      <c r="H2944" s="12" t="n">
        <v>46110</v>
      </c>
      <c r="I2944" s="12" t="n">
        <v>46109</v>
      </c>
      <c r="J2944" s="12" t="n">
        <v>46112</v>
      </c>
      <c r="K2944" s="2" t="n">
        <v>856</v>
      </c>
      <c r="L2944" s="2" t="inlineStr">
        <is>
          <t>Road</t>
        </is>
      </c>
      <c r="M2944" s="2" t="inlineStr">
        <is>
          <t>No Delay</t>
        </is>
      </c>
      <c r="N2944" s="4">
        <f>IF(I2944&lt;=H2944,1,0)</f>
        <v/>
      </c>
      <c r="O2944" s="4">
        <f>IF(J2944&lt;=G2944,1,0)</f>
        <v/>
      </c>
      <c r="P2944" s="4">
        <f>MAX(0,I2944-H2944)</f>
        <v/>
      </c>
      <c r="Q2944" s="4">
        <f>MAX(0,J2944-G2944)</f>
        <v/>
      </c>
      <c r="R2944" s="4">
        <f>IF(AND(N2944=1,O2944=1),"On Track",IF(O2944=0,"Customer Delivery Late","Ship Late"))</f>
        <v/>
      </c>
    </row>
    <row r="2945">
      <c r="A2945" s="2" t="inlineStr">
        <is>
          <t>ORD-02944</t>
        </is>
      </c>
      <c r="B2945" s="2" t="inlineStr">
        <is>
          <t>Customer 20</t>
        </is>
      </c>
      <c r="C2945" s="2" t="inlineStr">
        <is>
          <t>Switchgear</t>
        </is>
      </c>
      <c r="D2945" s="2" t="inlineStr">
        <is>
          <t>Plant A</t>
        </is>
      </c>
      <c r="E2945" s="2" t="inlineStr">
        <is>
          <t>North</t>
        </is>
      </c>
      <c r="F2945" s="12" t="n">
        <v>46092</v>
      </c>
      <c r="G2945" s="12" t="n">
        <v>46099</v>
      </c>
      <c r="H2945" s="12" t="n">
        <v>46096</v>
      </c>
      <c r="I2945" s="12" t="n">
        <v>46095</v>
      </c>
      <c r="J2945" s="12" t="n">
        <v>46098</v>
      </c>
      <c r="K2945" s="2" t="n">
        <v>461</v>
      </c>
      <c r="L2945" s="2" t="inlineStr">
        <is>
          <t>Air</t>
        </is>
      </c>
      <c r="M2945" s="2" t="inlineStr">
        <is>
          <t>No Delay</t>
        </is>
      </c>
      <c r="N2945" s="4">
        <f>IF(I2945&lt;=H2945,1,0)</f>
        <v/>
      </c>
      <c r="O2945" s="4">
        <f>IF(J2945&lt;=G2945,1,0)</f>
        <v/>
      </c>
      <c r="P2945" s="4">
        <f>MAX(0,I2945-H2945)</f>
        <v/>
      </c>
      <c r="Q2945" s="4">
        <f>MAX(0,J2945-G2945)</f>
        <v/>
      </c>
      <c r="R2945" s="4">
        <f>IF(AND(N2945=1,O2945=1),"On Track",IF(O2945=0,"Customer Delivery Late","Ship Late"))</f>
        <v/>
      </c>
    </row>
    <row r="2946">
      <c r="A2946" s="2" t="inlineStr">
        <is>
          <t>ORD-02945</t>
        </is>
      </c>
      <c r="B2946" s="2" t="inlineStr">
        <is>
          <t>Customer 12</t>
        </is>
      </c>
      <c r="C2946" s="2" t="inlineStr">
        <is>
          <t>Relay</t>
        </is>
      </c>
      <c r="D2946" s="2" t="inlineStr">
        <is>
          <t>Plant B</t>
        </is>
      </c>
      <c r="E2946" s="2" t="inlineStr">
        <is>
          <t>Central</t>
        </is>
      </c>
      <c r="F2946" s="12" t="n">
        <v>46062</v>
      </c>
      <c r="G2946" s="12" t="n">
        <v>46072</v>
      </c>
      <c r="H2946" s="12" t="n">
        <v>46067</v>
      </c>
      <c r="I2946" s="12" t="n">
        <v>46065</v>
      </c>
      <c r="J2946" s="12" t="n">
        <v>46071</v>
      </c>
      <c r="K2946" s="2" t="n">
        <v>1251</v>
      </c>
      <c r="L2946" s="2" t="inlineStr">
        <is>
          <t>Road</t>
        </is>
      </c>
      <c r="M2946" s="2" t="inlineStr">
        <is>
          <t>No Delay</t>
        </is>
      </c>
      <c r="N2946" s="4">
        <f>IF(I2946&lt;=H2946,1,0)</f>
        <v/>
      </c>
      <c r="O2946" s="4">
        <f>IF(J2946&lt;=G2946,1,0)</f>
        <v/>
      </c>
      <c r="P2946" s="4">
        <f>MAX(0,I2946-H2946)</f>
        <v/>
      </c>
      <c r="Q2946" s="4">
        <f>MAX(0,J2946-G2946)</f>
        <v/>
      </c>
      <c r="R2946" s="4">
        <f>IF(AND(N2946=1,O2946=1),"On Track",IF(O2946=0,"Customer Delivery Late","Ship Late"))</f>
        <v/>
      </c>
    </row>
    <row r="2947">
      <c r="A2947" s="2" t="inlineStr">
        <is>
          <t>ORD-02946</t>
        </is>
      </c>
      <c r="B2947" s="2" t="inlineStr">
        <is>
          <t>Customer 18</t>
        </is>
      </c>
      <c r="C2947" s="2" t="inlineStr">
        <is>
          <t>Sensor</t>
        </is>
      </c>
      <c r="D2947" s="2" t="inlineStr">
        <is>
          <t>Plant A</t>
        </is>
      </c>
      <c r="E2947" s="2" t="inlineStr">
        <is>
          <t>Export</t>
        </is>
      </c>
      <c r="F2947" s="12" t="n">
        <v>46065</v>
      </c>
      <c r="G2947" s="12" t="n">
        <v>46089</v>
      </c>
      <c r="H2947" s="12" t="n">
        <v>46086</v>
      </c>
      <c r="I2947" s="12" t="n">
        <v>46086</v>
      </c>
      <c r="J2947" s="12" t="n">
        <v>46090</v>
      </c>
      <c r="K2947" s="2" t="n">
        <v>895</v>
      </c>
      <c r="L2947" s="2" t="inlineStr">
        <is>
          <t>Sea</t>
        </is>
      </c>
      <c r="M2947" s="2" t="inlineStr">
        <is>
          <t>Production Delay</t>
        </is>
      </c>
      <c r="N2947" s="4">
        <f>IF(I2947&lt;=H2947,1,0)</f>
        <v/>
      </c>
      <c r="O2947" s="4">
        <f>IF(J2947&lt;=G2947,1,0)</f>
        <v/>
      </c>
      <c r="P2947" s="4">
        <f>MAX(0,I2947-H2947)</f>
        <v/>
      </c>
      <c r="Q2947" s="4">
        <f>MAX(0,J2947-G2947)</f>
        <v/>
      </c>
      <c r="R2947" s="4">
        <f>IF(AND(N2947=1,O2947=1),"On Track",IF(O2947=0,"Customer Delivery Late","Ship Late"))</f>
        <v/>
      </c>
    </row>
    <row r="2948">
      <c r="A2948" s="2" t="inlineStr">
        <is>
          <t>ORD-02947</t>
        </is>
      </c>
      <c r="B2948" s="2" t="inlineStr">
        <is>
          <t>Customer 22</t>
        </is>
      </c>
      <c r="C2948" s="2" t="inlineStr">
        <is>
          <t>Sensor</t>
        </is>
      </c>
      <c r="D2948" s="2" t="inlineStr">
        <is>
          <t>Plant B</t>
        </is>
      </c>
      <c r="E2948" s="2" t="inlineStr">
        <is>
          <t>Export</t>
        </is>
      </c>
      <c r="F2948" s="12" t="n">
        <v>46188</v>
      </c>
      <c r="G2948" s="12" t="n">
        <v>46211</v>
      </c>
      <c r="H2948" s="12" t="n">
        <v>46208</v>
      </c>
      <c r="I2948" s="12" t="n">
        <v>46206</v>
      </c>
      <c r="J2948" s="12" t="n">
        <v>46210</v>
      </c>
      <c r="K2948" s="2" t="n">
        <v>947</v>
      </c>
      <c r="L2948" s="2" t="inlineStr">
        <is>
          <t>Sea</t>
        </is>
      </c>
      <c r="M2948" s="2" t="inlineStr">
        <is>
          <t>No Delay</t>
        </is>
      </c>
      <c r="N2948" s="4">
        <f>IF(I2948&lt;=H2948,1,0)</f>
        <v/>
      </c>
      <c r="O2948" s="4">
        <f>IF(J2948&lt;=G2948,1,0)</f>
        <v/>
      </c>
      <c r="P2948" s="4">
        <f>MAX(0,I2948-H2948)</f>
        <v/>
      </c>
      <c r="Q2948" s="4">
        <f>MAX(0,J2948-G2948)</f>
        <v/>
      </c>
      <c r="R2948" s="4">
        <f>IF(AND(N2948=1,O2948=1),"On Track",IF(O2948=0,"Customer Delivery Late","Ship Late"))</f>
        <v/>
      </c>
    </row>
    <row r="2949">
      <c r="A2949" s="2" t="inlineStr">
        <is>
          <t>ORD-02948</t>
        </is>
      </c>
      <c r="B2949" s="2" t="inlineStr">
        <is>
          <t>Customer 14</t>
        </is>
      </c>
      <c r="C2949" s="2" t="inlineStr">
        <is>
          <t>Power Supply</t>
        </is>
      </c>
      <c r="D2949" s="2" t="inlineStr">
        <is>
          <t>Plant B</t>
        </is>
      </c>
      <c r="E2949" s="2" t="inlineStr">
        <is>
          <t>South</t>
        </is>
      </c>
      <c r="F2949" s="12" t="n">
        <v>46182</v>
      </c>
      <c r="G2949" s="12" t="n">
        <v>46187</v>
      </c>
      <c r="H2949" s="12" t="n">
        <v>46186</v>
      </c>
      <c r="I2949" s="12" t="n">
        <v>46185</v>
      </c>
      <c r="J2949" s="12" t="n">
        <v>46186</v>
      </c>
      <c r="K2949" s="2" t="n">
        <v>1418</v>
      </c>
      <c r="L2949" s="2" t="inlineStr">
        <is>
          <t>Sea</t>
        </is>
      </c>
      <c r="M2949" s="2" t="inlineStr">
        <is>
          <t>No Delay</t>
        </is>
      </c>
      <c r="N2949" s="4">
        <f>IF(I2949&lt;=H2949,1,0)</f>
        <v/>
      </c>
      <c r="O2949" s="4">
        <f>IF(J2949&lt;=G2949,1,0)</f>
        <v/>
      </c>
      <c r="P2949" s="4">
        <f>MAX(0,I2949-H2949)</f>
        <v/>
      </c>
      <c r="Q2949" s="4">
        <f>MAX(0,J2949-G2949)</f>
        <v/>
      </c>
      <c r="R2949" s="4">
        <f>IF(AND(N2949=1,O2949=1),"On Track",IF(O2949=0,"Customer Delivery Late","Ship Late"))</f>
        <v/>
      </c>
    </row>
    <row r="2950">
      <c r="A2950" s="2" t="inlineStr">
        <is>
          <t>ORD-02949</t>
        </is>
      </c>
      <c r="B2950" s="2" t="inlineStr">
        <is>
          <t>Customer 17</t>
        </is>
      </c>
      <c r="C2950" s="2" t="inlineStr">
        <is>
          <t>Relay</t>
        </is>
      </c>
      <c r="D2950" s="2" t="inlineStr">
        <is>
          <t>Plant C</t>
        </is>
      </c>
      <c r="E2950" s="2" t="inlineStr">
        <is>
          <t>South</t>
        </is>
      </c>
      <c r="F2950" s="12" t="n">
        <v>46079</v>
      </c>
      <c r="G2950" s="12" t="n">
        <v>46097</v>
      </c>
      <c r="H2950" s="12" t="n">
        <v>46096</v>
      </c>
      <c r="I2950" s="12" t="n">
        <v>46096</v>
      </c>
      <c r="J2950" s="12" t="n">
        <v>46097</v>
      </c>
      <c r="K2950" s="2" t="n">
        <v>43</v>
      </c>
      <c r="L2950" s="2" t="inlineStr">
        <is>
          <t>Sea</t>
        </is>
      </c>
      <c r="M2950" s="2" t="inlineStr">
        <is>
          <t>No Delay</t>
        </is>
      </c>
      <c r="N2950" s="4">
        <f>IF(I2950&lt;=H2950,1,0)</f>
        <v/>
      </c>
      <c r="O2950" s="4">
        <f>IF(J2950&lt;=G2950,1,0)</f>
        <v/>
      </c>
      <c r="P2950" s="4">
        <f>MAX(0,I2950-H2950)</f>
        <v/>
      </c>
      <c r="Q2950" s="4">
        <f>MAX(0,J2950-G2950)</f>
        <v/>
      </c>
      <c r="R2950" s="4">
        <f>IF(AND(N2950=1,O2950=1),"On Track",IF(O2950=0,"Customer Delivery Late","Ship Late"))</f>
        <v/>
      </c>
    </row>
    <row r="2951">
      <c r="A2951" s="2" t="inlineStr">
        <is>
          <t>ORD-02950</t>
        </is>
      </c>
      <c r="B2951" s="2" t="inlineStr">
        <is>
          <t>Customer 26</t>
        </is>
      </c>
      <c r="C2951" s="2" t="inlineStr">
        <is>
          <t>Relay</t>
        </is>
      </c>
      <c r="D2951" s="2" t="inlineStr">
        <is>
          <t>Plant B</t>
        </is>
      </c>
      <c r="E2951" s="2" t="inlineStr">
        <is>
          <t>Export</t>
        </is>
      </c>
      <c r="F2951" s="12" t="n">
        <v>46106</v>
      </c>
      <c r="G2951" s="12" t="n">
        <v>46121</v>
      </c>
      <c r="H2951" s="12" t="n">
        <v>46116</v>
      </c>
      <c r="I2951" s="12" t="n">
        <v>46116</v>
      </c>
      <c r="J2951" s="12" t="n">
        <v>46121</v>
      </c>
      <c r="K2951" s="2" t="n">
        <v>1168</v>
      </c>
      <c r="L2951" s="2" t="inlineStr">
        <is>
          <t>Road</t>
        </is>
      </c>
      <c r="M2951" s="2" t="inlineStr">
        <is>
          <t>No Delay</t>
        </is>
      </c>
      <c r="N2951" s="4">
        <f>IF(I2951&lt;=H2951,1,0)</f>
        <v/>
      </c>
      <c r="O2951" s="4">
        <f>IF(J2951&lt;=G2951,1,0)</f>
        <v/>
      </c>
      <c r="P2951" s="4">
        <f>MAX(0,I2951-H2951)</f>
        <v/>
      </c>
      <c r="Q2951" s="4">
        <f>MAX(0,J2951-G2951)</f>
        <v/>
      </c>
      <c r="R2951" s="4">
        <f>IF(AND(N2951=1,O2951=1),"On Track",IF(O2951=0,"Customer Delivery Late","Ship Late"))</f>
        <v/>
      </c>
    </row>
    <row r="2952">
      <c r="A2952" s="2" t="inlineStr">
        <is>
          <t>ORD-02951</t>
        </is>
      </c>
      <c r="B2952" s="2" t="inlineStr">
        <is>
          <t>Customer 10</t>
        </is>
      </c>
      <c r="C2952" s="2" t="inlineStr">
        <is>
          <t>Power Supply</t>
        </is>
      </c>
      <c r="D2952" s="2" t="inlineStr">
        <is>
          <t>Plant C</t>
        </is>
      </c>
      <c r="E2952" s="2" t="inlineStr">
        <is>
          <t>Central</t>
        </is>
      </c>
      <c r="F2952" s="12" t="n">
        <v>46076</v>
      </c>
      <c r="G2952" s="12" t="n">
        <v>46085</v>
      </c>
      <c r="H2952" s="12" t="n">
        <v>46082</v>
      </c>
      <c r="I2952" s="12" t="n">
        <v>46080</v>
      </c>
      <c r="J2952" s="12" t="n">
        <v>46083</v>
      </c>
      <c r="K2952" s="2" t="n">
        <v>979</v>
      </c>
      <c r="L2952" s="2" t="inlineStr">
        <is>
          <t>Road</t>
        </is>
      </c>
      <c r="M2952" s="2" t="inlineStr">
        <is>
          <t>No Delay</t>
        </is>
      </c>
      <c r="N2952" s="4">
        <f>IF(I2952&lt;=H2952,1,0)</f>
        <v/>
      </c>
      <c r="O2952" s="4">
        <f>IF(J2952&lt;=G2952,1,0)</f>
        <v/>
      </c>
      <c r="P2952" s="4">
        <f>MAX(0,I2952-H2952)</f>
        <v/>
      </c>
      <c r="Q2952" s="4">
        <f>MAX(0,J2952-G2952)</f>
        <v/>
      </c>
      <c r="R2952" s="4">
        <f>IF(AND(N2952=1,O2952=1),"On Track",IF(O2952=0,"Customer Delivery Late","Ship Late"))</f>
        <v/>
      </c>
    </row>
    <row r="2953">
      <c r="A2953" s="2" t="inlineStr">
        <is>
          <t>ORD-02952</t>
        </is>
      </c>
      <c r="B2953" s="2" t="inlineStr">
        <is>
          <t>Customer 29</t>
        </is>
      </c>
      <c r="C2953" s="2" t="inlineStr">
        <is>
          <t>Power Supply</t>
        </is>
      </c>
      <c r="D2953" s="2" t="inlineStr">
        <is>
          <t>Plant B</t>
        </is>
      </c>
      <c r="E2953" s="2" t="inlineStr">
        <is>
          <t>Export</t>
        </is>
      </c>
      <c r="F2953" s="12" t="n">
        <v>46197</v>
      </c>
      <c r="G2953" s="12" t="n">
        <v>46210</v>
      </c>
      <c r="H2953" s="12" t="n">
        <v>46206</v>
      </c>
      <c r="I2953" s="12" t="n">
        <v>46206</v>
      </c>
      <c r="J2953" s="12" t="n">
        <v>46210</v>
      </c>
      <c r="K2953" s="2" t="n">
        <v>225</v>
      </c>
      <c r="L2953" s="2" t="inlineStr">
        <is>
          <t>Road</t>
        </is>
      </c>
      <c r="M2953" s="2" t="inlineStr">
        <is>
          <t>No Delay</t>
        </is>
      </c>
      <c r="N2953" s="4">
        <f>IF(I2953&lt;=H2953,1,0)</f>
        <v/>
      </c>
      <c r="O2953" s="4">
        <f>IF(J2953&lt;=G2953,1,0)</f>
        <v/>
      </c>
      <c r="P2953" s="4">
        <f>MAX(0,I2953-H2953)</f>
        <v/>
      </c>
      <c r="Q2953" s="4">
        <f>MAX(0,J2953-G2953)</f>
        <v/>
      </c>
      <c r="R2953" s="4">
        <f>IF(AND(N2953=1,O2953=1),"On Track",IF(O2953=0,"Customer Delivery Late","Ship Late"))</f>
        <v/>
      </c>
    </row>
    <row r="2954">
      <c r="A2954" s="2" t="inlineStr">
        <is>
          <t>ORD-02953</t>
        </is>
      </c>
      <c r="B2954" s="2" t="inlineStr">
        <is>
          <t>Customer 13</t>
        </is>
      </c>
      <c r="C2954" s="2" t="inlineStr">
        <is>
          <t>Power Supply</t>
        </is>
      </c>
      <c r="D2954" s="2" t="inlineStr">
        <is>
          <t>Plant A</t>
        </is>
      </c>
      <c r="E2954" s="2" t="inlineStr">
        <is>
          <t>Export</t>
        </is>
      </c>
      <c r="F2954" s="12" t="n">
        <v>46113</v>
      </c>
      <c r="G2954" s="12" t="n">
        <v>46121</v>
      </c>
      <c r="H2954" s="12" t="n">
        <v>46118</v>
      </c>
      <c r="I2954" s="12" t="n">
        <v>46118</v>
      </c>
      <c r="J2954" s="12" t="n">
        <v>46120</v>
      </c>
      <c r="K2954" s="2" t="n">
        <v>1074</v>
      </c>
      <c r="L2954" s="2" t="inlineStr">
        <is>
          <t>Sea</t>
        </is>
      </c>
      <c r="M2954" s="2" t="inlineStr">
        <is>
          <t>No Delay</t>
        </is>
      </c>
      <c r="N2954" s="4">
        <f>IF(I2954&lt;=H2954,1,0)</f>
        <v/>
      </c>
      <c r="O2954" s="4">
        <f>IF(J2954&lt;=G2954,1,0)</f>
        <v/>
      </c>
      <c r="P2954" s="4">
        <f>MAX(0,I2954-H2954)</f>
        <v/>
      </c>
      <c r="Q2954" s="4">
        <f>MAX(0,J2954-G2954)</f>
        <v/>
      </c>
      <c r="R2954" s="4">
        <f>IF(AND(N2954=1,O2954=1),"On Track",IF(O2954=0,"Customer Delivery Late","Ship Late"))</f>
        <v/>
      </c>
    </row>
    <row r="2955">
      <c r="A2955" s="2" t="inlineStr">
        <is>
          <t>ORD-02954</t>
        </is>
      </c>
      <c r="B2955" s="2" t="inlineStr">
        <is>
          <t>Customer 29</t>
        </is>
      </c>
      <c r="C2955" s="2" t="inlineStr">
        <is>
          <t>Breaker</t>
        </is>
      </c>
      <c r="D2955" s="2" t="inlineStr">
        <is>
          <t>Plant A</t>
        </is>
      </c>
      <c r="E2955" s="2" t="inlineStr">
        <is>
          <t>South</t>
        </is>
      </c>
      <c r="F2955" s="12" t="n">
        <v>46156</v>
      </c>
      <c r="G2955" s="12" t="n">
        <v>46176</v>
      </c>
      <c r="H2955" s="12" t="n">
        <v>46171</v>
      </c>
      <c r="I2955" s="12" t="n">
        <v>46176</v>
      </c>
      <c r="J2955" s="12" t="n">
        <v>46182</v>
      </c>
      <c r="K2955" s="2" t="n">
        <v>180</v>
      </c>
      <c r="L2955" s="2" t="inlineStr">
        <is>
          <t>Sea</t>
        </is>
      </c>
      <c r="M2955" s="2" t="inlineStr">
        <is>
          <t>Carrier Delay</t>
        </is>
      </c>
      <c r="N2955" s="4">
        <f>IF(I2955&lt;=H2955,1,0)</f>
        <v/>
      </c>
      <c r="O2955" s="4">
        <f>IF(J2955&lt;=G2955,1,0)</f>
        <v/>
      </c>
      <c r="P2955" s="4">
        <f>MAX(0,I2955-H2955)</f>
        <v/>
      </c>
      <c r="Q2955" s="4">
        <f>MAX(0,J2955-G2955)</f>
        <v/>
      </c>
      <c r="R2955" s="4">
        <f>IF(AND(N2955=1,O2955=1),"On Track",IF(O2955=0,"Customer Delivery Late","Ship Late"))</f>
        <v/>
      </c>
    </row>
    <row r="2956">
      <c r="A2956" s="2" t="inlineStr">
        <is>
          <t>ORD-02955</t>
        </is>
      </c>
      <c r="B2956" s="2" t="inlineStr">
        <is>
          <t>Customer 28</t>
        </is>
      </c>
      <c r="C2956" s="2" t="inlineStr">
        <is>
          <t>PLC</t>
        </is>
      </c>
      <c r="D2956" s="2" t="inlineStr">
        <is>
          <t>Plant C</t>
        </is>
      </c>
      <c r="E2956" s="2" t="inlineStr">
        <is>
          <t>Central</t>
        </is>
      </c>
      <c r="F2956" s="12" t="n">
        <v>46132</v>
      </c>
      <c r="G2956" s="12" t="n">
        <v>46156</v>
      </c>
      <c r="H2956" s="12" t="n">
        <v>46153</v>
      </c>
      <c r="I2956" s="12" t="n">
        <v>46151</v>
      </c>
      <c r="J2956" s="12" t="n">
        <v>46154</v>
      </c>
      <c r="K2956" s="2" t="n">
        <v>217</v>
      </c>
      <c r="L2956" s="2" t="inlineStr">
        <is>
          <t>Sea</t>
        </is>
      </c>
      <c r="M2956" s="2" t="inlineStr">
        <is>
          <t>No Delay</t>
        </is>
      </c>
      <c r="N2956" s="4">
        <f>IF(I2956&lt;=H2956,1,0)</f>
        <v/>
      </c>
      <c r="O2956" s="4">
        <f>IF(J2956&lt;=G2956,1,0)</f>
        <v/>
      </c>
      <c r="P2956" s="4">
        <f>MAX(0,I2956-H2956)</f>
        <v/>
      </c>
      <c r="Q2956" s="4">
        <f>MAX(0,J2956-G2956)</f>
        <v/>
      </c>
      <c r="R2956" s="4">
        <f>IF(AND(N2956=1,O2956=1),"On Track",IF(O2956=0,"Customer Delivery Late","Ship Late"))</f>
        <v/>
      </c>
    </row>
    <row r="2957">
      <c r="A2957" s="2" t="inlineStr">
        <is>
          <t>ORD-02956</t>
        </is>
      </c>
      <c r="B2957" s="2" t="inlineStr">
        <is>
          <t>Customer 19</t>
        </is>
      </c>
      <c r="C2957" s="2" t="inlineStr">
        <is>
          <t>Contactor</t>
        </is>
      </c>
      <c r="D2957" s="2" t="inlineStr">
        <is>
          <t>Plant A</t>
        </is>
      </c>
      <c r="E2957" s="2" t="inlineStr">
        <is>
          <t>Central</t>
        </is>
      </c>
      <c r="F2957" s="12" t="n">
        <v>46086</v>
      </c>
      <c r="G2957" s="12" t="n">
        <v>46108</v>
      </c>
      <c r="H2957" s="12" t="n">
        <v>46107</v>
      </c>
      <c r="I2957" s="12" t="n">
        <v>46107</v>
      </c>
      <c r="J2957" s="12" t="n">
        <v>46108</v>
      </c>
      <c r="K2957" s="2" t="n">
        <v>1021</v>
      </c>
      <c r="L2957" s="2" t="inlineStr">
        <is>
          <t>Air</t>
        </is>
      </c>
      <c r="M2957" s="2" t="inlineStr">
        <is>
          <t>No Delay</t>
        </is>
      </c>
      <c r="N2957" s="4">
        <f>IF(I2957&lt;=H2957,1,0)</f>
        <v/>
      </c>
      <c r="O2957" s="4">
        <f>IF(J2957&lt;=G2957,1,0)</f>
        <v/>
      </c>
      <c r="P2957" s="4">
        <f>MAX(0,I2957-H2957)</f>
        <v/>
      </c>
      <c r="Q2957" s="4">
        <f>MAX(0,J2957-G2957)</f>
        <v/>
      </c>
      <c r="R2957" s="4">
        <f>IF(AND(N2957=1,O2957=1),"On Track",IF(O2957=0,"Customer Delivery Late","Ship Late"))</f>
        <v/>
      </c>
    </row>
    <row r="2958">
      <c r="A2958" s="2" t="inlineStr">
        <is>
          <t>ORD-02957</t>
        </is>
      </c>
      <c r="B2958" s="2" t="inlineStr">
        <is>
          <t>Customer 26</t>
        </is>
      </c>
      <c r="C2958" s="2" t="inlineStr">
        <is>
          <t>Breaker</t>
        </is>
      </c>
      <c r="D2958" s="2" t="inlineStr">
        <is>
          <t>Plant A</t>
        </is>
      </c>
      <c r="E2958" s="2" t="inlineStr">
        <is>
          <t>Export</t>
        </is>
      </c>
      <c r="F2958" s="12" t="n">
        <v>46177</v>
      </c>
      <c r="G2958" s="12" t="n">
        <v>46189</v>
      </c>
      <c r="H2958" s="12" t="n">
        <v>46184</v>
      </c>
      <c r="I2958" s="12" t="n">
        <v>46182</v>
      </c>
      <c r="J2958" s="12" t="n">
        <v>46187</v>
      </c>
      <c r="K2958" s="2" t="n">
        <v>450</v>
      </c>
      <c r="L2958" s="2" t="inlineStr">
        <is>
          <t>Road</t>
        </is>
      </c>
      <c r="M2958" s="2" t="inlineStr">
        <is>
          <t>No Delay</t>
        </is>
      </c>
      <c r="N2958" s="4">
        <f>IF(I2958&lt;=H2958,1,0)</f>
        <v/>
      </c>
      <c r="O2958" s="4">
        <f>IF(J2958&lt;=G2958,1,0)</f>
        <v/>
      </c>
      <c r="P2958" s="4">
        <f>MAX(0,I2958-H2958)</f>
        <v/>
      </c>
      <c r="Q2958" s="4">
        <f>MAX(0,J2958-G2958)</f>
        <v/>
      </c>
      <c r="R2958" s="4">
        <f>IF(AND(N2958=1,O2958=1),"On Track",IF(O2958=0,"Customer Delivery Late","Ship Late"))</f>
        <v/>
      </c>
    </row>
    <row r="2959">
      <c r="A2959" s="2" t="inlineStr">
        <is>
          <t>ORD-02958</t>
        </is>
      </c>
      <c r="B2959" s="2" t="inlineStr">
        <is>
          <t>Customer 12</t>
        </is>
      </c>
      <c r="C2959" s="2" t="inlineStr">
        <is>
          <t>Relay</t>
        </is>
      </c>
      <c r="D2959" s="2" t="inlineStr">
        <is>
          <t>Plant A</t>
        </is>
      </c>
      <c r="E2959" s="2" t="inlineStr">
        <is>
          <t>North</t>
        </is>
      </c>
      <c r="F2959" s="12" t="n">
        <v>46151</v>
      </c>
      <c r="G2959" s="12" t="n">
        <v>46167</v>
      </c>
      <c r="H2959" s="12" t="n">
        <v>46165</v>
      </c>
      <c r="I2959" s="12" t="n">
        <v>46165</v>
      </c>
      <c r="J2959" s="12" t="n">
        <v>46167</v>
      </c>
      <c r="K2959" s="2" t="n">
        <v>409</v>
      </c>
      <c r="L2959" s="2" t="inlineStr">
        <is>
          <t>Road</t>
        </is>
      </c>
      <c r="M2959" s="2" t="inlineStr">
        <is>
          <t>No Delay</t>
        </is>
      </c>
      <c r="N2959" s="4">
        <f>IF(I2959&lt;=H2959,1,0)</f>
        <v/>
      </c>
      <c r="O2959" s="4">
        <f>IF(J2959&lt;=G2959,1,0)</f>
        <v/>
      </c>
      <c r="P2959" s="4">
        <f>MAX(0,I2959-H2959)</f>
        <v/>
      </c>
      <c r="Q2959" s="4">
        <f>MAX(0,J2959-G2959)</f>
        <v/>
      </c>
      <c r="R2959" s="4">
        <f>IF(AND(N2959=1,O2959=1),"On Track",IF(O2959=0,"Customer Delivery Late","Ship Late"))</f>
        <v/>
      </c>
    </row>
    <row r="2960">
      <c r="A2960" s="2" t="inlineStr">
        <is>
          <t>ORD-02959</t>
        </is>
      </c>
      <c r="B2960" s="2" t="inlineStr">
        <is>
          <t>Customer 03</t>
        </is>
      </c>
      <c r="C2960" s="2" t="inlineStr">
        <is>
          <t>Relay</t>
        </is>
      </c>
      <c r="D2960" s="2" t="inlineStr">
        <is>
          <t>Plant B</t>
        </is>
      </c>
      <c r="E2960" s="2" t="inlineStr">
        <is>
          <t>North</t>
        </is>
      </c>
      <c r="F2960" s="12" t="n">
        <v>46124</v>
      </c>
      <c r="G2960" s="12" t="n">
        <v>46149</v>
      </c>
      <c r="H2960" s="12" t="n">
        <v>46147</v>
      </c>
      <c r="I2960" s="12" t="n">
        <v>46146</v>
      </c>
      <c r="J2960" s="12" t="n">
        <v>46149</v>
      </c>
      <c r="K2960" s="2" t="n">
        <v>385</v>
      </c>
      <c r="L2960" s="2" t="inlineStr">
        <is>
          <t>Road</t>
        </is>
      </c>
      <c r="M2960" s="2" t="inlineStr">
        <is>
          <t>No Delay</t>
        </is>
      </c>
      <c r="N2960" s="4">
        <f>IF(I2960&lt;=H2960,1,0)</f>
        <v/>
      </c>
      <c r="O2960" s="4">
        <f>IF(J2960&lt;=G2960,1,0)</f>
        <v/>
      </c>
      <c r="P2960" s="4">
        <f>MAX(0,I2960-H2960)</f>
        <v/>
      </c>
      <c r="Q2960" s="4">
        <f>MAX(0,J2960-G2960)</f>
        <v/>
      </c>
      <c r="R2960" s="4">
        <f>IF(AND(N2960=1,O2960=1),"On Track",IF(O2960=0,"Customer Delivery Late","Ship Late"))</f>
        <v/>
      </c>
    </row>
    <row r="2961">
      <c r="A2961" s="2" t="inlineStr">
        <is>
          <t>ORD-02960</t>
        </is>
      </c>
      <c r="B2961" s="2" t="inlineStr">
        <is>
          <t>Customer 06</t>
        </is>
      </c>
      <c r="C2961" s="2" t="inlineStr">
        <is>
          <t>Drive</t>
        </is>
      </c>
      <c r="D2961" s="2" t="inlineStr">
        <is>
          <t>Plant C</t>
        </is>
      </c>
      <c r="E2961" s="2" t="inlineStr">
        <is>
          <t>North</t>
        </is>
      </c>
      <c r="F2961" s="12" t="n">
        <v>46054</v>
      </c>
      <c r="G2961" s="12" t="n">
        <v>46076</v>
      </c>
      <c r="H2961" s="12" t="n">
        <v>46071</v>
      </c>
      <c r="I2961" s="12" t="n">
        <v>46070</v>
      </c>
      <c r="J2961" s="12" t="n">
        <v>46074</v>
      </c>
      <c r="K2961" s="2" t="n">
        <v>511</v>
      </c>
      <c r="L2961" s="2" t="inlineStr">
        <is>
          <t>Road</t>
        </is>
      </c>
      <c r="M2961" s="2" t="inlineStr">
        <is>
          <t>No Delay</t>
        </is>
      </c>
      <c r="N2961" s="4">
        <f>IF(I2961&lt;=H2961,1,0)</f>
        <v/>
      </c>
      <c r="O2961" s="4">
        <f>IF(J2961&lt;=G2961,1,0)</f>
        <v/>
      </c>
      <c r="P2961" s="4">
        <f>MAX(0,I2961-H2961)</f>
        <v/>
      </c>
      <c r="Q2961" s="4">
        <f>MAX(0,J2961-G2961)</f>
        <v/>
      </c>
      <c r="R2961" s="4">
        <f>IF(AND(N2961=1,O2961=1),"On Track",IF(O2961=0,"Customer Delivery Late","Ship Late"))</f>
        <v/>
      </c>
    </row>
    <row r="2962">
      <c r="A2962" s="2" t="inlineStr">
        <is>
          <t>ORD-02961</t>
        </is>
      </c>
      <c r="B2962" s="2" t="inlineStr">
        <is>
          <t>Customer 23</t>
        </is>
      </c>
      <c r="C2962" s="2" t="inlineStr">
        <is>
          <t>Contactor</t>
        </is>
      </c>
      <c r="D2962" s="2" t="inlineStr">
        <is>
          <t>Plant C</t>
        </is>
      </c>
      <c r="E2962" s="2" t="inlineStr">
        <is>
          <t>North</t>
        </is>
      </c>
      <c r="F2962" s="12" t="n">
        <v>46192</v>
      </c>
      <c r="G2962" s="12" t="n">
        <v>46211</v>
      </c>
      <c r="H2962" s="12" t="n">
        <v>46207</v>
      </c>
      <c r="I2962" s="12" t="n">
        <v>46206</v>
      </c>
      <c r="J2962" s="12" t="n">
        <v>46209</v>
      </c>
      <c r="K2962" s="2" t="n">
        <v>958</v>
      </c>
      <c r="L2962" s="2" t="inlineStr">
        <is>
          <t>Air</t>
        </is>
      </c>
      <c r="M2962" s="2" t="inlineStr">
        <is>
          <t>No Delay</t>
        </is>
      </c>
      <c r="N2962" s="4">
        <f>IF(I2962&lt;=H2962,1,0)</f>
        <v/>
      </c>
      <c r="O2962" s="4">
        <f>IF(J2962&lt;=G2962,1,0)</f>
        <v/>
      </c>
      <c r="P2962" s="4">
        <f>MAX(0,I2962-H2962)</f>
        <v/>
      </c>
      <c r="Q2962" s="4">
        <f>MAX(0,J2962-G2962)</f>
        <v/>
      </c>
      <c r="R2962" s="4">
        <f>IF(AND(N2962=1,O2962=1),"On Track",IF(O2962=0,"Customer Delivery Late","Ship Late"))</f>
        <v/>
      </c>
    </row>
    <row r="2963">
      <c r="A2963" s="2" t="inlineStr">
        <is>
          <t>ORD-02962</t>
        </is>
      </c>
      <c r="B2963" s="2" t="inlineStr">
        <is>
          <t>Customer 26</t>
        </is>
      </c>
      <c r="C2963" s="2" t="inlineStr">
        <is>
          <t>Switchgear</t>
        </is>
      </c>
      <c r="D2963" s="2" t="inlineStr">
        <is>
          <t>Plant A</t>
        </is>
      </c>
      <c r="E2963" s="2" t="inlineStr">
        <is>
          <t>South</t>
        </is>
      </c>
      <c r="F2963" s="12" t="n">
        <v>46110</v>
      </c>
      <c r="G2963" s="12" t="n">
        <v>46121</v>
      </c>
      <c r="H2963" s="12" t="n">
        <v>46119</v>
      </c>
      <c r="I2963" s="12" t="n">
        <v>46118</v>
      </c>
      <c r="J2963" s="12" t="n">
        <v>46120</v>
      </c>
      <c r="K2963" s="2" t="n">
        <v>158</v>
      </c>
      <c r="L2963" s="2" t="inlineStr">
        <is>
          <t>Air</t>
        </is>
      </c>
      <c r="M2963" s="2" t="inlineStr">
        <is>
          <t>No Delay</t>
        </is>
      </c>
      <c r="N2963" s="4">
        <f>IF(I2963&lt;=H2963,1,0)</f>
        <v/>
      </c>
      <c r="O2963" s="4">
        <f>IF(J2963&lt;=G2963,1,0)</f>
        <v/>
      </c>
      <c r="P2963" s="4">
        <f>MAX(0,I2963-H2963)</f>
        <v/>
      </c>
      <c r="Q2963" s="4">
        <f>MAX(0,J2963-G2963)</f>
        <v/>
      </c>
      <c r="R2963" s="4">
        <f>IF(AND(N2963=1,O2963=1),"On Track",IF(O2963=0,"Customer Delivery Late","Ship Late"))</f>
        <v/>
      </c>
    </row>
    <row r="2964">
      <c r="A2964" s="2" t="inlineStr">
        <is>
          <t>ORD-02963</t>
        </is>
      </c>
      <c r="B2964" s="2" t="inlineStr">
        <is>
          <t>Customer 02</t>
        </is>
      </c>
      <c r="C2964" s="2" t="inlineStr">
        <is>
          <t>Switchgear</t>
        </is>
      </c>
      <c r="D2964" s="2" t="inlineStr">
        <is>
          <t>Plant A</t>
        </is>
      </c>
      <c r="E2964" s="2" t="inlineStr">
        <is>
          <t>Central</t>
        </is>
      </c>
      <c r="F2964" s="12" t="n">
        <v>46095</v>
      </c>
      <c r="G2964" s="12" t="n">
        <v>46115</v>
      </c>
      <c r="H2964" s="12" t="n">
        <v>46112</v>
      </c>
      <c r="I2964" s="12" t="n">
        <v>46110</v>
      </c>
      <c r="J2964" s="12" t="n">
        <v>46113</v>
      </c>
      <c r="K2964" s="2" t="n">
        <v>998</v>
      </c>
      <c r="L2964" s="2" t="inlineStr">
        <is>
          <t>Road</t>
        </is>
      </c>
      <c r="M2964" s="2" t="inlineStr">
        <is>
          <t>No Delay</t>
        </is>
      </c>
      <c r="N2964" s="4">
        <f>IF(I2964&lt;=H2964,1,0)</f>
        <v/>
      </c>
      <c r="O2964" s="4">
        <f>IF(J2964&lt;=G2964,1,0)</f>
        <v/>
      </c>
      <c r="P2964" s="4">
        <f>MAX(0,I2964-H2964)</f>
        <v/>
      </c>
      <c r="Q2964" s="4">
        <f>MAX(0,J2964-G2964)</f>
        <v/>
      </c>
      <c r="R2964" s="4">
        <f>IF(AND(N2964=1,O2964=1),"On Track",IF(O2964=0,"Customer Delivery Late","Ship Late"))</f>
        <v/>
      </c>
    </row>
    <row r="2965">
      <c r="A2965" s="2" t="inlineStr">
        <is>
          <t>ORD-02964</t>
        </is>
      </c>
      <c r="B2965" s="2" t="inlineStr">
        <is>
          <t>Customer 24</t>
        </is>
      </c>
      <c r="C2965" s="2" t="inlineStr">
        <is>
          <t>Breaker</t>
        </is>
      </c>
      <c r="D2965" s="2" t="inlineStr">
        <is>
          <t>Plant C</t>
        </is>
      </c>
      <c r="E2965" s="2" t="inlineStr">
        <is>
          <t>Central</t>
        </is>
      </c>
      <c r="F2965" s="12" t="n">
        <v>46159</v>
      </c>
      <c r="G2965" s="12" t="n">
        <v>46169</v>
      </c>
      <c r="H2965" s="12" t="n">
        <v>46168</v>
      </c>
      <c r="I2965" s="12" t="n">
        <v>46166</v>
      </c>
      <c r="J2965" s="12" t="n">
        <v>46168</v>
      </c>
      <c r="K2965" s="2" t="n">
        <v>589</v>
      </c>
      <c r="L2965" s="2" t="inlineStr">
        <is>
          <t>Sea</t>
        </is>
      </c>
      <c r="M2965" s="2" t="inlineStr">
        <is>
          <t>No Delay</t>
        </is>
      </c>
      <c r="N2965" s="4">
        <f>IF(I2965&lt;=H2965,1,0)</f>
        <v/>
      </c>
      <c r="O2965" s="4">
        <f>IF(J2965&lt;=G2965,1,0)</f>
        <v/>
      </c>
      <c r="P2965" s="4">
        <f>MAX(0,I2965-H2965)</f>
        <v/>
      </c>
      <c r="Q2965" s="4">
        <f>MAX(0,J2965-G2965)</f>
        <v/>
      </c>
      <c r="R2965" s="4">
        <f>IF(AND(N2965=1,O2965=1),"On Track",IF(O2965=0,"Customer Delivery Late","Ship Late"))</f>
        <v/>
      </c>
    </row>
    <row r="2966">
      <c r="A2966" s="2" t="inlineStr">
        <is>
          <t>ORD-02965</t>
        </is>
      </c>
      <c r="B2966" s="2" t="inlineStr">
        <is>
          <t>Customer 22</t>
        </is>
      </c>
      <c r="C2966" s="2" t="inlineStr">
        <is>
          <t>Breaker</t>
        </is>
      </c>
      <c r="D2966" s="2" t="inlineStr">
        <is>
          <t>Plant A</t>
        </is>
      </c>
      <c r="E2966" s="2" t="inlineStr">
        <is>
          <t>South</t>
        </is>
      </c>
      <c r="F2966" s="12" t="n">
        <v>46168</v>
      </c>
      <c r="G2966" s="12" t="n">
        <v>46193</v>
      </c>
      <c r="H2966" s="12" t="n">
        <v>46192</v>
      </c>
      <c r="I2966" s="12" t="n">
        <v>46190</v>
      </c>
      <c r="J2966" s="12" t="n">
        <v>46191</v>
      </c>
      <c r="K2966" s="2" t="n">
        <v>1239</v>
      </c>
      <c r="L2966" s="2" t="inlineStr">
        <is>
          <t>Sea</t>
        </is>
      </c>
      <c r="M2966" s="2" t="inlineStr">
        <is>
          <t>No Delay</t>
        </is>
      </c>
      <c r="N2966" s="4">
        <f>IF(I2966&lt;=H2966,1,0)</f>
        <v/>
      </c>
      <c r="O2966" s="4">
        <f>IF(J2966&lt;=G2966,1,0)</f>
        <v/>
      </c>
      <c r="P2966" s="4">
        <f>MAX(0,I2966-H2966)</f>
        <v/>
      </c>
      <c r="Q2966" s="4">
        <f>MAX(0,J2966-G2966)</f>
        <v/>
      </c>
      <c r="R2966" s="4">
        <f>IF(AND(N2966=1,O2966=1),"On Track",IF(O2966=0,"Customer Delivery Late","Ship Late"))</f>
        <v/>
      </c>
    </row>
    <row r="2967">
      <c r="A2967" s="2" t="inlineStr">
        <is>
          <t>ORD-02966</t>
        </is>
      </c>
      <c r="B2967" s="2" t="inlineStr">
        <is>
          <t>Customer 25</t>
        </is>
      </c>
      <c r="C2967" s="2" t="inlineStr">
        <is>
          <t>Drive</t>
        </is>
      </c>
      <c r="D2967" s="2" t="inlineStr">
        <is>
          <t>Plant A</t>
        </is>
      </c>
      <c r="E2967" s="2" t="inlineStr">
        <is>
          <t>Export</t>
        </is>
      </c>
      <c r="F2967" s="12" t="n">
        <v>46077</v>
      </c>
      <c r="G2967" s="12" t="n">
        <v>46087</v>
      </c>
      <c r="H2967" s="12" t="n">
        <v>46084</v>
      </c>
      <c r="I2967" s="12" t="n">
        <v>46084</v>
      </c>
      <c r="J2967" s="12" t="n">
        <v>46087</v>
      </c>
      <c r="K2967" s="2" t="n">
        <v>797</v>
      </c>
      <c r="L2967" s="2" t="inlineStr">
        <is>
          <t>Road</t>
        </is>
      </c>
      <c r="M2967" s="2" t="inlineStr">
        <is>
          <t>No Delay</t>
        </is>
      </c>
      <c r="N2967" s="4">
        <f>IF(I2967&lt;=H2967,1,0)</f>
        <v/>
      </c>
      <c r="O2967" s="4">
        <f>IF(J2967&lt;=G2967,1,0)</f>
        <v/>
      </c>
      <c r="P2967" s="4">
        <f>MAX(0,I2967-H2967)</f>
        <v/>
      </c>
      <c r="Q2967" s="4">
        <f>MAX(0,J2967-G2967)</f>
        <v/>
      </c>
      <c r="R2967" s="4">
        <f>IF(AND(N2967=1,O2967=1),"On Track",IF(O2967=0,"Customer Delivery Late","Ship Late"))</f>
        <v/>
      </c>
    </row>
    <row r="2968">
      <c r="A2968" s="2" t="inlineStr">
        <is>
          <t>ORD-02967</t>
        </is>
      </c>
      <c r="B2968" s="2" t="inlineStr">
        <is>
          <t>Customer 15</t>
        </is>
      </c>
      <c r="C2968" s="2" t="inlineStr">
        <is>
          <t>Drive</t>
        </is>
      </c>
      <c r="D2968" s="2" t="inlineStr">
        <is>
          <t>Plant C</t>
        </is>
      </c>
      <c r="E2968" s="2" t="inlineStr">
        <is>
          <t>South</t>
        </is>
      </c>
      <c r="F2968" s="12" t="n">
        <v>46115</v>
      </c>
      <c r="G2968" s="12" t="n">
        <v>46124</v>
      </c>
      <c r="H2968" s="12" t="n">
        <v>46123</v>
      </c>
      <c r="I2968" s="12" t="n">
        <v>46121</v>
      </c>
      <c r="J2968" s="12" t="n">
        <v>46122</v>
      </c>
      <c r="K2968" s="2" t="n">
        <v>349</v>
      </c>
      <c r="L2968" s="2" t="inlineStr">
        <is>
          <t>Sea</t>
        </is>
      </c>
      <c r="M2968" s="2" t="inlineStr">
        <is>
          <t>No Delay</t>
        </is>
      </c>
      <c r="N2968" s="4">
        <f>IF(I2968&lt;=H2968,1,0)</f>
        <v/>
      </c>
      <c r="O2968" s="4">
        <f>IF(J2968&lt;=G2968,1,0)</f>
        <v/>
      </c>
      <c r="P2968" s="4">
        <f>MAX(0,I2968-H2968)</f>
        <v/>
      </c>
      <c r="Q2968" s="4">
        <f>MAX(0,J2968-G2968)</f>
        <v/>
      </c>
      <c r="R2968" s="4">
        <f>IF(AND(N2968=1,O2968=1),"On Track",IF(O2968=0,"Customer Delivery Late","Ship Late"))</f>
        <v/>
      </c>
    </row>
    <row r="2969">
      <c r="A2969" s="2" t="inlineStr">
        <is>
          <t>ORD-02968</t>
        </is>
      </c>
      <c r="B2969" s="2" t="inlineStr">
        <is>
          <t>Customer 17</t>
        </is>
      </c>
      <c r="C2969" s="2" t="inlineStr">
        <is>
          <t>Contactor</t>
        </is>
      </c>
      <c r="D2969" s="2" t="inlineStr">
        <is>
          <t>Plant A</t>
        </is>
      </c>
      <c r="E2969" s="2" t="inlineStr">
        <is>
          <t>Export</t>
        </is>
      </c>
      <c r="F2969" s="12" t="n">
        <v>46078</v>
      </c>
      <c r="G2969" s="12" t="n">
        <v>46088</v>
      </c>
      <c r="H2969" s="12" t="n">
        <v>46084</v>
      </c>
      <c r="I2969" s="12" t="n">
        <v>46082</v>
      </c>
      <c r="J2969" s="12" t="n">
        <v>46085</v>
      </c>
      <c r="K2969" s="2" t="n">
        <v>969</v>
      </c>
      <c r="L2969" s="2" t="inlineStr">
        <is>
          <t>Sea</t>
        </is>
      </c>
      <c r="M2969" s="2" t="inlineStr">
        <is>
          <t>No Delay</t>
        </is>
      </c>
      <c r="N2969" s="4">
        <f>IF(I2969&lt;=H2969,1,0)</f>
        <v/>
      </c>
      <c r="O2969" s="4">
        <f>IF(J2969&lt;=G2969,1,0)</f>
        <v/>
      </c>
      <c r="P2969" s="4">
        <f>MAX(0,I2969-H2969)</f>
        <v/>
      </c>
      <c r="Q2969" s="4">
        <f>MAX(0,J2969-G2969)</f>
        <v/>
      </c>
      <c r="R2969" s="4">
        <f>IF(AND(N2969=1,O2969=1),"On Track",IF(O2969=0,"Customer Delivery Late","Ship Late"))</f>
        <v/>
      </c>
    </row>
    <row r="2970">
      <c r="A2970" s="2" t="inlineStr">
        <is>
          <t>ORD-02969</t>
        </is>
      </c>
      <c r="B2970" s="2" t="inlineStr">
        <is>
          <t>Customer 07</t>
        </is>
      </c>
      <c r="C2970" s="2" t="inlineStr">
        <is>
          <t>Power Supply</t>
        </is>
      </c>
      <c r="D2970" s="2" t="inlineStr">
        <is>
          <t>Plant B</t>
        </is>
      </c>
      <c r="E2970" s="2" t="inlineStr">
        <is>
          <t>Central</t>
        </is>
      </c>
      <c r="F2970" s="12" t="n">
        <v>46160</v>
      </c>
      <c r="G2970" s="12" t="n">
        <v>46178</v>
      </c>
      <c r="H2970" s="12" t="n">
        <v>46176</v>
      </c>
      <c r="I2970" s="12" t="n">
        <v>46174</v>
      </c>
      <c r="J2970" s="12" t="n">
        <v>46176</v>
      </c>
      <c r="K2970" s="2" t="n">
        <v>895</v>
      </c>
      <c r="L2970" s="2" t="inlineStr">
        <is>
          <t>Air</t>
        </is>
      </c>
      <c r="M2970" s="2" t="inlineStr">
        <is>
          <t>No Delay</t>
        </is>
      </c>
      <c r="N2970" s="4">
        <f>IF(I2970&lt;=H2970,1,0)</f>
        <v/>
      </c>
      <c r="O2970" s="4">
        <f>IF(J2970&lt;=G2970,1,0)</f>
        <v/>
      </c>
      <c r="P2970" s="4">
        <f>MAX(0,I2970-H2970)</f>
        <v/>
      </c>
      <c r="Q2970" s="4">
        <f>MAX(0,J2970-G2970)</f>
        <v/>
      </c>
      <c r="R2970" s="4">
        <f>IF(AND(N2970=1,O2970=1),"On Track",IF(O2970=0,"Customer Delivery Late","Ship Late"))</f>
        <v/>
      </c>
    </row>
    <row r="2971">
      <c r="A2971" s="2" t="inlineStr">
        <is>
          <t>ORD-02970</t>
        </is>
      </c>
      <c r="B2971" s="2" t="inlineStr">
        <is>
          <t>Customer 26</t>
        </is>
      </c>
      <c r="C2971" s="2" t="inlineStr">
        <is>
          <t>Drive</t>
        </is>
      </c>
      <c r="D2971" s="2" t="inlineStr">
        <is>
          <t>Plant A</t>
        </is>
      </c>
      <c r="E2971" s="2" t="inlineStr">
        <is>
          <t>North</t>
        </is>
      </c>
      <c r="F2971" s="12" t="n">
        <v>46082</v>
      </c>
      <c r="G2971" s="12" t="n">
        <v>46087</v>
      </c>
      <c r="H2971" s="12" t="n">
        <v>46085</v>
      </c>
      <c r="I2971" s="12" t="n">
        <v>46085</v>
      </c>
      <c r="J2971" s="12" t="n">
        <v>46086</v>
      </c>
      <c r="K2971" s="2" t="n">
        <v>589</v>
      </c>
      <c r="L2971" s="2" t="inlineStr">
        <is>
          <t>Sea</t>
        </is>
      </c>
      <c r="M2971" s="2" t="inlineStr">
        <is>
          <t>No Delay</t>
        </is>
      </c>
      <c r="N2971" s="4">
        <f>IF(I2971&lt;=H2971,1,0)</f>
        <v/>
      </c>
      <c r="O2971" s="4">
        <f>IF(J2971&lt;=G2971,1,0)</f>
        <v/>
      </c>
      <c r="P2971" s="4">
        <f>MAX(0,I2971-H2971)</f>
        <v/>
      </c>
      <c r="Q2971" s="4">
        <f>MAX(0,J2971-G2971)</f>
        <v/>
      </c>
      <c r="R2971" s="4">
        <f>IF(AND(N2971=1,O2971=1),"On Track",IF(O2971=0,"Customer Delivery Late","Ship Late"))</f>
        <v/>
      </c>
    </row>
    <row r="2972">
      <c r="A2972" s="2" t="inlineStr">
        <is>
          <t>ORD-02971</t>
        </is>
      </c>
      <c r="B2972" s="2" t="inlineStr">
        <is>
          <t>Customer 11</t>
        </is>
      </c>
      <c r="C2972" s="2" t="inlineStr">
        <is>
          <t>Breaker</t>
        </is>
      </c>
      <c r="D2972" s="2" t="inlineStr">
        <is>
          <t>Plant B</t>
        </is>
      </c>
      <c r="E2972" s="2" t="inlineStr">
        <is>
          <t>South</t>
        </is>
      </c>
      <c r="F2972" s="12" t="n">
        <v>46026</v>
      </c>
      <c r="G2972" s="12" t="n">
        <v>46042</v>
      </c>
      <c r="H2972" s="12" t="n">
        <v>46040</v>
      </c>
      <c r="I2972" s="12" t="n">
        <v>46040</v>
      </c>
      <c r="J2972" s="12" t="n">
        <v>46041</v>
      </c>
      <c r="K2972" s="2" t="n">
        <v>664</v>
      </c>
      <c r="L2972" s="2" t="inlineStr">
        <is>
          <t>Road</t>
        </is>
      </c>
      <c r="M2972" s="2" t="inlineStr">
        <is>
          <t>No Delay</t>
        </is>
      </c>
      <c r="N2972" s="4">
        <f>IF(I2972&lt;=H2972,1,0)</f>
        <v/>
      </c>
      <c r="O2972" s="4">
        <f>IF(J2972&lt;=G2972,1,0)</f>
        <v/>
      </c>
      <c r="P2972" s="4">
        <f>MAX(0,I2972-H2972)</f>
        <v/>
      </c>
      <c r="Q2972" s="4">
        <f>MAX(0,J2972-G2972)</f>
        <v/>
      </c>
      <c r="R2972" s="4">
        <f>IF(AND(N2972=1,O2972=1),"On Track",IF(O2972=0,"Customer Delivery Late","Ship Late"))</f>
        <v/>
      </c>
    </row>
    <row r="2973">
      <c r="A2973" s="2" t="inlineStr">
        <is>
          <t>ORD-02972</t>
        </is>
      </c>
      <c r="B2973" s="2" t="inlineStr">
        <is>
          <t>Customer 15</t>
        </is>
      </c>
      <c r="C2973" s="2" t="inlineStr">
        <is>
          <t>Breaker</t>
        </is>
      </c>
      <c r="D2973" s="2" t="inlineStr">
        <is>
          <t>Plant A</t>
        </is>
      </c>
      <c r="E2973" s="2" t="inlineStr">
        <is>
          <t>Export</t>
        </is>
      </c>
      <c r="F2973" s="12" t="n">
        <v>46158</v>
      </c>
      <c r="G2973" s="12" t="n">
        <v>46171</v>
      </c>
      <c r="H2973" s="12" t="n">
        <v>46166</v>
      </c>
      <c r="I2973" s="12" t="n">
        <v>46166</v>
      </c>
      <c r="J2973" s="12" t="n">
        <v>46171</v>
      </c>
      <c r="K2973" s="2" t="n">
        <v>1042</v>
      </c>
      <c r="L2973" s="2" t="inlineStr">
        <is>
          <t>Air</t>
        </is>
      </c>
      <c r="M2973" s="2" t="inlineStr">
        <is>
          <t>No Delay</t>
        </is>
      </c>
      <c r="N2973" s="4">
        <f>IF(I2973&lt;=H2973,1,0)</f>
        <v/>
      </c>
      <c r="O2973" s="4">
        <f>IF(J2973&lt;=G2973,1,0)</f>
        <v/>
      </c>
      <c r="P2973" s="4">
        <f>MAX(0,I2973-H2973)</f>
        <v/>
      </c>
      <c r="Q2973" s="4">
        <f>MAX(0,J2973-G2973)</f>
        <v/>
      </c>
      <c r="R2973" s="4">
        <f>IF(AND(N2973=1,O2973=1),"On Track",IF(O2973=0,"Customer Delivery Late","Ship Late"))</f>
        <v/>
      </c>
    </row>
    <row r="2974">
      <c r="A2974" s="2" t="inlineStr">
        <is>
          <t>ORD-02973</t>
        </is>
      </c>
      <c r="B2974" s="2" t="inlineStr">
        <is>
          <t>Customer 01</t>
        </is>
      </c>
      <c r="C2974" s="2" t="inlineStr">
        <is>
          <t>Switchgear</t>
        </is>
      </c>
      <c r="D2974" s="2" t="inlineStr">
        <is>
          <t>Plant B</t>
        </is>
      </c>
      <c r="E2974" s="2" t="inlineStr">
        <is>
          <t>South</t>
        </is>
      </c>
      <c r="F2974" s="12" t="n">
        <v>46134</v>
      </c>
      <c r="G2974" s="12" t="n">
        <v>46153</v>
      </c>
      <c r="H2974" s="12" t="n">
        <v>46148</v>
      </c>
      <c r="I2974" s="12" t="n">
        <v>46148</v>
      </c>
      <c r="J2974" s="12" t="n">
        <v>46154</v>
      </c>
      <c r="K2974" s="2" t="n">
        <v>1361</v>
      </c>
      <c r="L2974" s="2" t="inlineStr">
        <is>
          <t>Air</t>
        </is>
      </c>
      <c r="M2974" s="2" t="inlineStr">
        <is>
          <t>Production Delay</t>
        </is>
      </c>
      <c r="N2974" s="4">
        <f>IF(I2974&lt;=H2974,1,0)</f>
        <v/>
      </c>
      <c r="O2974" s="4">
        <f>IF(J2974&lt;=G2974,1,0)</f>
        <v/>
      </c>
      <c r="P2974" s="4">
        <f>MAX(0,I2974-H2974)</f>
        <v/>
      </c>
      <c r="Q2974" s="4">
        <f>MAX(0,J2974-G2974)</f>
        <v/>
      </c>
      <c r="R2974" s="4">
        <f>IF(AND(N2974=1,O2974=1),"On Track",IF(O2974=0,"Customer Delivery Late","Ship Late"))</f>
        <v/>
      </c>
    </row>
    <row r="2975">
      <c r="A2975" s="2" t="inlineStr">
        <is>
          <t>ORD-02974</t>
        </is>
      </c>
      <c r="B2975" s="2" t="inlineStr">
        <is>
          <t>Customer 06</t>
        </is>
      </c>
      <c r="C2975" s="2" t="inlineStr">
        <is>
          <t>Switchgear</t>
        </is>
      </c>
      <c r="D2975" s="2" t="inlineStr">
        <is>
          <t>Plant A</t>
        </is>
      </c>
      <c r="E2975" s="2" t="inlineStr">
        <is>
          <t>Export</t>
        </is>
      </c>
      <c r="F2975" s="12" t="n">
        <v>46033</v>
      </c>
      <c r="G2975" s="12" t="n">
        <v>46048</v>
      </c>
      <c r="H2975" s="12" t="n">
        <v>46043</v>
      </c>
      <c r="I2975" s="12" t="n">
        <v>46042</v>
      </c>
      <c r="J2975" s="12" t="n">
        <v>46046</v>
      </c>
      <c r="K2975" s="2" t="n">
        <v>1323</v>
      </c>
      <c r="L2975" s="2" t="inlineStr">
        <is>
          <t>Sea</t>
        </is>
      </c>
      <c r="M2975" s="2" t="inlineStr">
        <is>
          <t>No Delay</t>
        </is>
      </c>
      <c r="N2975" s="4">
        <f>IF(I2975&lt;=H2975,1,0)</f>
        <v/>
      </c>
      <c r="O2975" s="4">
        <f>IF(J2975&lt;=G2975,1,0)</f>
        <v/>
      </c>
      <c r="P2975" s="4">
        <f>MAX(0,I2975-H2975)</f>
        <v/>
      </c>
      <c r="Q2975" s="4">
        <f>MAX(0,J2975-G2975)</f>
        <v/>
      </c>
      <c r="R2975" s="4">
        <f>IF(AND(N2975=1,O2975=1),"On Track",IF(O2975=0,"Customer Delivery Late","Ship Late"))</f>
        <v/>
      </c>
    </row>
    <row r="2976">
      <c r="A2976" s="2" t="inlineStr">
        <is>
          <t>ORD-02975</t>
        </is>
      </c>
      <c r="B2976" s="2" t="inlineStr">
        <is>
          <t>Customer 18</t>
        </is>
      </c>
      <c r="C2976" s="2" t="inlineStr">
        <is>
          <t>PLC</t>
        </is>
      </c>
      <c r="D2976" s="2" t="inlineStr">
        <is>
          <t>Plant A</t>
        </is>
      </c>
      <c r="E2976" s="2" t="inlineStr">
        <is>
          <t>North</t>
        </is>
      </c>
      <c r="F2976" s="12" t="n">
        <v>46136</v>
      </c>
      <c r="G2976" s="12" t="n">
        <v>46148</v>
      </c>
      <c r="H2976" s="12" t="n">
        <v>46146</v>
      </c>
      <c r="I2976" s="12" t="n">
        <v>46146</v>
      </c>
      <c r="J2976" s="12" t="n">
        <v>46147</v>
      </c>
      <c r="K2976" s="2" t="n">
        <v>749</v>
      </c>
      <c r="L2976" s="2" t="inlineStr">
        <is>
          <t>Road</t>
        </is>
      </c>
      <c r="M2976" s="2" t="inlineStr">
        <is>
          <t>No Delay</t>
        </is>
      </c>
      <c r="N2976" s="4">
        <f>IF(I2976&lt;=H2976,1,0)</f>
        <v/>
      </c>
      <c r="O2976" s="4">
        <f>IF(J2976&lt;=G2976,1,0)</f>
        <v/>
      </c>
      <c r="P2976" s="4">
        <f>MAX(0,I2976-H2976)</f>
        <v/>
      </c>
      <c r="Q2976" s="4">
        <f>MAX(0,J2976-G2976)</f>
        <v/>
      </c>
      <c r="R2976" s="4">
        <f>IF(AND(N2976=1,O2976=1),"On Track",IF(O2976=0,"Customer Delivery Late","Ship Late"))</f>
        <v/>
      </c>
    </row>
    <row r="2977">
      <c r="A2977" s="2" t="inlineStr">
        <is>
          <t>ORD-02976</t>
        </is>
      </c>
      <c r="B2977" s="2" t="inlineStr">
        <is>
          <t>Customer 28</t>
        </is>
      </c>
      <c r="C2977" s="2" t="inlineStr">
        <is>
          <t>Power Supply</t>
        </is>
      </c>
      <c r="D2977" s="2" t="inlineStr">
        <is>
          <t>Plant C</t>
        </is>
      </c>
      <c r="E2977" s="2" t="inlineStr">
        <is>
          <t>North</t>
        </is>
      </c>
      <c r="F2977" s="12" t="n">
        <v>46046</v>
      </c>
      <c r="G2977" s="12" t="n">
        <v>46056</v>
      </c>
      <c r="H2977" s="12" t="n">
        <v>46055</v>
      </c>
      <c r="I2977" s="12" t="n">
        <v>46054</v>
      </c>
      <c r="J2977" s="12" t="n">
        <v>46055</v>
      </c>
      <c r="K2977" s="2" t="n">
        <v>159</v>
      </c>
      <c r="L2977" s="2" t="inlineStr">
        <is>
          <t>Sea</t>
        </is>
      </c>
      <c r="M2977" s="2" t="inlineStr">
        <is>
          <t>No Delay</t>
        </is>
      </c>
      <c r="N2977" s="4">
        <f>IF(I2977&lt;=H2977,1,0)</f>
        <v/>
      </c>
      <c r="O2977" s="4">
        <f>IF(J2977&lt;=G2977,1,0)</f>
        <v/>
      </c>
      <c r="P2977" s="4">
        <f>MAX(0,I2977-H2977)</f>
        <v/>
      </c>
      <c r="Q2977" s="4">
        <f>MAX(0,J2977-G2977)</f>
        <v/>
      </c>
      <c r="R2977" s="4">
        <f>IF(AND(N2977=1,O2977=1),"On Track",IF(O2977=0,"Customer Delivery Late","Ship Late"))</f>
        <v/>
      </c>
    </row>
    <row r="2978">
      <c r="A2978" s="2" t="inlineStr">
        <is>
          <t>ORD-02977</t>
        </is>
      </c>
      <c r="B2978" s="2" t="inlineStr">
        <is>
          <t>Customer 03</t>
        </is>
      </c>
      <c r="C2978" s="2" t="inlineStr">
        <is>
          <t>Switchgear</t>
        </is>
      </c>
      <c r="D2978" s="2" t="inlineStr">
        <is>
          <t>Plant C</t>
        </is>
      </c>
      <c r="E2978" s="2" t="inlineStr">
        <is>
          <t>South</t>
        </is>
      </c>
      <c r="F2978" s="12" t="n">
        <v>46175</v>
      </c>
      <c r="G2978" s="12" t="n">
        <v>46181</v>
      </c>
      <c r="H2978" s="12" t="n">
        <v>46178</v>
      </c>
      <c r="I2978" s="12" t="n">
        <v>46177</v>
      </c>
      <c r="J2978" s="12" t="n">
        <v>46180</v>
      </c>
      <c r="K2978" s="2" t="n">
        <v>982</v>
      </c>
      <c r="L2978" s="2" t="inlineStr">
        <is>
          <t>Road</t>
        </is>
      </c>
      <c r="M2978" s="2" t="inlineStr">
        <is>
          <t>No Delay</t>
        </is>
      </c>
      <c r="N2978" s="4">
        <f>IF(I2978&lt;=H2978,1,0)</f>
        <v/>
      </c>
      <c r="O2978" s="4">
        <f>IF(J2978&lt;=G2978,1,0)</f>
        <v/>
      </c>
      <c r="P2978" s="4">
        <f>MAX(0,I2978-H2978)</f>
        <v/>
      </c>
      <c r="Q2978" s="4">
        <f>MAX(0,J2978-G2978)</f>
        <v/>
      </c>
      <c r="R2978" s="4">
        <f>IF(AND(N2978=1,O2978=1),"On Track",IF(O2978=0,"Customer Delivery Late","Ship Late"))</f>
        <v/>
      </c>
    </row>
    <row r="2979">
      <c r="A2979" s="2" t="inlineStr">
        <is>
          <t>ORD-02978</t>
        </is>
      </c>
      <c r="B2979" s="2" t="inlineStr">
        <is>
          <t>Customer 30</t>
        </is>
      </c>
      <c r="C2979" s="2" t="inlineStr">
        <is>
          <t>Power Supply</t>
        </is>
      </c>
      <c r="D2979" s="2" t="inlineStr">
        <is>
          <t>Plant A</t>
        </is>
      </c>
      <c r="E2979" s="2" t="inlineStr">
        <is>
          <t>North</t>
        </is>
      </c>
      <c r="F2979" s="12" t="n">
        <v>46045</v>
      </c>
      <c r="G2979" s="12" t="n">
        <v>46064</v>
      </c>
      <c r="H2979" s="12" t="n">
        <v>46063</v>
      </c>
      <c r="I2979" s="12" t="n">
        <v>46062</v>
      </c>
      <c r="J2979" s="12" t="n">
        <v>46063</v>
      </c>
      <c r="K2979" s="2" t="n">
        <v>344</v>
      </c>
      <c r="L2979" s="2" t="inlineStr">
        <is>
          <t>Air</t>
        </is>
      </c>
      <c r="M2979" s="2" t="inlineStr">
        <is>
          <t>No Delay</t>
        </is>
      </c>
      <c r="N2979" s="4">
        <f>IF(I2979&lt;=H2979,1,0)</f>
        <v/>
      </c>
      <c r="O2979" s="4">
        <f>IF(J2979&lt;=G2979,1,0)</f>
        <v/>
      </c>
      <c r="P2979" s="4">
        <f>MAX(0,I2979-H2979)</f>
        <v/>
      </c>
      <c r="Q2979" s="4">
        <f>MAX(0,J2979-G2979)</f>
        <v/>
      </c>
      <c r="R2979" s="4">
        <f>IF(AND(N2979=1,O2979=1),"On Track",IF(O2979=0,"Customer Delivery Late","Ship Late"))</f>
        <v/>
      </c>
    </row>
    <row r="2980">
      <c r="A2980" s="2" t="inlineStr">
        <is>
          <t>ORD-02979</t>
        </is>
      </c>
      <c r="B2980" s="2" t="inlineStr">
        <is>
          <t>Customer 18</t>
        </is>
      </c>
      <c r="C2980" s="2" t="inlineStr">
        <is>
          <t>Contactor</t>
        </is>
      </c>
      <c r="D2980" s="2" t="inlineStr">
        <is>
          <t>Plant C</t>
        </is>
      </c>
      <c r="E2980" s="2" t="inlineStr">
        <is>
          <t>North</t>
        </is>
      </c>
      <c r="F2980" s="12" t="n">
        <v>46037</v>
      </c>
      <c r="G2980" s="12" t="n">
        <v>46056</v>
      </c>
      <c r="H2980" s="12" t="n">
        <v>46051</v>
      </c>
      <c r="I2980" s="12" t="n">
        <v>46051</v>
      </c>
      <c r="J2980" s="12" t="n">
        <v>46057</v>
      </c>
      <c r="K2980" s="2" t="n">
        <v>264</v>
      </c>
      <c r="L2980" s="2" t="inlineStr">
        <is>
          <t>Road</t>
        </is>
      </c>
      <c r="M2980" s="2" t="inlineStr">
        <is>
          <t>Production Delay</t>
        </is>
      </c>
      <c r="N2980" s="4">
        <f>IF(I2980&lt;=H2980,1,0)</f>
        <v/>
      </c>
      <c r="O2980" s="4">
        <f>IF(J2980&lt;=G2980,1,0)</f>
        <v/>
      </c>
      <c r="P2980" s="4">
        <f>MAX(0,I2980-H2980)</f>
        <v/>
      </c>
      <c r="Q2980" s="4">
        <f>MAX(0,J2980-G2980)</f>
        <v/>
      </c>
      <c r="R2980" s="4">
        <f>IF(AND(N2980=1,O2980=1),"On Track",IF(O2980=0,"Customer Delivery Late","Ship Late"))</f>
        <v/>
      </c>
    </row>
    <row r="2981">
      <c r="A2981" s="2" t="inlineStr">
        <is>
          <t>ORD-02980</t>
        </is>
      </c>
      <c r="B2981" s="2" t="inlineStr">
        <is>
          <t>Customer 29</t>
        </is>
      </c>
      <c r="C2981" s="2" t="inlineStr">
        <is>
          <t>Contactor</t>
        </is>
      </c>
      <c r="D2981" s="2" t="inlineStr">
        <is>
          <t>Plant C</t>
        </is>
      </c>
      <c r="E2981" s="2" t="inlineStr">
        <is>
          <t>South</t>
        </is>
      </c>
      <c r="F2981" s="12" t="n">
        <v>46093</v>
      </c>
      <c r="G2981" s="12" t="n">
        <v>46108</v>
      </c>
      <c r="H2981" s="12" t="n">
        <v>46104</v>
      </c>
      <c r="I2981" s="12" t="n">
        <v>46104</v>
      </c>
      <c r="J2981" s="12" t="n">
        <v>46108</v>
      </c>
      <c r="K2981" s="2" t="n">
        <v>274</v>
      </c>
      <c r="L2981" s="2" t="inlineStr">
        <is>
          <t>Air</t>
        </is>
      </c>
      <c r="M2981" s="2" t="inlineStr">
        <is>
          <t>No Delay</t>
        </is>
      </c>
      <c r="N2981" s="4">
        <f>IF(I2981&lt;=H2981,1,0)</f>
        <v/>
      </c>
      <c r="O2981" s="4">
        <f>IF(J2981&lt;=G2981,1,0)</f>
        <v/>
      </c>
      <c r="P2981" s="4">
        <f>MAX(0,I2981-H2981)</f>
        <v/>
      </c>
      <c r="Q2981" s="4">
        <f>MAX(0,J2981-G2981)</f>
        <v/>
      </c>
      <c r="R2981" s="4">
        <f>IF(AND(N2981=1,O2981=1),"On Track",IF(O2981=0,"Customer Delivery Late","Ship Late"))</f>
        <v/>
      </c>
    </row>
    <row r="2982">
      <c r="A2982" s="2" t="inlineStr">
        <is>
          <t>ORD-02981</t>
        </is>
      </c>
      <c r="B2982" s="2" t="inlineStr">
        <is>
          <t>Customer 10</t>
        </is>
      </c>
      <c r="C2982" s="2" t="inlineStr">
        <is>
          <t>Drive</t>
        </is>
      </c>
      <c r="D2982" s="2" t="inlineStr">
        <is>
          <t>Plant A</t>
        </is>
      </c>
      <c r="E2982" s="2" t="inlineStr">
        <is>
          <t>Export</t>
        </is>
      </c>
      <c r="F2982" s="12" t="n">
        <v>46167</v>
      </c>
      <c r="G2982" s="12" t="n">
        <v>46184</v>
      </c>
      <c r="H2982" s="12" t="n">
        <v>46183</v>
      </c>
      <c r="I2982" s="12" t="n">
        <v>46181</v>
      </c>
      <c r="J2982" s="12" t="n">
        <v>46182</v>
      </c>
      <c r="K2982" s="2" t="n">
        <v>965</v>
      </c>
      <c r="L2982" s="2" t="inlineStr">
        <is>
          <t>Road</t>
        </is>
      </c>
      <c r="M2982" s="2" t="inlineStr">
        <is>
          <t>No Delay</t>
        </is>
      </c>
      <c r="N2982" s="4">
        <f>IF(I2982&lt;=H2982,1,0)</f>
        <v/>
      </c>
      <c r="O2982" s="4">
        <f>IF(J2982&lt;=G2982,1,0)</f>
        <v/>
      </c>
      <c r="P2982" s="4">
        <f>MAX(0,I2982-H2982)</f>
        <v/>
      </c>
      <c r="Q2982" s="4">
        <f>MAX(0,J2982-G2982)</f>
        <v/>
      </c>
      <c r="R2982" s="4">
        <f>IF(AND(N2982=1,O2982=1),"On Track",IF(O2982=0,"Customer Delivery Late","Ship Late"))</f>
        <v/>
      </c>
    </row>
    <row r="2983">
      <c r="A2983" s="2" t="inlineStr">
        <is>
          <t>ORD-02982</t>
        </is>
      </c>
      <c r="B2983" s="2" t="inlineStr">
        <is>
          <t>Customer 17</t>
        </is>
      </c>
      <c r="C2983" s="2" t="inlineStr">
        <is>
          <t>Relay</t>
        </is>
      </c>
      <c r="D2983" s="2" t="inlineStr">
        <is>
          <t>Plant B</t>
        </is>
      </c>
      <c r="E2983" s="2" t="inlineStr">
        <is>
          <t>Export</t>
        </is>
      </c>
      <c r="F2983" s="12" t="n">
        <v>46056</v>
      </c>
      <c r="G2983" s="12" t="n">
        <v>46065</v>
      </c>
      <c r="H2983" s="12" t="n">
        <v>46063</v>
      </c>
      <c r="I2983" s="12" t="n">
        <v>46062</v>
      </c>
      <c r="J2983" s="12" t="n">
        <v>46064</v>
      </c>
      <c r="K2983" s="2" t="n">
        <v>1355</v>
      </c>
      <c r="L2983" s="2" t="inlineStr">
        <is>
          <t>Road</t>
        </is>
      </c>
      <c r="M2983" s="2" t="inlineStr">
        <is>
          <t>No Delay</t>
        </is>
      </c>
      <c r="N2983" s="4">
        <f>IF(I2983&lt;=H2983,1,0)</f>
        <v/>
      </c>
      <c r="O2983" s="4">
        <f>IF(J2983&lt;=G2983,1,0)</f>
        <v/>
      </c>
      <c r="P2983" s="4">
        <f>MAX(0,I2983-H2983)</f>
        <v/>
      </c>
      <c r="Q2983" s="4">
        <f>MAX(0,J2983-G2983)</f>
        <v/>
      </c>
      <c r="R2983" s="4">
        <f>IF(AND(N2983=1,O2983=1),"On Track",IF(O2983=0,"Customer Delivery Late","Ship Late"))</f>
        <v/>
      </c>
    </row>
    <row r="2984">
      <c r="A2984" s="2" t="inlineStr">
        <is>
          <t>ORD-02983</t>
        </is>
      </c>
      <c r="B2984" s="2" t="inlineStr">
        <is>
          <t>Customer 19</t>
        </is>
      </c>
      <c r="C2984" s="2" t="inlineStr">
        <is>
          <t>Switchgear</t>
        </is>
      </c>
      <c r="D2984" s="2" t="inlineStr">
        <is>
          <t>Plant A</t>
        </is>
      </c>
      <c r="E2984" s="2" t="inlineStr">
        <is>
          <t>South</t>
        </is>
      </c>
      <c r="F2984" s="12" t="n">
        <v>46105</v>
      </c>
      <c r="G2984" s="12" t="n">
        <v>46116</v>
      </c>
      <c r="H2984" s="12" t="n">
        <v>46114</v>
      </c>
      <c r="I2984" s="12" t="n">
        <v>46113</v>
      </c>
      <c r="J2984" s="12" t="n">
        <v>46116</v>
      </c>
      <c r="K2984" s="2" t="n">
        <v>1461</v>
      </c>
      <c r="L2984" s="2" t="inlineStr">
        <is>
          <t>Sea</t>
        </is>
      </c>
      <c r="M2984" s="2" t="inlineStr">
        <is>
          <t>No Delay</t>
        </is>
      </c>
      <c r="N2984" s="4">
        <f>IF(I2984&lt;=H2984,1,0)</f>
        <v/>
      </c>
      <c r="O2984" s="4">
        <f>IF(J2984&lt;=G2984,1,0)</f>
        <v/>
      </c>
      <c r="P2984" s="4">
        <f>MAX(0,I2984-H2984)</f>
        <v/>
      </c>
      <c r="Q2984" s="4">
        <f>MAX(0,J2984-G2984)</f>
        <v/>
      </c>
      <c r="R2984" s="4">
        <f>IF(AND(N2984=1,O2984=1),"On Track",IF(O2984=0,"Customer Delivery Late","Ship Late"))</f>
        <v/>
      </c>
    </row>
    <row r="2985">
      <c r="A2985" s="2" t="inlineStr">
        <is>
          <t>ORD-02984</t>
        </is>
      </c>
      <c r="B2985" s="2" t="inlineStr">
        <is>
          <t>Customer 11</t>
        </is>
      </c>
      <c r="C2985" s="2" t="inlineStr">
        <is>
          <t>Switchgear</t>
        </is>
      </c>
      <c r="D2985" s="2" t="inlineStr">
        <is>
          <t>Plant C</t>
        </is>
      </c>
      <c r="E2985" s="2" t="inlineStr">
        <is>
          <t>North</t>
        </is>
      </c>
      <c r="F2985" s="12" t="n">
        <v>46150</v>
      </c>
      <c r="G2985" s="12" t="n">
        <v>46160</v>
      </c>
      <c r="H2985" s="12" t="n">
        <v>46156</v>
      </c>
      <c r="I2985" s="12" t="n">
        <v>46156</v>
      </c>
      <c r="J2985" s="12" t="n">
        <v>46160</v>
      </c>
      <c r="K2985" s="2" t="n">
        <v>344</v>
      </c>
      <c r="L2985" s="2" t="inlineStr">
        <is>
          <t>Sea</t>
        </is>
      </c>
      <c r="M2985" s="2" t="inlineStr">
        <is>
          <t>No Delay</t>
        </is>
      </c>
      <c r="N2985" s="4">
        <f>IF(I2985&lt;=H2985,1,0)</f>
        <v/>
      </c>
      <c r="O2985" s="4">
        <f>IF(J2985&lt;=G2985,1,0)</f>
        <v/>
      </c>
      <c r="P2985" s="4">
        <f>MAX(0,I2985-H2985)</f>
        <v/>
      </c>
      <c r="Q2985" s="4">
        <f>MAX(0,J2985-G2985)</f>
        <v/>
      </c>
      <c r="R2985" s="4">
        <f>IF(AND(N2985=1,O2985=1),"On Track",IF(O2985=0,"Customer Delivery Late","Ship Late"))</f>
        <v/>
      </c>
    </row>
    <row r="2986">
      <c r="A2986" s="2" t="inlineStr">
        <is>
          <t>ORD-02985</t>
        </is>
      </c>
      <c r="B2986" s="2" t="inlineStr">
        <is>
          <t>Customer 20</t>
        </is>
      </c>
      <c r="C2986" s="2" t="inlineStr">
        <is>
          <t>Sensor</t>
        </is>
      </c>
      <c r="D2986" s="2" t="inlineStr">
        <is>
          <t>Plant B</t>
        </is>
      </c>
      <c r="E2986" s="2" t="inlineStr">
        <is>
          <t>South</t>
        </is>
      </c>
      <c r="F2986" s="12" t="n">
        <v>46088</v>
      </c>
      <c r="G2986" s="12" t="n">
        <v>46093</v>
      </c>
      <c r="H2986" s="12" t="n">
        <v>46088</v>
      </c>
      <c r="I2986" s="12" t="n">
        <v>46088</v>
      </c>
      <c r="J2986" s="12" t="n">
        <v>46093</v>
      </c>
      <c r="K2986" s="2" t="n">
        <v>1103</v>
      </c>
      <c r="L2986" s="2" t="inlineStr">
        <is>
          <t>Air</t>
        </is>
      </c>
      <c r="M2986" s="2" t="inlineStr">
        <is>
          <t>No Delay</t>
        </is>
      </c>
      <c r="N2986" s="4">
        <f>IF(I2986&lt;=H2986,1,0)</f>
        <v/>
      </c>
      <c r="O2986" s="4">
        <f>IF(J2986&lt;=G2986,1,0)</f>
        <v/>
      </c>
      <c r="P2986" s="4">
        <f>MAX(0,I2986-H2986)</f>
        <v/>
      </c>
      <c r="Q2986" s="4">
        <f>MAX(0,J2986-G2986)</f>
        <v/>
      </c>
      <c r="R2986" s="4">
        <f>IF(AND(N2986=1,O2986=1),"On Track",IF(O2986=0,"Customer Delivery Late","Ship Late"))</f>
        <v/>
      </c>
    </row>
    <row r="2987">
      <c r="A2987" s="2" t="inlineStr">
        <is>
          <t>ORD-02986</t>
        </is>
      </c>
      <c r="B2987" s="2" t="inlineStr">
        <is>
          <t>Customer 13</t>
        </is>
      </c>
      <c r="C2987" s="2" t="inlineStr">
        <is>
          <t>Drive</t>
        </is>
      </c>
      <c r="D2987" s="2" t="inlineStr">
        <is>
          <t>Plant A</t>
        </is>
      </c>
      <c r="E2987" s="2" t="inlineStr">
        <is>
          <t>Central</t>
        </is>
      </c>
      <c r="F2987" s="12" t="n">
        <v>46091</v>
      </c>
      <c r="G2987" s="12" t="n">
        <v>46100</v>
      </c>
      <c r="H2987" s="12" t="n">
        <v>46096</v>
      </c>
      <c r="I2987" s="12" t="n">
        <v>46096</v>
      </c>
      <c r="J2987" s="12" t="n">
        <v>46100</v>
      </c>
      <c r="K2987" s="2" t="n">
        <v>1244</v>
      </c>
      <c r="L2987" s="2" t="inlineStr">
        <is>
          <t>Road</t>
        </is>
      </c>
      <c r="M2987" s="2" t="inlineStr">
        <is>
          <t>No Delay</t>
        </is>
      </c>
      <c r="N2987" s="4">
        <f>IF(I2987&lt;=H2987,1,0)</f>
        <v/>
      </c>
      <c r="O2987" s="4">
        <f>IF(J2987&lt;=G2987,1,0)</f>
        <v/>
      </c>
      <c r="P2987" s="4">
        <f>MAX(0,I2987-H2987)</f>
        <v/>
      </c>
      <c r="Q2987" s="4">
        <f>MAX(0,J2987-G2987)</f>
        <v/>
      </c>
      <c r="R2987" s="4">
        <f>IF(AND(N2987=1,O2987=1),"On Track",IF(O2987=0,"Customer Delivery Late","Ship Late"))</f>
        <v/>
      </c>
    </row>
    <row r="2988">
      <c r="A2988" s="2" t="inlineStr">
        <is>
          <t>ORD-02987</t>
        </is>
      </c>
      <c r="B2988" s="2" t="inlineStr">
        <is>
          <t>Customer 11</t>
        </is>
      </c>
      <c r="C2988" s="2" t="inlineStr">
        <is>
          <t>PLC</t>
        </is>
      </c>
      <c r="D2988" s="2" t="inlineStr">
        <is>
          <t>Plant A</t>
        </is>
      </c>
      <c r="E2988" s="2" t="inlineStr">
        <is>
          <t>South</t>
        </is>
      </c>
      <c r="F2988" s="12" t="n">
        <v>46164</v>
      </c>
      <c r="G2988" s="12" t="n">
        <v>46186</v>
      </c>
      <c r="H2988" s="12" t="n">
        <v>46182</v>
      </c>
      <c r="I2988" s="12" t="n">
        <v>46181</v>
      </c>
      <c r="J2988" s="12" t="n">
        <v>46185</v>
      </c>
      <c r="K2988" s="2" t="n">
        <v>16</v>
      </c>
      <c r="L2988" s="2" t="inlineStr">
        <is>
          <t>Air</t>
        </is>
      </c>
      <c r="M2988" s="2" t="inlineStr">
        <is>
          <t>No Delay</t>
        </is>
      </c>
      <c r="N2988" s="4">
        <f>IF(I2988&lt;=H2988,1,0)</f>
        <v/>
      </c>
      <c r="O2988" s="4">
        <f>IF(J2988&lt;=G2988,1,0)</f>
        <v/>
      </c>
      <c r="P2988" s="4">
        <f>MAX(0,I2988-H2988)</f>
        <v/>
      </c>
      <c r="Q2988" s="4">
        <f>MAX(0,J2988-G2988)</f>
        <v/>
      </c>
      <c r="R2988" s="4">
        <f>IF(AND(N2988=1,O2988=1),"On Track",IF(O2988=0,"Customer Delivery Late","Ship Late"))</f>
        <v/>
      </c>
    </row>
    <row r="2989">
      <c r="A2989" s="2" t="inlineStr">
        <is>
          <t>ORD-02988</t>
        </is>
      </c>
      <c r="B2989" s="2" t="inlineStr">
        <is>
          <t>Customer 25</t>
        </is>
      </c>
      <c r="C2989" s="2" t="inlineStr">
        <is>
          <t>Breaker</t>
        </is>
      </c>
      <c r="D2989" s="2" t="inlineStr">
        <is>
          <t>Plant A</t>
        </is>
      </c>
      <c r="E2989" s="2" t="inlineStr">
        <is>
          <t>South</t>
        </is>
      </c>
      <c r="F2989" s="12" t="n">
        <v>46184</v>
      </c>
      <c r="G2989" s="12" t="n">
        <v>46194</v>
      </c>
      <c r="H2989" s="12" t="n">
        <v>46193</v>
      </c>
      <c r="I2989" s="12" t="n">
        <v>46192</v>
      </c>
      <c r="J2989" s="12" t="n">
        <v>46193</v>
      </c>
      <c r="K2989" s="2" t="n">
        <v>1425</v>
      </c>
      <c r="L2989" s="2" t="inlineStr">
        <is>
          <t>Road</t>
        </is>
      </c>
      <c r="M2989" s="2" t="inlineStr">
        <is>
          <t>No Delay</t>
        </is>
      </c>
      <c r="N2989" s="4">
        <f>IF(I2989&lt;=H2989,1,0)</f>
        <v/>
      </c>
      <c r="O2989" s="4">
        <f>IF(J2989&lt;=G2989,1,0)</f>
        <v/>
      </c>
      <c r="P2989" s="4">
        <f>MAX(0,I2989-H2989)</f>
        <v/>
      </c>
      <c r="Q2989" s="4">
        <f>MAX(0,J2989-G2989)</f>
        <v/>
      </c>
      <c r="R2989" s="4">
        <f>IF(AND(N2989=1,O2989=1),"On Track",IF(O2989=0,"Customer Delivery Late","Ship Late"))</f>
        <v/>
      </c>
    </row>
    <row r="2990">
      <c r="A2990" s="2" t="inlineStr">
        <is>
          <t>ORD-02989</t>
        </is>
      </c>
      <c r="B2990" s="2" t="inlineStr">
        <is>
          <t>Customer 14</t>
        </is>
      </c>
      <c r="C2990" s="2" t="inlineStr">
        <is>
          <t>PLC</t>
        </is>
      </c>
      <c r="D2990" s="2" t="inlineStr">
        <is>
          <t>Plant B</t>
        </is>
      </c>
      <c r="E2990" s="2" t="inlineStr">
        <is>
          <t>Central</t>
        </is>
      </c>
      <c r="F2990" s="12" t="n">
        <v>46046</v>
      </c>
      <c r="G2990" s="12" t="n">
        <v>46062</v>
      </c>
      <c r="H2990" s="12" t="n">
        <v>46058</v>
      </c>
      <c r="I2990" s="12" t="n">
        <v>46057</v>
      </c>
      <c r="J2990" s="12" t="n">
        <v>46061</v>
      </c>
      <c r="K2990" s="2" t="n">
        <v>1091</v>
      </c>
      <c r="L2990" s="2" t="inlineStr">
        <is>
          <t>Sea</t>
        </is>
      </c>
      <c r="M2990" s="2" t="inlineStr">
        <is>
          <t>No Delay</t>
        </is>
      </c>
      <c r="N2990" s="4">
        <f>IF(I2990&lt;=H2990,1,0)</f>
        <v/>
      </c>
      <c r="O2990" s="4">
        <f>IF(J2990&lt;=G2990,1,0)</f>
        <v/>
      </c>
      <c r="P2990" s="4">
        <f>MAX(0,I2990-H2990)</f>
        <v/>
      </c>
      <c r="Q2990" s="4">
        <f>MAX(0,J2990-G2990)</f>
        <v/>
      </c>
      <c r="R2990" s="4">
        <f>IF(AND(N2990=1,O2990=1),"On Track",IF(O2990=0,"Customer Delivery Late","Ship Late"))</f>
        <v/>
      </c>
    </row>
    <row r="2991">
      <c r="A2991" s="2" t="inlineStr">
        <is>
          <t>ORD-02990</t>
        </is>
      </c>
      <c r="B2991" s="2" t="inlineStr">
        <is>
          <t>Customer 12</t>
        </is>
      </c>
      <c r="C2991" s="2" t="inlineStr">
        <is>
          <t>Drive</t>
        </is>
      </c>
      <c r="D2991" s="2" t="inlineStr">
        <is>
          <t>Plant C</t>
        </is>
      </c>
      <c r="E2991" s="2" t="inlineStr">
        <is>
          <t>North</t>
        </is>
      </c>
      <c r="F2991" s="12" t="n">
        <v>46130</v>
      </c>
      <c r="G2991" s="12" t="n">
        <v>46140</v>
      </c>
      <c r="H2991" s="12" t="n">
        <v>46138</v>
      </c>
      <c r="I2991" s="12" t="n">
        <v>46137</v>
      </c>
      <c r="J2991" s="12" t="n">
        <v>46139</v>
      </c>
      <c r="K2991" s="2" t="n">
        <v>1346</v>
      </c>
      <c r="L2991" s="2" t="inlineStr">
        <is>
          <t>Air</t>
        </is>
      </c>
      <c r="M2991" s="2" t="inlineStr">
        <is>
          <t>No Delay</t>
        </is>
      </c>
      <c r="N2991" s="4">
        <f>IF(I2991&lt;=H2991,1,0)</f>
        <v/>
      </c>
      <c r="O2991" s="4">
        <f>IF(J2991&lt;=G2991,1,0)</f>
        <v/>
      </c>
      <c r="P2991" s="4">
        <f>MAX(0,I2991-H2991)</f>
        <v/>
      </c>
      <c r="Q2991" s="4">
        <f>MAX(0,J2991-G2991)</f>
        <v/>
      </c>
      <c r="R2991" s="4">
        <f>IF(AND(N2991=1,O2991=1),"On Track",IF(O2991=0,"Customer Delivery Late","Ship Late"))</f>
        <v/>
      </c>
    </row>
    <row r="2992">
      <c r="A2992" s="2" t="inlineStr">
        <is>
          <t>ORD-02991</t>
        </is>
      </c>
      <c r="B2992" s="2" t="inlineStr">
        <is>
          <t>Customer 09</t>
        </is>
      </c>
      <c r="C2992" s="2" t="inlineStr">
        <is>
          <t>Sensor</t>
        </is>
      </c>
      <c r="D2992" s="2" t="inlineStr">
        <is>
          <t>Plant B</t>
        </is>
      </c>
      <c r="E2992" s="2" t="inlineStr">
        <is>
          <t>South</t>
        </is>
      </c>
      <c r="F2992" s="12" t="n">
        <v>46075</v>
      </c>
      <c r="G2992" s="12" t="n">
        <v>46088</v>
      </c>
      <c r="H2992" s="12" t="n">
        <v>46085</v>
      </c>
      <c r="I2992" s="12" t="n">
        <v>46083</v>
      </c>
      <c r="J2992" s="12" t="n">
        <v>46085</v>
      </c>
      <c r="K2992" s="2" t="n">
        <v>989</v>
      </c>
      <c r="L2992" s="2" t="inlineStr">
        <is>
          <t>Sea</t>
        </is>
      </c>
      <c r="M2992" s="2" t="inlineStr">
        <is>
          <t>No Delay</t>
        </is>
      </c>
      <c r="N2992" s="4">
        <f>IF(I2992&lt;=H2992,1,0)</f>
        <v/>
      </c>
      <c r="O2992" s="4">
        <f>IF(J2992&lt;=G2992,1,0)</f>
        <v/>
      </c>
      <c r="P2992" s="4">
        <f>MAX(0,I2992-H2992)</f>
        <v/>
      </c>
      <c r="Q2992" s="4">
        <f>MAX(0,J2992-G2992)</f>
        <v/>
      </c>
      <c r="R2992" s="4">
        <f>IF(AND(N2992=1,O2992=1),"On Track",IF(O2992=0,"Customer Delivery Late","Ship Late"))</f>
        <v/>
      </c>
    </row>
    <row r="2993">
      <c r="A2993" s="2" t="inlineStr">
        <is>
          <t>ORD-02992</t>
        </is>
      </c>
      <c r="B2993" s="2" t="inlineStr">
        <is>
          <t>Customer 25</t>
        </is>
      </c>
      <c r="C2993" s="2" t="inlineStr">
        <is>
          <t>Sensor</t>
        </is>
      </c>
      <c r="D2993" s="2" t="inlineStr">
        <is>
          <t>Plant B</t>
        </is>
      </c>
      <c r="E2993" s="2" t="inlineStr">
        <is>
          <t>Central</t>
        </is>
      </c>
      <c r="F2993" s="12" t="n">
        <v>46096</v>
      </c>
      <c r="G2993" s="12" t="n">
        <v>46106</v>
      </c>
      <c r="H2993" s="12" t="n">
        <v>46105</v>
      </c>
      <c r="I2993" s="12" t="n">
        <v>46105</v>
      </c>
      <c r="J2993" s="12" t="n">
        <v>46106</v>
      </c>
      <c r="K2993" s="2" t="n">
        <v>1045</v>
      </c>
      <c r="L2993" s="2" t="inlineStr">
        <is>
          <t>Road</t>
        </is>
      </c>
      <c r="M2993" s="2" t="inlineStr">
        <is>
          <t>No Delay</t>
        </is>
      </c>
      <c r="N2993" s="4">
        <f>IF(I2993&lt;=H2993,1,0)</f>
        <v/>
      </c>
      <c r="O2993" s="4">
        <f>IF(J2993&lt;=G2993,1,0)</f>
        <v/>
      </c>
      <c r="P2993" s="4">
        <f>MAX(0,I2993-H2993)</f>
        <v/>
      </c>
      <c r="Q2993" s="4">
        <f>MAX(0,J2993-G2993)</f>
        <v/>
      </c>
      <c r="R2993" s="4">
        <f>IF(AND(N2993=1,O2993=1),"On Track",IF(O2993=0,"Customer Delivery Late","Ship Late"))</f>
        <v/>
      </c>
    </row>
    <row r="2994">
      <c r="A2994" s="2" t="inlineStr">
        <is>
          <t>ORD-02993</t>
        </is>
      </c>
      <c r="B2994" s="2" t="inlineStr">
        <is>
          <t>Customer 21</t>
        </is>
      </c>
      <c r="C2994" s="2" t="inlineStr">
        <is>
          <t>Relay</t>
        </is>
      </c>
      <c r="D2994" s="2" t="inlineStr">
        <is>
          <t>Plant B</t>
        </is>
      </c>
      <c r="E2994" s="2" t="inlineStr">
        <is>
          <t>Export</t>
        </is>
      </c>
      <c r="F2994" s="12" t="n">
        <v>46116</v>
      </c>
      <c r="G2994" s="12" t="n">
        <v>46123</v>
      </c>
      <c r="H2994" s="12" t="n">
        <v>46121</v>
      </c>
      <c r="I2994" s="12" t="n">
        <v>46119</v>
      </c>
      <c r="J2994" s="12" t="n">
        <v>46121</v>
      </c>
      <c r="K2994" s="2" t="n">
        <v>600</v>
      </c>
      <c r="L2994" s="2" t="inlineStr">
        <is>
          <t>Road</t>
        </is>
      </c>
      <c r="M2994" s="2" t="inlineStr">
        <is>
          <t>No Delay</t>
        </is>
      </c>
      <c r="N2994" s="4">
        <f>IF(I2994&lt;=H2994,1,0)</f>
        <v/>
      </c>
      <c r="O2994" s="4">
        <f>IF(J2994&lt;=G2994,1,0)</f>
        <v/>
      </c>
      <c r="P2994" s="4">
        <f>MAX(0,I2994-H2994)</f>
        <v/>
      </c>
      <c r="Q2994" s="4">
        <f>MAX(0,J2994-G2994)</f>
        <v/>
      </c>
      <c r="R2994" s="4">
        <f>IF(AND(N2994=1,O2994=1),"On Track",IF(O2994=0,"Customer Delivery Late","Ship Late"))</f>
        <v/>
      </c>
    </row>
    <row r="2995">
      <c r="A2995" s="2" t="inlineStr">
        <is>
          <t>ORD-02994</t>
        </is>
      </c>
      <c r="B2995" s="2" t="inlineStr">
        <is>
          <t>Customer 07</t>
        </is>
      </c>
      <c r="C2995" s="2" t="inlineStr">
        <is>
          <t>Switchgear</t>
        </is>
      </c>
      <c r="D2995" s="2" t="inlineStr">
        <is>
          <t>Plant B</t>
        </is>
      </c>
      <c r="E2995" s="2" t="inlineStr">
        <is>
          <t>North</t>
        </is>
      </c>
      <c r="F2995" s="12" t="n">
        <v>46173</v>
      </c>
      <c r="G2995" s="12" t="n">
        <v>46197</v>
      </c>
      <c r="H2995" s="12" t="n">
        <v>46192</v>
      </c>
      <c r="I2995" s="12" t="n">
        <v>46195</v>
      </c>
      <c r="J2995" s="12" t="n">
        <v>46200</v>
      </c>
      <c r="K2995" s="2" t="n">
        <v>747</v>
      </c>
      <c r="L2995" s="2" t="inlineStr">
        <is>
          <t>Road</t>
        </is>
      </c>
      <c r="M2995" s="2" t="inlineStr">
        <is>
          <t>Carrier Delay</t>
        </is>
      </c>
      <c r="N2995" s="4">
        <f>IF(I2995&lt;=H2995,1,0)</f>
        <v/>
      </c>
      <c r="O2995" s="4">
        <f>IF(J2995&lt;=G2995,1,0)</f>
        <v/>
      </c>
      <c r="P2995" s="4">
        <f>MAX(0,I2995-H2995)</f>
        <v/>
      </c>
      <c r="Q2995" s="4">
        <f>MAX(0,J2995-G2995)</f>
        <v/>
      </c>
      <c r="R2995" s="4">
        <f>IF(AND(N2995=1,O2995=1),"On Track",IF(O2995=0,"Customer Delivery Late","Ship Late"))</f>
        <v/>
      </c>
    </row>
    <row r="2996">
      <c r="A2996" s="2" t="inlineStr">
        <is>
          <t>ORD-02995</t>
        </is>
      </c>
      <c r="B2996" s="2" t="inlineStr">
        <is>
          <t>Customer 21</t>
        </is>
      </c>
      <c r="C2996" s="2" t="inlineStr">
        <is>
          <t>Contactor</t>
        </is>
      </c>
      <c r="D2996" s="2" t="inlineStr">
        <is>
          <t>Plant C</t>
        </is>
      </c>
      <c r="E2996" s="2" t="inlineStr">
        <is>
          <t>Central</t>
        </is>
      </c>
      <c r="F2996" s="12" t="n">
        <v>46023</v>
      </c>
      <c r="G2996" s="12" t="n">
        <v>46029</v>
      </c>
      <c r="H2996" s="12" t="n">
        <v>46025</v>
      </c>
      <c r="I2996" s="12" t="n">
        <v>46023</v>
      </c>
      <c r="J2996" s="12" t="n">
        <v>46027</v>
      </c>
      <c r="K2996" s="2" t="n">
        <v>579</v>
      </c>
      <c r="L2996" s="2" t="inlineStr">
        <is>
          <t>Air</t>
        </is>
      </c>
      <c r="M2996" s="2" t="inlineStr">
        <is>
          <t>No Delay</t>
        </is>
      </c>
      <c r="N2996" s="4">
        <f>IF(I2996&lt;=H2996,1,0)</f>
        <v/>
      </c>
      <c r="O2996" s="4">
        <f>IF(J2996&lt;=G2996,1,0)</f>
        <v/>
      </c>
      <c r="P2996" s="4">
        <f>MAX(0,I2996-H2996)</f>
        <v/>
      </c>
      <c r="Q2996" s="4">
        <f>MAX(0,J2996-G2996)</f>
        <v/>
      </c>
      <c r="R2996" s="4">
        <f>IF(AND(N2996=1,O2996=1),"On Track",IF(O2996=0,"Customer Delivery Late","Ship Late"))</f>
        <v/>
      </c>
    </row>
    <row r="2997">
      <c r="A2997" s="2" t="inlineStr">
        <is>
          <t>ORD-02996</t>
        </is>
      </c>
      <c r="B2997" s="2" t="inlineStr">
        <is>
          <t>Customer 07</t>
        </is>
      </c>
      <c r="C2997" s="2" t="inlineStr">
        <is>
          <t>Contactor</t>
        </is>
      </c>
      <c r="D2997" s="2" t="inlineStr">
        <is>
          <t>Plant A</t>
        </is>
      </c>
      <c r="E2997" s="2" t="inlineStr">
        <is>
          <t>North</t>
        </is>
      </c>
      <c r="F2997" s="12" t="n">
        <v>46168</v>
      </c>
      <c r="G2997" s="12" t="n">
        <v>46178</v>
      </c>
      <c r="H2997" s="12" t="n">
        <v>46176</v>
      </c>
      <c r="I2997" s="12" t="n">
        <v>46175</v>
      </c>
      <c r="J2997" s="12" t="n">
        <v>46177</v>
      </c>
      <c r="K2997" s="2" t="n">
        <v>297</v>
      </c>
      <c r="L2997" s="2" t="inlineStr">
        <is>
          <t>Air</t>
        </is>
      </c>
      <c r="M2997" s="2" t="inlineStr">
        <is>
          <t>No Delay</t>
        </is>
      </c>
      <c r="N2997" s="4">
        <f>IF(I2997&lt;=H2997,1,0)</f>
        <v/>
      </c>
      <c r="O2997" s="4">
        <f>IF(J2997&lt;=G2997,1,0)</f>
        <v/>
      </c>
      <c r="P2997" s="4">
        <f>MAX(0,I2997-H2997)</f>
        <v/>
      </c>
      <c r="Q2997" s="4">
        <f>MAX(0,J2997-G2997)</f>
        <v/>
      </c>
      <c r="R2997" s="4">
        <f>IF(AND(N2997=1,O2997=1),"On Track",IF(O2997=0,"Customer Delivery Late","Ship Late"))</f>
        <v/>
      </c>
    </row>
    <row r="2998">
      <c r="A2998" s="2" t="inlineStr">
        <is>
          <t>ORD-02997</t>
        </is>
      </c>
      <c r="B2998" s="2" t="inlineStr">
        <is>
          <t>Customer 24</t>
        </is>
      </c>
      <c r="C2998" s="2" t="inlineStr">
        <is>
          <t>Breaker</t>
        </is>
      </c>
      <c r="D2998" s="2" t="inlineStr">
        <is>
          <t>Plant C</t>
        </is>
      </c>
      <c r="E2998" s="2" t="inlineStr">
        <is>
          <t>North</t>
        </is>
      </c>
      <c r="F2998" s="12" t="n">
        <v>46126</v>
      </c>
      <c r="G2998" s="12" t="n">
        <v>46140</v>
      </c>
      <c r="H2998" s="12" t="n">
        <v>46138</v>
      </c>
      <c r="I2998" s="12" t="n">
        <v>46138</v>
      </c>
      <c r="J2998" s="12" t="n">
        <v>46140</v>
      </c>
      <c r="K2998" s="2" t="n">
        <v>560</v>
      </c>
      <c r="L2998" s="2" t="inlineStr">
        <is>
          <t>Sea</t>
        </is>
      </c>
      <c r="M2998" s="2" t="inlineStr">
        <is>
          <t>No Delay</t>
        </is>
      </c>
      <c r="N2998" s="4">
        <f>IF(I2998&lt;=H2998,1,0)</f>
        <v/>
      </c>
      <c r="O2998" s="4">
        <f>IF(J2998&lt;=G2998,1,0)</f>
        <v/>
      </c>
      <c r="P2998" s="4">
        <f>MAX(0,I2998-H2998)</f>
        <v/>
      </c>
      <c r="Q2998" s="4">
        <f>MAX(0,J2998-G2998)</f>
        <v/>
      </c>
      <c r="R2998" s="4">
        <f>IF(AND(N2998=1,O2998=1),"On Track",IF(O2998=0,"Customer Delivery Late","Ship Late"))</f>
        <v/>
      </c>
    </row>
    <row r="2999">
      <c r="A2999" s="2" t="inlineStr">
        <is>
          <t>ORD-02998</t>
        </is>
      </c>
      <c r="B2999" s="2" t="inlineStr">
        <is>
          <t>Customer 13</t>
        </is>
      </c>
      <c r="C2999" s="2" t="inlineStr">
        <is>
          <t>Power Supply</t>
        </is>
      </c>
      <c r="D2999" s="2" t="inlineStr">
        <is>
          <t>Plant A</t>
        </is>
      </c>
      <c r="E2999" s="2" t="inlineStr">
        <is>
          <t>Export</t>
        </is>
      </c>
      <c r="F2999" s="12" t="n">
        <v>46129</v>
      </c>
      <c r="G2999" s="12" t="n">
        <v>46134</v>
      </c>
      <c r="H2999" s="12" t="n">
        <v>46130</v>
      </c>
      <c r="I2999" s="12" t="n">
        <v>46130</v>
      </c>
      <c r="J2999" s="12" t="n">
        <v>46133</v>
      </c>
      <c r="K2999" s="2" t="n">
        <v>643</v>
      </c>
      <c r="L2999" s="2" t="inlineStr">
        <is>
          <t>Sea</t>
        </is>
      </c>
      <c r="M2999" s="2" t="inlineStr">
        <is>
          <t>No Delay</t>
        </is>
      </c>
      <c r="N2999" s="4">
        <f>IF(I2999&lt;=H2999,1,0)</f>
        <v/>
      </c>
      <c r="O2999" s="4">
        <f>IF(J2999&lt;=G2999,1,0)</f>
        <v/>
      </c>
      <c r="P2999" s="4">
        <f>MAX(0,I2999-H2999)</f>
        <v/>
      </c>
      <c r="Q2999" s="4">
        <f>MAX(0,J2999-G2999)</f>
        <v/>
      </c>
      <c r="R2999" s="4">
        <f>IF(AND(N2999=1,O2999=1),"On Track",IF(O2999=0,"Customer Delivery Late","Ship Late"))</f>
        <v/>
      </c>
    </row>
    <row r="3000">
      <c r="A3000" s="2" t="inlineStr">
        <is>
          <t>ORD-02999</t>
        </is>
      </c>
      <c r="B3000" s="2" t="inlineStr">
        <is>
          <t>Customer 14</t>
        </is>
      </c>
      <c r="C3000" s="2" t="inlineStr">
        <is>
          <t>Contactor</t>
        </is>
      </c>
      <c r="D3000" s="2" t="inlineStr">
        <is>
          <t>Plant B</t>
        </is>
      </c>
      <c r="E3000" s="2" t="inlineStr">
        <is>
          <t>Export</t>
        </is>
      </c>
      <c r="F3000" s="12" t="n">
        <v>46049</v>
      </c>
      <c r="G3000" s="12" t="n">
        <v>46058</v>
      </c>
      <c r="H3000" s="12" t="n">
        <v>46057</v>
      </c>
      <c r="I3000" s="12" t="n">
        <v>46056</v>
      </c>
      <c r="J3000" s="12" t="n">
        <v>46057</v>
      </c>
      <c r="K3000" s="2" t="n">
        <v>181</v>
      </c>
      <c r="L3000" s="2" t="inlineStr">
        <is>
          <t>Air</t>
        </is>
      </c>
      <c r="M3000" s="2" t="inlineStr">
        <is>
          <t>No Delay</t>
        </is>
      </c>
      <c r="N3000" s="4">
        <f>IF(I3000&lt;=H3000,1,0)</f>
        <v/>
      </c>
      <c r="O3000" s="4">
        <f>IF(J3000&lt;=G3000,1,0)</f>
        <v/>
      </c>
      <c r="P3000" s="4">
        <f>MAX(0,I3000-H3000)</f>
        <v/>
      </c>
      <c r="Q3000" s="4">
        <f>MAX(0,J3000-G3000)</f>
        <v/>
      </c>
      <c r="R3000" s="4">
        <f>IF(AND(N3000=1,O3000=1),"On Track",IF(O3000=0,"Customer Delivery Late","Ship Late"))</f>
        <v/>
      </c>
    </row>
    <row r="3001">
      <c r="A3001" s="2" t="inlineStr">
        <is>
          <t>ORD-03000</t>
        </is>
      </c>
      <c r="B3001" s="2" t="inlineStr">
        <is>
          <t>Customer 07</t>
        </is>
      </c>
      <c r="C3001" s="2" t="inlineStr">
        <is>
          <t>Contactor</t>
        </is>
      </c>
      <c r="D3001" s="2" t="inlineStr">
        <is>
          <t>Plant B</t>
        </is>
      </c>
      <c r="E3001" s="2" t="inlineStr">
        <is>
          <t>North</t>
        </is>
      </c>
      <c r="F3001" s="12" t="n">
        <v>46171</v>
      </c>
      <c r="G3001" s="12" t="n">
        <v>46176</v>
      </c>
      <c r="H3001" s="12" t="n">
        <v>46175</v>
      </c>
      <c r="I3001" s="12" t="n">
        <v>46173</v>
      </c>
      <c r="J3001" s="12" t="n">
        <v>46174</v>
      </c>
      <c r="K3001" s="2" t="n">
        <v>13</v>
      </c>
      <c r="L3001" s="2" t="inlineStr">
        <is>
          <t>Air</t>
        </is>
      </c>
      <c r="M3001" s="2" t="inlineStr">
        <is>
          <t>No Delay</t>
        </is>
      </c>
      <c r="N3001" s="4">
        <f>IF(I3001&lt;=H3001,1,0)</f>
        <v/>
      </c>
      <c r="O3001" s="4">
        <f>IF(J3001&lt;=G3001,1,0)</f>
        <v/>
      </c>
      <c r="P3001" s="4">
        <f>MAX(0,I3001-H3001)</f>
        <v/>
      </c>
      <c r="Q3001" s="4">
        <f>MAX(0,J3001-G3001)</f>
        <v/>
      </c>
      <c r="R3001" s="4">
        <f>IF(AND(N3001=1,O3001=1),"On Track",IF(O3001=0,"Customer Delivery Late","Ship Late"))</f>
        <v/>
      </c>
    </row>
  </sheetData>
  <autoFilter ref="A1:R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3" customWidth="1" min="5" max="5"/>
    <col width="24" customWidth="1" min="6" max="6"/>
    <col width="12" customWidth="1" min="7" max="7"/>
    <col width="12" customWidth="1" min="8" max="8"/>
  </cols>
  <sheetData>
    <row r="1">
      <c r="A1" s="5" t="inlineStr">
        <is>
          <t>Customer Delivery Performance Dashboard</t>
        </is>
      </c>
    </row>
    <row r="2"/>
    <row r="3"/>
    <row r="4">
      <c r="A4" s="1" t="inlineStr">
        <is>
          <t>KPI</t>
        </is>
      </c>
      <c r="B4" s="1" t="inlineStr">
        <is>
          <t>Actual</t>
        </is>
      </c>
      <c r="C4" s="1" t="inlineStr">
        <is>
          <t>Target</t>
        </is>
      </c>
      <c r="D4" s="1" t="inlineStr">
        <is>
          <t>Gap</t>
        </is>
      </c>
      <c r="F4" s="1" t="inlineStr">
        <is>
          <t>Delay Reasons</t>
        </is>
      </c>
      <c r="G4" s="1" t="n"/>
    </row>
    <row r="5">
      <c r="A5" s="6" t="inlineStr">
        <is>
          <t>OTDS</t>
        </is>
      </c>
      <c r="B5" s="13">
        <f>AVERAGE(Raw_Data!N2:N3001)</f>
        <v/>
      </c>
      <c r="C5" s="13" t="n">
        <v>0.965</v>
      </c>
      <c r="D5" s="13">
        <f>B5-C5</f>
        <v/>
      </c>
      <c r="F5" s="8" t="inlineStr">
        <is>
          <t>Reason</t>
        </is>
      </c>
      <c r="G5" s="8" t="inlineStr">
        <is>
          <t>Count</t>
        </is>
      </c>
    </row>
    <row r="6">
      <c r="A6" s="6" t="inlineStr">
        <is>
          <t>OTDC</t>
        </is>
      </c>
      <c r="B6" s="13">
        <f>AVERAGE(Raw_Data!O2:O3001)</f>
        <v/>
      </c>
      <c r="C6" s="13" t="n">
        <v>0.98</v>
      </c>
      <c r="D6" s="13">
        <f>B6-C6</f>
        <v/>
      </c>
      <c r="F6" t="inlineStr">
        <is>
          <t>Material Shortage</t>
        </is>
      </c>
      <c r="G6">
        <f>COUNTIF(Raw_Data!M$2:M$3001,F6)</f>
        <v/>
      </c>
    </row>
    <row r="7">
      <c r="A7" s="6" t="inlineStr">
        <is>
          <t>Total Orders</t>
        </is>
      </c>
      <c r="B7">
        <f>COUNTA(Raw_Data!A2:A3001)</f>
        <v/>
      </c>
      <c r="F7" t="inlineStr">
        <is>
          <t>Production Delay</t>
        </is>
      </c>
      <c r="G7">
        <f>COUNTIF(Raw_Data!M$2:M$3001,F7)</f>
        <v/>
      </c>
    </row>
    <row r="8">
      <c r="A8" s="6" t="inlineStr">
        <is>
          <t>Late Customer Deliveries</t>
        </is>
      </c>
      <c r="B8">
        <f>COUNTIF(Raw_Data!O2:O3001,0)</f>
        <v/>
      </c>
      <c r="F8" t="inlineStr">
        <is>
          <t>Carrier Delay</t>
        </is>
      </c>
      <c r="G8">
        <f>COUNTIF(Raw_Data!M$2:M$3001,F8)</f>
        <v/>
      </c>
    </row>
    <row r="9">
      <c r="A9" s="6" t="inlineStr">
        <is>
          <t>Avg Delivery Delay (days)</t>
        </is>
      </c>
      <c r="B9">
        <f>AVERAGE(Raw_Data!Q2:Q3001)</f>
        <v/>
      </c>
      <c r="F9" t="inlineStr">
        <is>
          <t>Documentation Issue</t>
        </is>
      </c>
      <c r="G9">
        <f>COUNTIF(Raw_Data!M$2:M$3001,F9)</f>
        <v/>
      </c>
    </row>
    <row r="10">
      <c r="F10" t="inlineStr">
        <is>
          <t>Capacity Constraint</t>
        </is>
      </c>
      <c r="G10">
        <f>COUNTIF(Raw_Data!M$2:M$3001,F10)</f>
        <v/>
      </c>
    </row>
    <row r="11">
      <c r="F11" t="inlineStr">
        <is>
          <t>Customer Change</t>
        </is>
      </c>
      <c r="G11">
        <f>COUNTIF(Raw_Data!M$2:M$3001,F11)</f>
        <v/>
      </c>
    </row>
    <row r="12">
      <c r="A12" s="1" t="inlineStr">
        <is>
          <t>Performance by Region</t>
        </is>
      </c>
      <c r="B12" s="1" t="n"/>
      <c r="C12" s="1" t="n"/>
      <c r="D12" s="1" t="n"/>
    </row>
    <row r="13">
      <c r="A13" s="8" t="inlineStr">
        <is>
          <t>Region</t>
        </is>
      </c>
      <c r="B13" s="8" t="inlineStr">
        <is>
          <t>Orders</t>
        </is>
      </c>
      <c r="C13" s="8" t="inlineStr">
        <is>
          <t>OTDS</t>
        </is>
      </c>
      <c r="D13" s="8" t="inlineStr">
        <is>
          <t>OTDC</t>
        </is>
      </c>
    </row>
    <row r="14">
      <c r="A14" t="inlineStr">
        <is>
          <t>North</t>
        </is>
      </c>
      <c r="B14">
        <f>COUNTIF(Raw_Data!E$2:E$3001,A14)</f>
        <v/>
      </c>
      <c r="C14" s="13">
        <f>SUMIF(Raw_Data!E$2:E$3001,A14,Raw_Data!N$2:N$3001)/B14</f>
        <v/>
      </c>
      <c r="D14" s="13">
        <f>SUMIF(Raw_Data!E$2:E$3001,A14,Raw_Data!O$2:O$3001)/B14</f>
        <v/>
      </c>
    </row>
    <row r="15">
      <c r="A15" t="inlineStr">
        <is>
          <t>Central</t>
        </is>
      </c>
      <c r="B15">
        <f>COUNTIF(Raw_Data!E$2:E$3001,A15)</f>
        <v/>
      </c>
      <c r="C15" s="13">
        <f>SUMIF(Raw_Data!E$2:E$3001,A15,Raw_Data!N$2:N$3001)/B15</f>
        <v/>
      </c>
      <c r="D15" s="13">
        <f>SUMIF(Raw_Data!E$2:E$3001,A15,Raw_Data!O$2:O$3001)/B15</f>
        <v/>
      </c>
    </row>
    <row r="16">
      <c r="A16" t="inlineStr">
        <is>
          <t>South</t>
        </is>
      </c>
      <c r="B16">
        <f>COUNTIF(Raw_Data!E$2:E$3001,A16)</f>
        <v/>
      </c>
      <c r="C16" s="13">
        <f>SUMIF(Raw_Data!E$2:E$3001,A16,Raw_Data!N$2:N$3001)/B16</f>
        <v/>
      </c>
      <c r="D16" s="13">
        <f>SUMIF(Raw_Data!E$2:E$3001,A16,Raw_Data!O$2:O$3001)/B16</f>
        <v/>
      </c>
    </row>
    <row r="17">
      <c r="A17" t="inlineStr">
        <is>
          <t>Export</t>
        </is>
      </c>
      <c r="B17">
        <f>COUNTIF(Raw_Data!E$2:E$3001,A17)</f>
        <v/>
      </c>
      <c r="C17" s="13">
        <f>SUMIF(Raw_Data!E$2:E$3001,A17,Raw_Data!N$2:N$3001)/B17</f>
        <v/>
      </c>
      <c r="D17" s="13">
        <f>SUMIF(Raw_Data!E$2:E$3001,A17,Raw_Data!O$2:O$3001)/B17</f>
        <v/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Requested_Delivery_Date</t>
        </is>
      </c>
      <c r="E1" s="1" t="inlineStr">
        <is>
          <t>Actual_Delivery_Date</t>
        </is>
      </c>
      <c r="F1" s="1" t="inlineStr">
        <is>
          <t>Delivery_Delay_Days</t>
        </is>
      </c>
      <c r="G1" s="1" t="inlineStr">
        <is>
          <t>Delay_Reason</t>
        </is>
      </c>
      <c r="H1" s="1" t="inlineStr">
        <is>
          <t>Exception_Status</t>
        </is>
      </c>
      <c r="I1" s="1" t="inlineStr">
        <is>
          <t>Planner_Action</t>
        </is>
      </c>
    </row>
    <row r="2">
      <c r="A2" t="inlineStr">
        <is>
          <t>ORD-00004</t>
        </is>
      </c>
      <c r="B2" t="inlineStr">
        <is>
          <t>Customer 20</t>
        </is>
      </c>
      <c r="C2" t="inlineStr">
        <is>
          <t>Drive</t>
        </is>
      </c>
      <c r="D2" s="14" t="n">
        <v>46162</v>
      </c>
      <c r="E2" s="14" t="n">
        <v>46170</v>
      </c>
      <c r="F2" t="n">
        <v>8</v>
      </c>
      <c r="G2" t="inlineStr">
        <is>
          <t>Customer Change</t>
        </is>
      </c>
      <c r="H2" t="inlineStr">
        <is>
          <t>Customer Delivery Late</t>
        </is>
      </c>
      <c r="I2" t="inlineStr">
        <is>
          <t>Escalate / Follow up</t>
        </is>
      </c>
    </row>
    <row r="3">
      <c r="A3" t="inlineStr">
        <is>
          <t>ORD-00005</t>
        </is>
      </c>
      <c r="B3" t="inlineStr">
        <is>
          <t>Customer 27</t>
        </is>
      </c>
      <c r="C3" t="inlineStr">
        <is>
          <t>Drive</t>
        </is>
      </c>
      <c r="D3" s="14" t="n">
        <v>46046</v>
      </c>
      <c r="E3" s="14" t="n">
        <v>46050</v>
      </c>
      <c r="F3" t="n">
        <v>4</v>
      </c>
      <c r="G3" t="inlineStr">
        <is>
          <t>Customer Change</t>
        </is>
      </c>
      <c r="H3" t="inlineStr">
        <is>
          <t>Customer Delivery Late</t>
        </is>
      </c>
      <c r="I3" t="inlineStr">
        <is>
          <t>Escalate / Follow up</t>
        </is>
      </c>
    </row>
    <row r="4">
      <c r="A4" t="inlineStr">
        <is>
          <t>ORD-00019</t>
        </is>
      </c>
      <c r="B4" t="inlineStr">
        <is>
          <t>Customer 30</t>
        </is>
      </c>
      <c r="C4" t="inlineStr">
        <is>
          <t>Switchgear</t>
        </is>
      </c>
      <c r="D4" s="14" t="n">
        <v>46167</v>
      </c>
      <c r="E4" s="14" t="n">
        <v>46171</v>
      </c>
      <c r="F4" t="n">
        <v>4</v>
      </c>
      <c r="G4" t="inlineStr">
        <is>
          <t>Carrier Delay</t>
        </is>
      </c>
      <c r="H4" t="inlineStr">
        <is>
          <t>Customer Delivery Late</t>
        </is>
      </c>
      <c r="I4" t="inlineStr">
        <is>
          <t>Escalate / Follow up</t>
        </is>
      </c>
    </row>
    <row r="5">
      <c r="A5" t="inlineStr">
        <is>
          <t>ORD-00027</t>
        </is>
      </c>
      <c r="B5" t="inlineStr">
        <is>
          <t>Customer 19</t>
        </is>
      </c>
      <c r="C5" t="inlineStr">
        <is>
          <t>Relay</t>
        </is>
      </c>
      <c r="D5" s="14" t="n">
        <v>46154</v>
      </c>
      <c r="E5" s="14" t="n">
        <v>46155</v>
      </c>
      <c r="F5" t="n">
        <v>1</v>
      </c>
      <c r="G5" t="inlineStr">
        <is>
          <t>Carrier Delay</t>
        </is>
      </c>
      <c r="H5" t="inlineStr">
        <is>
          <t>Customer Delivery Late</t>
        </is>
      </c>
      <c r="I5" t="inlineStr">
        <is>
          <t>Escalate / Follow up</t>
        </is>
      </c>
    </row>
    <row r="6">
      <c r="A6" t="inlineStr">
        <is>
          <t>ORD-00040</t>
        </is>
      </c>
      <c r="B6" t="inlineStr">
        <is>
          <t>Customer 09</t>
        </is>
      </c>
      <c r="C6" t="inlineStr">
        <is>
          <t>Switchgear</t>
        </is>
      </c>
      <c r="D6" s="14" t="n">
        <v>46163</v>
      </c>
      <c r="E6" s="14" t="n">
        <v>46164</v>
      </c>
      <c r="F6" t="n">
        <v>1</v>
      </c>
      <c r="G6" t="inlineStr">
        <is>
          <t>Production Delay</t>
        </is>
      </c>
      <c r="H6" t="inlineStr">
        <is>
          <t>Customer Delivery Late</t>
        </is>
      </c>
      <c r="I6" t="inlineStr">
        <is>
          <t>Escalate / Follow up</t>
        </is>
      </c>
    </row>
    <row r="7">
      <c r="A7" t="inlineStr">
        <is>
          <t>ORD-00047</t>
        </is>
      </c>
      <c r="B7" t="inlineStr">
        <is>
          <t>Customer 23</t>
        </is>
      </c>
      <c r="C7" t="inlineStr">
        <is>
          <t>Sensor</t>
        </is>
      </c>
      <c r="D7" s="14" t="n">
        <v>46191</v>
      </c>
      <c r="E7" s="14" t="n">
        <v>46192</v>
      </c>
      <c r="F7" t="n">
        <v>1</v>
      </c>
      <c r="G7" t="inlineStr">
        <is>
          <t>Documentation Issue</t>
        </is>
      </c>
      <c r="H7" t="inlineStr">
        <is>
          <t>Customer Delivery Late</t>
        </is>
      </c>
      <c r="I7" t="inlineStr">
        <is>
          <t>Escalate / Follow up</t>
        </is>
      </c>
    </row>
    <row r="8">
      <c r="A8" t="inlineStr">
        <is>
          <t>ORD-00053</t>
        </is>
      </c>
      <c r="B8" t="inlineStr">
        <is>
          <t>Customer 08</t>
        </is>
      </c>
      <c r="C8" t="inlineStr">
        <is>
          <t>Power Supply</t>
        </is>
      </c>
      <c r="D8" s="14" t="n">
        <v>46104</v>
      </c>
      <c r="E8" s="14" t="n">
        <v>46106</v>
      </c>
      <c r="F8" t="n">
        <v>2</v>
      </c>
      <c r="G8" t="inlineStr">
        <is>
          <t>Material Shortage</t>
        </is>
      </c>
      <c r="H8" t="inlineStr">
        <is>
          <t>Customer Delivery Late</t>
        </is>
      </c>
      <c r="I8" t="inlineStr">
        <is>
          <t>Escalate / Follow up</t>
        </is>
      </c>
    </row>
    <row r="9">
      <c r="A9" t="inlineStr">
        <is>
          <t>ORD-00055</t>
        </is>
      </c>
      <c r="B9" t="inlineStr">
        <is>
          <t>Customer 08</t>
        </is>
      </c>
      <c r="C9" t="inlineStr">
        <is>
          <t>Contactor</t>
        </is>
      </c>
      <c r="D9" s="14" t="n">
        <v>46174</v>
      </c>
      <c r="E9" s="14" t="n">
        <v>46180</v>
      </c>
      <c r="F9" t="n">
        <v>6</v>
      </c>
      <c r="G9" t="inlineStr">
        <is>
          <t>Carrier Delay</t>
        </is>
      </c>
      <c r="H9" t="inlineStr">
        <is>
          <t>Customer Delivery Late</t>
        </is>
      </c>
      <c r="I9" t="inlineStr">
        <is>
          <t>Escalate / Follow up</t>
        </is>
      </c>
    </row>
    <row r="10">
      <c r="A10" t="inlineStr">
        <is>
          <t>ORD-00066</t>
        </is>
      </c>
      <c r="B10" t="inlineStr">
        <is>
          <t>Customer 04</t>
        </is>
      </c>
      <c r="C10" t="inlineStr">
        <is>
          <t>Relay</t>
        </is>
      </c>
      <c r="D10" s="14" t="n">
        <v>46190</v>
      </c>
      <c r="E10" s="14" t="n">
        <v>46198</v>
      </c>
      <c r="F10" t="n">
        <v>8</v>
      </c>
      <c r="G10" t="inlineStr">
        <is>
          <t>Customer Change</t>
        </is>
      </c>
      <c r="H10" t="inlineStr">
        <is>
          <t>Customer Delivery Late</t>
        </is>
      </c>
      <c r="I10" t="inlineStr">
        <is>
          <t>Escalate / Follow up</t>
        </is>
      </c>
    </row>
    <row r="11">
      <c r="A11" t="inlineStr">
        <is>
          <t>ORD-00070</t>
        </is>
      </c>
      <c r="B11" t="inlineStr">
        <is>
          <t>Customer 27</t>
        </is>
      </c>
      <c r="C11" t="inlineStr">
        <is>
          <t>Switchgear</t>
        </is>
      </c>
      <c r="D11" s="14" t="n">
        <v>46078</v>
      </c>
      <c r="E11" s="14" t="n">
        <v>46079</v>
      </c>
      <c r="F11" t="n">
        <v>1</v>
      </c>
      <c r="G11" t="inlineStr">
        <is>
          <t>Documentation Issue</t>
        </is>
      </c>
      <c r="H11" t="inlineStr">
        <is>
          <t>Customer Delivery Late</t>
        </is>
      </c>
      <c r="I11" t="inlineStr">
        <is>
          <t>Escalate / Follow up</t>
        </is>
      </c>
    </row>
    <row r="12">
      <c r="A12" t="inlineStr">
        <is>
          <t>ORD-00072</t>
        </is>
      </c>
      <c r="B12" t="inlineStr">
        <is>
          <t>Customer 11</t>
        </is>
      </c>
      <c r="C12" t="inlineStr">
        <is>
          <t>Power Supply</t>
        </is>
      </c>
      <c r="D12" s="14" t="n">
        <v>46122</v>
      </c>
      <c r="E12" s="14" t="n">
        <v>46130</v>
      </c>
      <c r="F12" t="n">
        <v>8</v>
      </c>
      <c r="G12" t="inlineStr">
        <is>
          <t>Carrier Delay</t>
        </is>
      </c>
      <c r="H12" t="inlineStr">
        <is>
          <t>Customer Delivery Late</t>
        </is>
      </c>
      <c r="I12" t="inlineStr">
        <is>
          <t>Escalate / Follow up</t>
        </is>
      </c>
    </row>
    <row r="13">
      <c r="A13" t="inlineStr">
        <is>
          <t>ORD-00080</t>
        </is>
      </c>
      <c r="B13" t="inlineStr">
        <is>
          <t>Customer 19</t>
        </is>
      </c>
      <c r="C13" t="inlineStr">
        <is>
          <t>Sensor</t>
        </is>
      </c>
      <c r="D13" s="14" t="n">
        <v>46153</v>
      </c>
      <c r="E13" s="14" t="n">
        <v>46161</v>
      </c>
      <c r="F13" t="n">
        <v>8</v>
      </c>
      <c r="G13" t="inlineStr">
        <is>
          <t>Carrier Delay</t>
        </is>
      </c>
      <c r="H13" t="inlineStr">
        <is>
          <t>Customer Delivery Late</t>
        </is>
      </c>
      <c r="I13" t="inlineStr">
        <is>
          <t>Escalate / Follow up</t>
        </is>
      </c>
    </row>
    <row r="14">
      <c r="A14" t="inlineStr">
        <is>
          <t>ORD-00081</t>
        </is>
      </c>
      <c r="B14" t="inlineStr">
        <is>
          <t>Customer 25</t>
        </is>
      </c>
      <c r="C14" t="inlineStr">
        <is>
          <t>PLC</t>
        </is>
      </c>
      <c r="D14" s="14" t="n">
        <v>46137</v>
      </c>
      <c r="E14" s="14" t="n">
        <v>46138</v>
      </c>
      <c r="F14" t="n">
        <v>1</v>
      </c>
      <c r="G14" t="inlineStr">
        <is>
          <t>Carrier Delay</t>
        </is>
      </c>
      <c r="H14" t="inlineStr">
        <is>
          <t>Customer Delivery Late</t>
        </is>
      </c>
      <c r="I14" t="inlineStr">
        <is>
          <t>Escalate / Follow up</t>
        </is>
      </c>
    </row>
    <row r="15">
      <c r="A15" t="inlineStr">
        <is>
          <t>ORD-00093</t>
        </is>
      </c>
      <c r="B15" t="inlineStr">
        <is>
          <t>Customer 17</t>
        </is>
      </c>
      <c r="C15" t="inlineStr">
        <is>
          <t>Sensor</t>
        </is>
      </c>
      <c r="D15" s="14" t="n">
        <v>46136</v>
      </c>
      <c r="E15" s="14" t="n">
        <v>46137</v>
      </c>
      <c r="F15" t="n">
        <v>1</v>
      </c>
      <c r="G15" t="inlineStr">
        <is>
          <t>Customer Change</t>
        </is>
      </c>
      <c r="H15" t="inlineStr">
        <is>
          <t>Customer Delivery Late</t>
        </is>
      </c>
      <c r="I15" t="inlineStr">
        <is>
          <t>Escalate / Follow up</t>
        </is>
      </c>
    </row>
    <row r="16">
      <c r="A16" t="inlineStr">
        <is>
          <t>ORD-00100</t>
        </is>
      </c>
      <c r="B16" t="inlineStr">
        <is>
          <t>Customer 09</t>
        </is>
      </c>
      <c r="C16" t="inlineStr">
        <is>
          <t>Breaker</t>
        </is>
      </c>
      <c r="D16" s="14" t="n">
        <v>46181</v>
      </c>
      <c r="E16" s="14" t="n">
        <v>46182</v>
      </c>
      <c r="F16" t="n">
        <v>1</v>
      </c>
      <c r="G16" t="inlineStr">
        <is>
          <t>Customer Change</t>
        </is>
      </c>
      <c r="H16" t="inlineStr">
        <is>
          <t>Customer Delivery Late</t>
        </is>
      </c>
      <c r="I16" t="inlineStr">
        <is>
          <t>Escalate / Follow up</t>
        </is>
      </c>
    </row>
    <row r="17">
      <c r="A17" t="inlineStr">
        <is>
          <t>ORD-00102</t>
        </is>
      </c>
      <c r="B17" t="inlineStr">
        <is>
          <t>Customer 05</t>
        </is>
      </c>
      <c r="C17" t="inlineStr">
        <is>
          <t>Relay</t>
        </is>
      </c>
      <c r="D17" s="14" t="n">
        <v>46154</v>
      </c>
      <c r="E17" s="14" t="n">
        <v>46155</v>
      </c>
      <c r="F17" t="n">
        <v>1</v>
      </c>
      <c r="G17" t="inlineStr">
        <is>
          <t>Material Shortage</t>
        </is>
      </c>
      <c r="H17" t="inlineStr">
        <is>
          <t>Customer Delivery Late</t>
        </is>
      </c>
      <c r="I17" t="inlineStr">
        <is>
          <t>Escalate / Follow up</t>
        </is>
      </c>
    </row>
    <row r="18">
      <c r="A18" t="inlineStr">
        <is>
          <t>ORD-00120</t>
        </is>
      </c>
      <c r="B18" t="inlineStr">
        <is>
          <t>Customer 15</t>
        </is>
      </c>
      <c r="C18" t="inlineStr">
        <is>
          <t>Switchgear</t>
        </is>
      </c>
      <c r="D18" s="14" t="n">
        <v>46171</v>
      </c>
      <c r="E18" s="14" t="n">
        <v>46179</v>
      </c>
      <c r="F18" t="n">
        <v>8</v>
      </c>
      <c r="G18" t="inlineStr">
        <is>
          <t>Capacity Constraint</t>
        </is>
      </c>
      <c r="H18" t="inlineStr">
        <is>
          <t>Customer Delivery Late</t>
        </is>
      </c>
      <c r="I18" t="inlineStr">
        <is>
          <t>Escalate / Follow up</t>
        </is>
      </c>
    </row>
    <row r="19">
      <c r="A19" t="inlineStr">
        <is>
          <t>ORD-00127</t>
        </is>
      </c>
      <c r="B19" t="inlineStr">
        <is>
          <t>Customer 21</t>
        </is>
      </c>
      <c r="C19" t="inlineStr">
        <is>
          <t>Power Supply</t>
        </is>
      </c>
      <c r="D19" s="14" t="n">
        <v>46201</v>
      </c>
      <c r="E19" s="14" t="n">
        <v>46203</v>
      </c>
      <c r="F19" t="n">
        <v>2</v>
      </c>
      <c r="G19" t="inlineStr">
        <is>
          <t>Material Shortage</t>
        </is>
      </c>
      <c r="H19" t="inlineStr">
        <is>
          <t>Customer Delivery Late</t>
        </is>
      </c>
      <c r="I19" t="inlineStr">
        <is>
          <t>Escalate / Follow up</t>
        </is>
      </c>
    </row>
    <row r="20">
      <c r="A20" t="inlineStr">
        <is>
          <t>ORD-00128</t>
        </is>
      </c>
      <c r="B20" t="inlineStr">
        <is>
          <t>Customer 05</t>
        </is>
      </c>
      <c r="C20" t="inlineStr">
        <is>
          <t>Breaker</t>
        </is>
      </c>
      <c r="D20" s="14" t="n">
        <v>46056</v>
      </c>
      <c r="E20" s="14" t="n">
        <v>46057</v>
      </c>
      <c r="F20" t="n">
        <v>1</v>
      </c>
      <c r="G20" t="inlineStr">
        <is>
          <t>Carrier Delay</t>
        </is>
      </c>
      <c r="H20" t="inlineStr">
        <is>
          <t>Customer Delivery Late</t>
        </is>
      </c>
      <c r="I20" t="inlineStr">
        <is>
          <t>Escalate / Follow up</t>
        </is>
      </c>
    </row>
    <row r="21">
      <c r="A21" t="inlineStr">
        <is>
          <t>ORD-00146</t>
        </is>
      </c>
      <c r="B21" t="inlineStr">
        <is>
          <t>Customer 08</t>
        </is>
      </c>
      <c r="C21" t="inlineStr">
        <is>
          <t>Switchgear</t>
        </is>
      </c>
      <c r="D21" s="14" t="n">
        <v>46118</v>
      </c>
      <c r="E21" s="14" t="n">
        <v>46122</v>
      </c>
      <c r="F21" t="n">
        <v>4</v>
      </c>
      <c r="G21" t="inlineStr">
        <is>
          <t>Carrier Delay</t>
        </is>
      </c>
      <c r="H21" t="inlineStr">
        <is>
          <t>Customer Delivery Late</t>
        </is>
      </c>
      <c r="I21" t="inlineStr">
        <is>
          <t>Escalate / Follow up</t>
        </is>
      </c>
    </row>
    <row r="22">
      <c r="A22" t="inlineStr">
        <is>
          <t>ORD-00153</t>
        </is>
      </c>
      <c r="B22" t="inlineStr">
        <is>
          <t>Customer 12</t>
        </is>
      </c>
      <c r="C22" t="inlineStr">
        <is>
          <t>Drive</t>
        </is>
      </c>
      <c r="D22" s="14" t="n">
        <v>46194</v>
      </c>
      <c r="E22" s="14" t="n">
        <v>46195</v>
      </c>
      <c r="F22" t="n">
        <v>1</v>
      </c>
      <c r="G22" t="inlineStr">
        <is>
          <t>Material Shortage</t>
        </is>
      </c>
      <c r="H22" t="inlineStr">
        <is>
          <t>Customer Delivery Late</t>
        </is>
      </c>
      <c r="I22" t="inlineStr">
        <is>
          <t>Escalate / Follow up</t>
        </is>
      </c>
    </row>
    <row r="23">
      <c r="A23" t="inlineStr">
        <is>
          <t>ORD-00161</t>
        </is>
      </c>
      <c r="B23" t="inlineStr">
        <is>
          <t>Customer 25</t>
        </is>
      </c>
      <c r="C23" t="inlineStr">
        <is>
          <t>Sensor</t>
        </is>
      </c>
      <c r="D23" s="14" t="n">
        <v>46063</v>
      </c>
      <c r="E23" s="14" t="n">
        <v>46066</v>
      </c>
      <c r="F23" t="n">
        <v>3</v>
      </c>
      <c r="G23" t="inlineStr">
        <is>
          <t>Production Delay</t>
        </is>
      </c>
      <c r="H23" t="inlineStr">
        <is>
          <t>Customer Delivery Late</t>
        </is>
      </c>
      <c r="I23" t="inlineStr">
        <is>
          <t>Escalate / Follow up</t>
        </is>
      </c>
    </row>
    <row r="24">
      <c r="A24" t="inlineStr">
        <is>
          <t>ORD-00164</t>
        </is>
      </c>
      <c r="B24" t="inlineStr">
        <is>
          <t>Customer 19</t>
        </is>
      </c>
      <c r="C24" t="inlineStr">
        <is>
          <t>PLC</t>
        </is>
      </c>
      <c r="D24" s="14" t="n">
        <v>46066</v>
      </c>
      <c r="E24" s="14" t="n">
        <v>46069</v>
      </c>
      <c r="F24" t="n">
        <v>3</v>
      </c>
      <c r="G24" t="inlineStr">
        <is>
          <t>Carrier Delay</t>
        </is>
      </c>
      <c r="H24" t="inlineStr">
        <is>
          <t>Customer Delivery Late</t>
        </is>
      </c>
      <c r="I24" t="inlineStr">
        <is>
          <t>Escalate / Follow up</t>
        </is>
      </c>
    </row>
    <row r="25">
      <c r="A25" t="inlineStr">
        <is>
          <t>ORD-00177</t>
        </is>
      </c>
      <c r="B25" t="inlineStr">
        <is>
          <t>Customer 27</t>
        </is>
      </c>
      <c r="C25" t="inlineStr">
        <is>
          <t>Drive</t>
        </is>
      </c>
      <c r="D25" s="14" t="n">
        <v>46165</v>
      </c>
      <c r="E25" s="14" t="n">
        <v>46166</v>
      </c>
      <c r="F25" t="n">
        <v>1</v>
      </c>
      <c r="G25" t="inlineStr">
        <is>
          <t>Customer Change</t>
        </is>
      </c>
      <c r="H25" t="inlineStr">
        <is>
          <t>Customer Delivery Late</t>
        </is>
      </c>
      <c r="I25" t="inlineStr">
        <is>
          <t>Escalate / Follow up</t>
        </is>
      </c>
    </row>
    <row r="26">
      <c r="A26" t="inlineStr">
        <is>
          <t>ORD-00184</t>
        </is>
      </c>
      <c r="B26" t="inlineStr">
        <is>
          <t>Customer 19</t>
        </is>
      </c>
      <c r="C26" t="inlineStr">
        <is>
          <t>Power Supply</t>
        </is>
      </c>
      <c r="D26" s="14" t="n">
        <v>46115</v>
      </c>
      <c r="E26" s="14" t="n">
        <v>46120</v>
      </c>
      <c r="F26" t="n">
        <v>5</v>
      </c>
      <c r="G26" t="inlineStr">
        <is>
          <t>Capacity Constraint</t>
        </is>
      </c>
      <c r="H26" t="inlineStr">
        <is>
          <t>Customer Delivery Late</t>
        </is>
      </c>
      <c r="I26" t="inlineStr">
        <is>
          <t>Escalate / Follow up</t>
        </is>
      </c>
    </row>
    <row r="27">
      <c r="A27" t="inlineStr">
        <is>
          <t>ORD-00186</t>
        </is>
      </c>
      <c r="B27" t="inlineStr">
        <is>
          <t>Customer 27</t>
        </is>
      </c>
      <c r="C27" t="inlineStr">
        <is>
          <t>Breaker</t>
        </is>
      </c>
      <c r="D27" s="14" t="n">
        <v>46080</v>
      </c>
      <c r="E27" s="14" t="n">
        <v>46081</v>
      </c>
      <c r="F27" t="n">
        <v>1</v>
      </c>
      <c r="G27" t="inlineStr">
        <is>
          <t>Material Shortage</t>
        </is>
      </c>
      <c r="H27" t="inlineStr">
        <is>
          <t>Customer Delivery Late</t>
        </is>
      </c>
      <c r="I27" t="inlineStr">
        <is>
          <t>Escalate / Follow up</t>
        </is>
      </c>
    </row>
    <row r="28">
      <c r="A28" t="inlineStr">
        <is>
          <t>ORD-00188</t>
        </is>
      </c>
      <c r="B28" t="inlineStr">
        <is>
          <t>Customer 17</t>
        </is>
      </c>
      <c r="C28" t="inlineStr">
        <is>
          <t>Power Supply</t>
        </is>
      </c>
      <c r="D28" s="14" t="n">
        <v>46181</v>
      </c>
      <c r="E28" s="14" t="n">
        <v>46182</v>
      </c>
      <c r="F28" t="n">
        <v>1</v>
      </c>
      <c r="G28" t="inlineStr">
        <is>
          <t>Material Shortage</t>
        </is>
      </c>
      <c r="H28" t="inlineStr">
        <is>
          <t>Customer Delivery Late</t>
        </is>
      </c>
      <c r="I28" t="inlineStr">
        <is>
          <t>Escalate / Follow up</t>
        </is>
      </c>
    </row>
    <row r="29">
      <c r="A29" t="inlineStr">
        <is>
          <t>ORD-00192</t>
        </is>
      </c>
      <c r="B29" t="inlineStr">
        <is>
          <t>Customer 05</t>
        </is>
      </c>
      <c r="C29" t="inlineStr">
        <is>
          <t>Power Supply</t>
        </is>
      </c>
      <c r="D29" s="14" t="n">
        <v>46055</v>
      </c>
      <c r="E29" s="14" t="n">
        <v>46057</v>
      </c>
      <c r="F29" t="n">
        <v>2</v>
      </c>
      <c r="G29" t="inlineStr">
        <is>
          <t>Capacity Constraint</t>
        </is>
      </c>
      <c r="H29" t="inlineStr">
        <is>
          <t>Customer Delivery Late</t>
        </is>
      </c>
      <c r="I29" t="inlineStr">
        <is>
          <t>Escalate / Follow up</t>
        </is>
      </c>
    </row>
    <row r="30">
      <c r="A30" t="inlineStr">
        <is>
          <t>ORD-00198</t>
        </is>
      </c>
      <c r="B30" t="inlineStr">
        <is>
          <t>Customer 13</t>
        </is>
      </c>
      <c r="C30" t="inlineStr">
        <is>
          <t>Relay</t>
        </is>
      </c>
      <c r="D30" s="14" t="n">
        <v>46115</v>
      </c>
      <c r="E30" s="14" t="n">
        <v>46116</v>
      </c>
      <c r="F30" t="n">
        <v>1</v>
      </c>
      <c r="G30" t="inlineStr">
        <is>
          <t>Customer Change</t>
        </is>
      </c>
      <c r="H30" t="inlineStr">
        <is>
          <t>Customer Delivery Late</t>
        </is>
      </c>
      <c r="I30" t="inlineStr">
        <is>
          <t>Escalate / Follow up</t>
        </is>
      </c>
    </row>
    <row r="31">
      <c r="A31" t="inlineStr">
        <is>
          <t>ORD-00200</t>
        </is>
      </c>
      <c r="B31" t="inlineStr">
        <is>
          <t>Customer 27</t>
        </is>
      </c>
      <c r="C31" t="inlineStr">
        <is>
          <t>Power Supply</t>
        </is>
      </c>
      <c r="D31" s="14" t="n">
        <v>46173</v>
      </c>
      <c r="E31" s="14" t="n">
        <v>46177</v>
      </c>
      <c r="F31" t="n">
        <v>4</v>
      </c>
      <c r="G31" t="inlineStr">
        <is>
          <t>Carrier Delay</t>
        </is>
      </c>
      <c r="H31" t="inlineStr">
        <is>
          <t>Customer Delivery Late</t>
        </is>
      </c>
      <c r="I31" t="inlineStr">
        <is>
          <t>Escalate / Follow up</t>
        </is>
      </c>
    </row>
    <row r="32">
      <c r="A32" t="inlineStr">
        <is>
          <t>ORD-00204</t>
        </is>
      </c>
      <c r="B32" t="inlineStr">
        <is>
          <t>Customer 14</t>
        </is>
      </c>
      <c r="C32" t="inlineStr">
        <is>
          <t>Breaker</t>
        </is>
      </c>
      <c r="D32" s="14" t="n">
        <v>46126</v>
      </c>
      <c r="E32" s="14" t="n">
        <v>46135</v>
      </c>
      <c r="F32" t="n">
        <v>9</v>
      </c>
      <c r="G32" t="inlineStr">
        <is>
          <t>Customer Change</t>
        </is>
      </c>
      <c r="H32" t="inlineStr">
        <is>
          <t>Customer Delivery Late</t>
        </is>
      </c>
      <c r="I32" t="inlineStr">
        <is>
          <t>Escalate / Follow up</t>
        </is>
      </c>
    </row>
    <row r="33">
      <c r="A33" t="inlineStr">
        <is>
          <t>ORD-00212</t>
        </is>
      </c>
      <c r="B33" t="inlineStr">
        <is>
          <t>Customer 05</t>
        </is>
      </c>
      <c r="C33" t="inlineStr">
        <is>
          <t>Drive</t>
        </is>
      </c>
      <c r="D33" s="14" t="n">
        <v>46128</v>
      </c>
      <c r="E33" s="14" t="n">
        <v>46129</v>
      </c>
      <c r="F33" t="n">
        <v>1</v>
      </c>
      <c r="G33" t="inlineStr">
        <is>
          <t>Customer Change</t>
        </is>
      </c>
      <c r="H33" t="inlineStr">
        <is>
          <t>Customer Delivery Late</t>
        </is>
      </c>
      <c r="I33" t="inlineStr">
        <is>
          <t>Escalate / Follow up</t>
        </is>
      </c>
    </row>
    <row r="34">
      <c r="A34" t="inlineStr">
        <is>
          <t>ORD-00217</t>
        </is>
      </c>
      <c r="B34" t="inlineStr">
        <is>
          <t>Customer 15</t>
        </is>
      </c>
      <c r="C34" t="inlineStr">
        <is>
          <t>Sensor</t>
        </is>
      </c>
      <c r="D34" s="14" t="n">
        <v>46157</v>
      </c>
      <c r="E34" s="14" t="n">
        <v>46159</v>
      </c>
      <c r="F34" t="n">
        <v>2</v>
      </c>
      <c r="G34" t="inlineStr">
        <is>
          <t>Material Shortage</t>
        </is>
      </c>
      <c r="H34" t="inlineStr">
        <is>
          <t>Customer Delivery Late</t>
        </is>
      </c>
      <c r="I34" t="inlineStr">
        <is>
          <t>Escalate / Follow up</t>
        </is>
      </c>
    </row>
    <row r="35">
      <c r="A35" t="inlineStr">
        <is>
          <t>ORD-00226</t>
        </is>
      </c>
      <c r="B35" t="inlineStr">
        <is>
          <t>Customer 01</t>
        </is>
      </c>
      <c r="C35" t="inlineStr">
        <is>
          <t>Drive</t>
        </is>
      </c>
      <c r="D35" s="14" t="n">
        <v>46034</v>
      </c>
      <c r="E35" s="14" t="n">
        <v>46035</v>
      </c>
      <c r="F35" t="n">
        <v>1</v>
      </c>
      <c r="G35" t="inlineStr">
        <is>
          <t>Material Shortage</t>
        </is>
      </c>
      <c r="H35" t="inlineStr">
        <is>
          <t>Customer Delivery Late</t>
        </is>
      </c>
      <c r="I35" t="inlineStr">
        <is>
          <t>Escalate / Follow up</t>
        </is>
      </c>
    </row>
    <row r="36">
      <c r="A36" t="inlineStr">
        <is>
          <t>ORD-00232</t>
        </is>
      </c>
      <c r="B36" t="inlineStr">
        <is>
          <t>Customer 09</t>
        </is>
      </c>
      <c r="C36" t="inlineStr">
        <is>
          <t>PLC</t>
        </is>
      </c>
      <c r="D36" s="14" t="n">
        <v>46186</v>
      </c>
      <c r="E36" s="14" t="n">
        <v>46187</v>
      </c>
      <c r="F36" t="n">
        <v>1</v>
      </c>
      <c r="G36" t="inlineStr">
        <is>
          <t>Material Shortage</t>
        </is>
      </c>
      <c r="H36" t="inlineStr">
        <is>
          <t>Customer Delivery Late</t>
        </is>
      </c>
      <c r="I36" t="inlineStr">
        <is>
          <t>Escalate / Follow up</t>
        </is>
      </c>
    </row>
    <row r="37">
      <c r="A37" t="inlineStr">
        <is>
          <t>ORD-00235</t>
        </is>
      </c>
      <c r="B37" t="inlineStr">
        <is>
          <t>Customer 01</t>
        </is>
      </c>
      <c r="C37" t="inlineStr">
        <is>
          <t>Relay</t>
        </is>
      </c>
      <c r="D37" s="14" t="n">
        <v>46071</v>
      </c>
      <c r="E37" s="14" t="n">
        <v>46073</v>
      </c>
      <c r="F37" t="n">
        <v>2</v>
      </c>
      <c r="G37" t="inlineStr">
        <is>
          <t>Customer Change</t>
        </is>
      </c>
      <c r="H37" t="inlineStr">
        <is>
          <t>Customer Delivery Late</t>
        </is>
      </c>
      <c r="I37" t="inlineStr">
        <is>
          <t>Escalate / Follow up</t>
        </is>
      </c>
    </row>
    <row r="38">
      <c r="A38" t="inlineStr">
        <is>
          <t>ORD-00242</t>
        </is>
      </c>
      <c r="B38" t="inlineStr">
        <is>
          <t>Customer 24</t>
        </is>
      </c>
      <c r="C38" t="inlineStr">
        <is>
          <t>Sensor</t>
        </is>
      </c>
      <c r="D38" s="14" t="n">
        <v>46104</v>
      </c>
      <c r="E38" s="14" t="n">
        <v>46108</v>
      </c>
      <c r="F38" t="n">
        <v>4</v>
      </c>
      <c r="G38" t="inlineStr">
        <is>
          <t>Customer Change</t>
        </is>
      </c>
      <c r="H38" t="inlineStr">
        <is>
          <t>Customer Delivery Late</t>
        </is>
      </c>
      <c r="I38" t="inlineStr">
        <is>
          <t>Escalate / Follow up</t>
        </is>
      </c>
    </row>
    <row r="39">
      <c r="A39" t="inlineStr">
        <is>
          <t>ORD-00243</t>
        </is>
      </c>
      <c r="B39" t="inlineStr">
        <is>
          <t>Customer 29</t>
        </is>
      </c>
      <c r="C39" t="inlineStr">
        <is>
          <t>Power Supply</t>
        </is>
      </c>
      <c r="D39" s="14" t="n">
        <v>46150</v>
      </c>
      <c r="E39" s="14" t="n">
        <v>46153</v>
      </c>
      <c r="F39" t="n">
        <v>3</v>
      </c>
      <c r="G39" t="inlineStr">
        <is>
          <t>Production Delay</t>
        </is>
      </c>
      <c r="H39" t="inlineStr">
        <is>
          <t>Customer Delivery Late</t>
        </is>
      </c>
      <c r="I39" t="inlineStr">
        <is>
          <t>Escalate / Follow up</t>
        </is>
      </c>
    </row>
    <row r="40">
      <c r="A40" t="inlineStr">
        <is>
          <t>ORD-00256</t>
        </is>
      </c>
      <c r="B40" t="inlineStr">
        <is>
          <t>Customer 12</t>
        </is>
      </c>
      <c r="C40" t="inlineStr">
        <is>
          <t>Relay</t>
        </is>
      </c>
      <c r="D40" s="14" t="n">
        <v>46080</v>
      </c>
      <c r="E40" s="14" t="n">
        <v>46081</v>
      </c>
      <c r="F40" t="n">
        <v>1</v>
      </c>
      <c r="G40" t="inlineStr">
        <is>
          <t>Customer Change</t>
        </is>
      </c>
      <c r="H40" t="inlineStr">
        <is>
          <t>Customer Delivery Late</t>
        </is>
      </c>
      <c r="I40" t="inlineStr">
        <is>
          <t>Escalate / Follow up</t>
        </is>
      </c>
    </row>
    <row r="41">
      <c r="A41" t="inlineStr">
        <is>
          <t>ORD-00261</t>
        </is>
      </c>
      <c r="B41" t="inlineStr">
        <is>
          <t>Customer 04</t>
        </is>
      </c>
      <c r="C41" t="inlineStr">
        <is>
          <t>Switchgear</t>
        </is>
      </c>
      <c r="D41" s="14" t="n">
        <v>46186</v>
      </c>
      <c r="E41" s="14" t="n">
        <v>46187</v>
      </c>
      <c r="F41" t="n">
        <v>1</v>
      </c>
      <c r="G41" t="inlineStr">
        <is>
          <t>Capacity Constraint</t>
        </is>
      </c>
      <c r="H41" t="inlineStr">
        <is>
          <t>Customer Delivery Late</t>
        </is>
      </c>
      <c r="I41" t="inlineStr">
        <is>
          <t>Escalate / Follow up</t>
        </is>
      </c>
    </row>
    <row r="42">
      <c r="A42" t="inlineStr">
        <is>
          <t>ORD-00262</t>
        </is>
      </c>
      <c r="B42" t="inlineStr">
        <is>
          <t>Customer 23</t>
        </is>
      </c>
      <c r="C42" t="inlineStr">
        <is>
          <t>Contactor</t>
        </is>
      </c>
      <c r="D42" s="14" t="n">
        <v>46126</v>
      </c>
      <c r="E42" s="14" t="n">
        <v>46128</v>
      </c>
      <c r="F42" t="n">
        <v>2</v>
      </c>
      <c r="G42" t="inlineStr">
        <is>
          <t>Production Delay</t>
        </is>
      </c>
      <c r="H42" t="inlineStr">
        <is>
          <t>Customer Delivery Late</t>
        </is>
      </c>
      <c r="I42" t="inlineStr">
        <is>
          <t>Escalate / Follow up</t>
        </is>
      </c>
    </row>
    <row r="43">
      <c r="A43" t="inlineStr">
        <is>
          <t>ORD-00271</t>
        </is>
      </c>
      <c r="B43" t="inlineStr">
        <is>
          <t>Customer 29</t>
        </is>
      </c>
      <c r="C43" t="inlineStr">
        <is>
          <t>Breaker</t>
        </is>
      </c>
      <c r="D43" s="14" t="n">
        <v>46143</v>
      </c>
      <c r="E43" s="14" t="n">
        <v>46151</v>
      </c>
      <c r="F43" t="n">
        <v>8</v>
      </c>
      <c r="G43" t="inlineStr">
        <is>
          <t>Documentation Issue</t>
        </is>
      </c>
      <c r="H43" t="inlineStr">
        <is>
          <t>Customer Delivery Late</t>
        </is>
      </c>
      <c r="I43" t="inlineStr">
        <is>
          <t>Escalate / Follow up</t>
        </is>
      </c>
    </row>
    <row r="44">
      <c r="A44" t="inlineStr">
        <is>
          <t>ORD-00286</t>
        </is>
      </c>
      <c r="B44" t="inlineStr">
        <is>
          <t>Customer 19</t>
        </is>
      </c>
      <c r="C44" t="inlineStr">
        <is>
          <t>PLC</t>
        </is>
      </c>
      <c r="D44" s="14" t="n">
        <v>46054</v>
      </c>
      <c r="E44" s="14" t="n">
        <v>46059</v>
      </c>
      <c r="F44" t="n">
        <v>5</v>
      </c>
      <c r="G44" t="inlineStr">
        <is>
          <t>Material Shortage</t>
        </is>
      </c>
      <c r="H44" t="inlineStr">
        <is>
          <t>Customer Delivery Late</t>
        </is>
      </c>
      <c r="I44" t="inlineStr">
        <is>
          <t>Escalate / Follow up</t>
        </is>
      </c>
    </row>
    <row r="45">
      <c r="A45" t="inlineStr">
        <is>
          <t>ORD-00291</t>
        </is>
      </c>
      <c r="B45" t="inlineStr">
        <is>
          <t>Customer 25</t>
        </is>
      </c>
      <c r="C45" t="inlineStr">
        <is>
          <t>Relay</t>
        </is>
      </c>
      <c r="D45" s="14" t="n">
        <v>46063</v>
      </c>
      <c r="E45" s="14" t="n">
        <v>46066</v>
      </c>
      <c r="F45" t="n">
        <v>3</v>
      </c>
      <c r="G45" t="inlineStr">
        <is>
          <t>Production Delay</t>
        </is>
      </c>
      <c r="H45" t="inlineStr">
        <is>
          <t>Customer Delivery Late</t>
        </is>
      </c>
      <c r="I45" t="inlineStr">
        <is>
          <t>Escalate / Follow up</t>
        </is>
      </c>
    </row>
    <row r="46">
      <c r="A46" t="inlineStr">
        <is>
          <t>ORD-00298</t>
        </is>
      </c>
      <c r="B46" t="inlineStr">
        <is>
          <t>Customer 23</t>
        </is>
      </c>
      <c r="C46" t="inlineStr">
        <is>
          <t>Relay</t>
        </is>
      </c>
      <c r="D46" s="14" t="n">
        <v>46223</v>
      </c>
      <c r="E46" s="14" t="n">
        <v>46224</v>
      </c>
      <c r="F46" t="n">
        <v>1</v>
      </c>
      <c r="G46" t="inlineStr">
        <is>
          <t>Capacity Constraint</t>
        </is>
      </c>
      <c r="H46" t="inlineStr">
        <is>
          <t>Customer Delivery Late</t>
        </is>
      </c>
      <c r="I46" t="inlineStr">
        <is>
          <t>Escalate / Follow up</t>
        </is>
      </c>
    </row>
    <row r="47">
      <c r="A47" t="inlineStr">
        <is>
          <t>ORD-00318</t>
        </is>
      </c>
      <c r="B47" t="inlineStr">
        <is>
          <t>Customer 26</t>
        </is>
      </c>
      <c r="C47" t="inlineStr">
        <is>
          <t>Breaker</t>
        </is>
      </c>
      <c r="D47" s="14" t="n">
        <v>46135</v>
      </c>
      <c r="E47" s="14" t="n">
        <v>46136</v>
      </c>
      <c r="F47" t="n">
        <v>1</v>
      </c>
      <c r="G47" t="inlineStr">
        <is>
          <t>Documentation Issue</t>
        </is>
      </c>
      <c r="H47" t="inlineStr">
        <is>
          <t>Customer Delivery Late</t>
        </is>
      </c>
      <c r="I47" t="inlineStr">
        <is>
          <t>Escalate / Follow up</t>
        </is>
      </c>
    </row>
    <row r="48">
      <c r="A48" t="inlineStr">
        <is>
          <t>ORD-00330</t>
        </is>
      </c>
      <c r="B48" t="inlineStr">
        <is>
          <t>Customer 14</t>
        </is>
      </c>
      <c r="C48" t="inlineStr">
        <is>
          <t>Power Supply</t>
        </is>
      </c>
      <c r="D48" s="14" t="n">
        <v>46047</v>
      </c>
      <c r="E48" s="14" t="n">
        <v>46048</v>
      </c>
      <c r="F48" t="n">
        <v>1</v>
      </c>
      <c r="G48" t="inlineStr">
        <is>
          <t>Carrier Delay</t>
        </is>
      </c>
      <c r="H48" t="inlineStr">
        <is>
          <t>Customer Delivery Late</t>
        </is>
      </c>
      <c r="I48" t="inlineStr">
        <is>
          <t>Escalate / Follow up</t>
        </is>
      </c>
    </row>
    <row r="49">
      <c r="A49" t="inlineStr">
        <is>
          <t>ORD-00331</t>
        </is>
      </c>
      <c r="B49" t="inlineStr">
        <is>
          <t>Customer 12</t>
        </is>
      </c>
      <c r="C49" t="inlineStr">
        <is>
          <t>Contactor</t>
        </is>
      </c>
      <c r="D49" s="14" t="n">
        <v>46044</v>
      </c>
      <c r="E49" s="14" t="n">
        <v>46045</v>
      </c>
      <c r="F49" t="n">
        <v>1</v>
      </c>
      <c r="G49" t="inlineStr">
        <is>
          <t>Material Shortage</t>
        </is>
      </c>
      <c r="H49" t="inlineStr">
        <is>
          <t>Customer Delivery Late</t>
        </is>
      </c>
      <c r="I49" t="inlineStr">
        <is>
          <t>Escalate / Follow up</t>
        </is>
      </c>
    </row>
    <row r="50">
      <c r="A50" t="inlineStr">
        <is>
          <t>ORD-00337</t>
        </is>
      </c>
      <c r="B50" t="inlineStr">
        <is>
          <t>Customer 12</t>
        </is>
      </c>
      <c r="C50" t="inlineStr">
        <is>
          <t>Drive</t>
        </is>
      </c>
      <c r="D50" s="14" t="n">
        <v>46087</v>
      </c>
      <c r="E50" s="14" t="n">
        <v>46088</v>
      </c>
      <c r="F50" t="n">
        <v>1</v>
      </c>
      <c r="G50" t="inlineStr">
        <is>
          <t>Capacity Constraint</t>
        </is>
      </c>
      <c r="H50" t="inlineStr">
        <is>
          <t>Customer Delivery Late</t>
        </is>
      </c>
      <c r="I50" t="inlineStr">
        <is>
          <t>Escalate / Follow up</t>
        </is>
      </c>
    </row>
    <row r="51">
      <c r="A51" t="inlineStr">
        <is>
          <t>ORD-00351</t>
        </is>
      </c>
      <c r="B51" t="inlineStr">
        <is>
          <t>Customer 03</t>
        </is>
      </c>
      <c r="C51" t="inlineStr">
        <is>
          <t>Switchgear</t>
        </is>
      </c>
      <c r="D51" s="14" t="n">
        <v>46057</v>
      </c>
      <c r="E51" s="14" t="n">
        <v>46058</v>
      </c>
      <c r="F51" t="n">
        <v>1</v>
      </c>
      <c r="G51" t="inlineStr">
        <is>
          <t>Material Shortage</t>
        </is>
      </c>
      <c r="H51" t="inlineStr">
        <is>
          <t>Customer Delivery Late</t>
        </is>
      </c>
      <c r="I51" t="inlineStr">
        <is>
          <t>Escalate / Follow up</t>
        </is>
      </c>
    </row>
    <row r="52">
      <c r="A52" t="inlineStr">
        <is>
          <t>ORD-00355</t>
        </is>
      </c>
      <c r="B52" t="inlineStr">
        <is>
          <t>Customer 22</t>
        </is>
      </c>
      <c r="C52" t="inlineStr">
        <is>
          <t>Power Supply</t>
        </is>
      </c>
      <c r="D52" s="14" t="n">
        <v>46157</v>
      </c>
      <c r="E52" s="14" t="n">
        <v>46158</v>
      </c>
      <c r="F52" t="n">
        <v>1</v>
      </c>
      <c r="G52" t="inlineStr">
        <is>
          <t>Carrier Delay</t>
        </is>
      </c>
      <c r="H52" t="inlineStr">
        <is>
          <t>Customer Delivery Late</t>
        </is>
      </c>
      <c r="I52" t="inlineStr">
        <is>
          <t>Escalate / Follow up</t>
        </is>
      </c>
    </row>
    <row r="53">
      <c r="A53" t="inlineStr">
        <is>
          <t>ORD-00369</t>
        </is>
      </c>
      <c r="B53" t="inlineStr">
        <is>
          <t>Customer 25</t>
        </is>
      </c>
      <c r="C53" t="inlineStr">
        <is>
          <t>Relay</t>
        </is>
      </c>
      <c r="D53" s="14" t="n">
        <v>46057</v>
      </c>
      <c r="E53" s="14" t="n">
        <v>46058</v>
      </c>
      <c r="F53" t="n">
        <v>1</v>
      </c>
      <c r="G53" t="inlineStr">
        <is>
          <t>Customer Change</t>
        </is>
      </c>
      <c r="H53" t="inlineStr">
        <is>
          <t>Customer Delivery Late</t>
        </is>
      </c>
      <c r="I53" t="inlineStr">
        <is>
          <t>Escalate / Follow up</t>
        </is>
      </c>
    </row>
    <row r="54">
      <c r="A54" t="inlineStr">
        <is>
          <t>ORD-00372</t>
        </is>
      </c>
      <c r="B54" t="inlineStr">
        <is>
          <t>Customer 14</t>
        </is>
      </c>
      <c r="C54" t="inlineStr">
        <is>
          <t>Power Supply</t>
        </is>
      </c>
      <c r="D54" s="14" t="n">
        <v>46092</v>
      </c>
      <c r="E54" s="14" t="n">
        <v>46096</v>
      </c>
      <c r="F54" t="n">
        <v>4</v>
      </c>
      <c r="G54" t="inlineStr">
        <is>
          <t>Capacity Constraint</t>
        </is>
      </c>
      <c r="H54" t="inlineStr">
        <is>
          <t>Customer Delivery Late</t>
        </is>
      </c>
      <c r="I54" t="inlineStr">
        <is>
          <t>Escalate / Follow up</t>
        </is>
      </c>
    </row>
    <row r="55">
      <c r="A55" t="inlineStr">
        <is>
          <t>ORD-00375</t>
        </is>
      </c>
      <c r="B55" t="inlineStr">
        <is>
          <t>Customer 18</t>
        </is>
      </c>
      <c r="C55" t="inlineStr">
        <is>
          <t>Relay</t>
        </is>
      </c>
      <c r="D55" s="14" t="n">
        <v>46136</v>
      </c>
      <c r="E55" s="14" t="n">
        <v>46137</v>
      </c>
      <c r="F55" t="n">
        <v>1</v>
      </c>
      <c r="G55" t="inlineStr">
        <is>
          <t>Customer Change</t>
        </is>
      </c>
      <c r="H55" t="inlineStr">
        <is>
          <t>Customer Delivery Late</t>
        </is>
      </c>
      <c r="I55" t="inlineStr">
        <is>
          <t>Escalate / Follow up</t>
        </is>
      </c>
    </row>
    <row r="56">
      <c r="A56" t="inlineStr">
        <is>
          <t>ORD-00382</t>
        </is>
      </c>
      <c r="B56" t="inlineStr">
        <is>
          <t>Customer 10</t>
        </is>
      </c>
      <c r="C56" t="inlineStr">
        <is>
          <t>Drive</t>
        </is>
      </c>
      <c r="D56" s="14" t="n">
        <v>46171</v>
      </c>
      <c r="E56" s="14" t="n">
        <v>46172</v>
      </c>
      <c r="F56" t="n">
        <v>1</v>
      </c>
      <c r="G56" t="inlineStr">
        <is>
          <t>Capacity Constraint</t>
        </is>
      </c>
      <c r="H56" t="inlineStr">
        <is>
          <t>Customer Delivery Late</t>
        </is>
      </c>
      <c r="I56" t="inlineStr">
        <is>
          <t>Escalate / Follow up</t>
        </is>
      </c>
    </row>
    <row r="57">
      <c r="A57" t="inlineStr">
        <is>
          <t>ORD-00398</t>
        </is>
      </c>
      <c r="B57" t="inlineStr">
        <is>
          <t>Customer 17</t>
        </is>
      </c>
      <c r="C57" t="inlineStr">
        <is>
          <t>Switchgear</t>
        </is>
      </c>
      <c r="D57" s="14" t="n">
        <v>46197</v>
      </c>
      <c r="E57" s="14" t="n">
        <v>46198</v>
      </c>
      <c r="F57" t="n">
        <v>1</v>
      </c>
      <c r="G57" t="inlineStr">
        <is>
          <t>Production Delay</t>
        </is>
      </c>
      <c r="H57" t="inlineStr">
        <is>
          <t>Customer Delivery Late</t>
        </is>
      </c>
      <c r="I57" t="inlineStr">
        <is>
          <t>Escalate / Follow up</t>
        </is>
      </c>
    </row>
    <row r="58">
      <c r="A58" t="inlineStr">
        <is>
          <t>ORD-00404</t>
        </is>
      </c>
      <c r="B58" t="inlineStr">
        <is>
          <t>Customer 18</t>
        </is>
      </c>
      <c r="C58" t="inlineStr">
        <is>
          <t>Switchgear</t>
        </is>
      </c>
      <c r="D58" s="14" t="n">
        <v>46140</v>
      </c>
      <c r="E58" s="14" t="n">
        <v>46141</v>
      </c>
      <c r="F58" t="n">
        <v>1</v>
      </c>
      <c r="G58" t="inlineStr">
        <is>
          <t>Production Delay</t>
        </is>
      </c>
      <c r="H58" t="inlineStr">
        <is>
          <t>Customer Delivery Late</t>
        </is>
      </c>
      <c r="I58" t="inlineStr">
        <is>
          <t>Escalate / Follow up</t>
        </is>
      </c>
    </row>
    <row r="59">
      <c r="A59" t="inlineStr">
        <is>
          <t>ORD-00406</t>
        </is>
      </c>
      <c r="B59" t="inlineStr">
        <is>
          <t>Customer 28</t>
        </is>
      </c>
      <c r="C59" t="inlineStr">
        <is>
          <t>Drive</t>
        </is>
      </c>
      <c r="D59" s="14" t="n">
        <v>46029</v>
      </c>
      <c r="E59" s="14" t="n">
        <v>46031</v>
      </c>
      <c r="F59" t="n">
        <v>2</v>
      </c>
      <c r="G59" t="inlineStr">
        <is>
          <t>Production Delay</t>
        </is>
      </c>
      <c r="H59" t="inlineStr">
        <is>
          <t>Customer Delivery Late</t>
        </is>
      </c>
      <c r="I59" t="inlineStr">
        <is>
          <t>Escalate / Follow up</t>
        </is>
      </c>
    </row>
    <row r="60">
      <c r="A60" t="inlineStr">
        <is>
          <t>ORD-00433</t>
        </is>
      </c>
      <c r="B60" t="inlineStr">
        <is>
          <t>Customer 13</t>
        </is>
      </c>
      <c r="C60" t="inlineStr">
        <is>
          <t>Power Supply</t>
        </is>
      </c>
      <c r="D60" s="14" t="n">
        <v>46222</v>
      </c>
      <c r="E60" s="14" t="n">
        <v>46223</v>
      </c>
      <c r="F60" t="n">
        <v>1</v>
      </c>
      <c r="G60" t="inlineStr">
        <is>
          <t>Production Delay</t>
        </is>
      </c>
      <c r="H60" t="inlineStr">
        <is>
          <t>Customer Delivery Late</t>
        </is>
      </c>
      <c r="I60" t="inlineStr">
        <is>
          <t>Escalate / Follow up</t>
        </is>
      </c>
    </row>
    <row r="61">
      <c r="A61" t="inlineStr">
        <is>
          <t>ORD-00441</t>
        </is>
      </c>
      <c r="B61" t="inlineStr">
        <is>
          <t>Customer 16</t>
        </is>
      </c>
      <c r="C61" t="inlineStr">
        <is>
          <t>Relay</t>
        </is>
      </c>
      <c r="D61" s="14" t="n">
        <v>46194</v>
      </c>
      <c r="E61" s="14" t="n">
        <v>46195</v>
      </c>
      <c r="F61" t="n">
        <v>1</v>
      </c>
      <c r="G61" t="inlineStr">
        <is>
          <t>Documentation Issue</t>
        </is>
      </c>
      <c r="H61" t="inlineStr">
        <is>
          <t>Customer Delivery Late</t>
        </is>
      </c>
      <c r="I61" t="inlineStr">
        <is>
          <t>Escalate / Follow up</t>
        </is>
      </c>
    </row>
    <row r="62">
      <c r="A62" t="inlineStr">
        <is>
          <t>ORD-00453</t>
        </is>
      </c>
      <c r="B62" t="inlineStr">
        <is>
          <t>Customer 10</t>
        </is>
      </c>
      <c r="C62" t="inlineStr">
        <is>
          <t>Drive</t>
        </is>
      </c>
      <c r="D62" s="14" t="n">
        <v>46134</v>
      </c>
      <c r="E62" s="14" t="n">
        <v>46135</v>
      </c>
      <c r="F62" t="n">
        <v>1</v>
      </c>
      <c r="G62" t="inlineStr">
        <is>
          <t>Material Shortage</t>
        </is>
      </c>
      <c r="H62" t="inlineStr">
        <is>
          <t>Customer Delivery Late</t>
        </is>
      </c>
      <c r="I62" t="inlineStr">
        <is>
          <t>Escalate / Follow up</t>
        </is>
      </c>
    </row>
    <row r="63">
      <c r="A63" t="inlineStr">
        <is>
          <t>ORD-00455</t>
        </is>
      </c>
      <c r="B63" t="inlineStr">
        <is>
          <t>Customer 15</t>
        </is>
      </c>
      <c r="C63" t="inlineStr">
        <is>
          <t>Contactor</t>
        </is>
      </c>
      <c r="D63" s="14" t="n">
        <v>46095</v>
      </c>
      <c r="E63" s="14" t="n">
        <v>46103</v>
      </c>
      <c r="F63" t="n">
        <v>8</v>
      </c>
      <c r="G63" t="inlineStr">
        <is>
          <t>Customer Change</t>
        </is>
      </c>
      <c r="H63" t="inlineStr">
        <is>
          <t>Customer Delivery Late</t>
        </is>
      </c>
      <c r="I63" t="inlineStr">
        <is>
          <t>Escalate / Follow up</t>
        </is>
      </c>
    </row>
    <row r="64">
      <c r="A64" t="inlineStr">
        <is>
          <t>ORD-00472</t>
        </is>
      </c>
      <c r="B64" t="inlineStr">
        <is>
          <t>Customer 03</t>
        </is>
      </c>
      <c r="C64" t="inlineStr">
        <is>
          <t>Relay</t>
        </is>
      </c>
      <c r="D64" s="14" t="n">
        <v>46167</v>
      </c>
      <c r="E64" s="14" t="n">
        <v>46168</v>
      </c>
      <c r="F64" t="n">
        <v>1</v>
      </c>
      <c r="G64" t="inlineStr">
        <is>
          <t>Documentation Issue</t>
        </is>
      </c>
      <c r="H64" t="inlineStr">
        <is>
          <t>Customer Delivery Late</t>
        </is>
      </c>
      <c r="I64" t="inlineStr">
        <is>
          <t>Escalate / Follow up</t>
        </is>
      </c>
    </row>
    <row r="65">
      <c r="A65" t="inlineStr">
        <is>
          <t>ORD-00490</t>
        </is>
      </c>
      <c r="B65" t="inlineStr">
        <is>
          <t>Customer 08</t>
        </is>
      </c>
      <c r="C65" t="inlineStr">
        <is>
          <t>Contactor</t>
        </is>
      </c>
      <c r="D65" s="14" t="n">
        <v>46115</v>
      </c>
      <c r="E65" s="14" t="n">
        <v>46116</v>
      </c>
      <c r="F65" t="n">
        <v>1</v>
      </c>
      <c r="G65" t="inlineStr">
        <is>
          <t>Capacity Constraint</t>
        </is>
      </c>
      <c r="H65" t="inlineStr">
        <is>
          <t>Customer Delivery Late</t>
        </is>
      </c>
      <c r="I65" t="inlineStr">
        <is>
          <t>Escalate / Follow up</t>
        </is>
      </c>
    </row>
    <row r="66">
      <c r="A66" t="inlineStr">
        <is>
          <t>ORD-00576</t>
        </is>
      </c>
      <c r="B66" t="inlineStr">
        <is>
          <t>Customer 23</t>
        </is>
      </c>
      <c r="C66" t="inlineStr">
        <is>
          <t>Power Supply</t>
        </is>
      </c>
      <c r="D66" s="14" t="n">
        <v>46200</v>
      </c>
      <c r="E66" s="14" t="n">
        <v>46202</v>
      </c>
      <c r="F66" t="n">
        <v>2</v>
      </c>
      <c r="G66" t="inlineStr">
        <is>
          <t>Carrier Delay</t>
        </is>
      </c>
      <c r="H66" t="inlineStr">
        <is>
          <t>Customer Delivery Late</t>
        </is>
      </c>
      <c r="I66" t="inlineStr">
        <is>
          <t>Escalate / Follow up</t>
        </is>
      </c>
    </row>
    <row r="67">
      <c r="A67" t="inlineStr">
        <is>
          <t>ORD-00602</t>
        </is>
      </c>
      <c r="B67" t="inlineStr">
        <is>
          <t>Customer 22</t>
        </is>
      </c>
      <c r="C67" t="inlineStr">
        <is>
          <t>Switchgear</t>
        </is>
      </c>
      <c r="D67" s="14" t="n">
        <v>46147</v>
      </c>
      <c r="E67" s="14" t="n">
        <v>46148</v>
      </c>
      <c r="F67" t="n">
        <v>1</v>
      </c>
      <c r="G67" t="inlineStr">
        <is>
          <t>Customer Change</t>
        </is>
      </c>
      <c r="H67" t="inlineStr">
        <is>
          <t>Customer Delivery Late</t>
        </is>
      </c>
      <c r="I67" t="inlineStr">
        <is>
          <t>Escalate / Follow up</t>
        </is>
      </c>
    </row>
    <row r="68">
      <c r="A68" t="inlineStr">
        <is>
          <t>ORD-00614</t>
        </is>
      </c>
      <c r="B68" t="inlineStr">
        <is>
          <t>Customer 07</t>
        </is>
      </c>
      <c r="C68" t="inlineStr">
        <is>
          <t>Contactor</t>
        </is>
      </c>
      <c r="D68" s="14" t="n">
        <v>46175</v>
      </c>
      <c r="E68" s="14" t="n">
        <v>46176</v>
      </c>
      <c r="F68" t="n">
        <v>1</v>
      </c>
      <c r="G68" t="inlineStr">
        <is>
          <t>Carrier Delay</t>
        </is>
      </c>
      <c r="H68" t="inlineStr">
        <is>
          <t>Customer Delivery Late</t>
        </is>
      </c>
      <c r="I68" t="inlineStr">
        <is>
          <t>Escalate / Follow up</t>
        </is>
      </c>
    </row>
    <row r="69">
      <c r="A69" t="inlineStr">
        <is>
          <t>ORD-00634</t>
        </is>
      </c>
      <c r="B69" t="inlineStr">
        <is>
          <t>Customer 20</t>
        </is>
      </c>
      <c r="C69" t="inlineStr">
        <is>
          <t>Sensor</t>
        </is>
      </c>
      <c r="D69" s="14" t="n">
        <v>46038</v>
      </c>
      <c r="E69" s="14" t="n">
        <v>46042</v>
      </c>
      <c r="F69" t="n">
        <v>4</v>
      </c>
      <c r="G69" t="inlineStr">
        <is>
          <t>Carrier Delay</t>
        </is>
      </c>
      <c r="H69" t="inlineStr">
        <is>
          <t>Customer Delivery Late</t>
        </is>
      </c>
      <c r="I69" t="inlineStr">
        <is>
          <t>Escalate / Follow up</t>
        </is>
      </c>
    </row>
    <row r="70">
      <c r="A70" t="inlineStr">
        <is>
          <t>ORD-00644</t>
        </is>
      </c>
      <c r="B70" t="inlineStr">
        <is>
          <t>Customer 03</t>
        </is>
      </c>
      <c r="C70" t="inlineStr">
        <is>
          <t>Breaker</t>
        </is>
      </c>
      <c r="D70" s="14" t="n">
        <v>46086</v>
      </c>
      <c r="E70" s="14" t="n">
        <v>46088</v>
      </c>
      <c r="F70" t="n">
        <v>2</v>
      </c>
      <c r="G70" t="inlineStr">
        <is>
          <t>Carrier Delay</t>
        </is>
      </c>
      <c r="H70" t="inlineStr">
        <is>
          <t>Customer Delivery Late</t>
        </is>
      </c>
      <c r="I70" t="inlineStr">
        <is>
          <t>Escalate / Follow up</t>
        </is>
      </c>
    </row>
    <row r="71">
      <c r="A71" t="inlineStr">
        <is>
          <t>ORD-00661</t>
        </is>
      </c>
      <c r="B71" t="inlineStr">
        <is>
          <t>Customer 15</t>
        </is>
      </c>
      <c r="C71" t="inlineStr">
        <is>
          <t>Relay</t>
        </is>
      </c>
      <c r="D71" s="14" t="n">
        <v>46063</v>
      </c>
      <c r="E71" s="14" t="n">
        <v>46064</v>
      </c>
      <c r="F71" t="n">
        <v>1</v>
      </c>
      <c r="G71" t="inlineStr">
        <is>
          <t>Capacity Constraint</t>
        </is>
      </c>
      <c r="H71" t="inlineStr">
        <is>
          <t>Customer Delivery Late</t>
        </is>
      </c>
      <c r="I71" t="inlineStr">
        <is>
          <t>Escalate / Follow up</t>
        </is>
      </c>
    </row>
    <row r="72">
      <c r="A72" t="inlineStr">
        <is>
          <t>ORD-00670</t>
        </is>
      </c>
      <c r="B72" t="inlineStr">
        <is>
          <t>Customer 01</t>
        </is>
      </c>
      <c r="C72" t="inlineStr">
        <is>
          <t>Breaker</t>
        </is>
      </c>
      <c r="D72" s="14" t="n">
        <v>46128</v>
      </c>
      <c r="E72" s="14" t="n">
        <v>46129</v>
      </c>
      <c r="F72" t="n">
        <v>1</v>
      </c>
      <c r="G72" t="inlineStr">
        <is>
          <t>Capacity Constraint</t>
        </is>
      </c>
      <c r="H72" t="inlineStr">
        <is>
          <t>Customer Delivery Late</t>
        </is>
      </c>
      <c r="I72" t="inlineStr">
        <is>
          <t>Escalate / Follow up</t>
        </is>
      </c>
    </row>
    <row r="73">
      <c r="A73" t="inlineStr">
        <is>
          <t>ORD-00676</t>
        </is>
      </c>
      <c r="B73" t="inlineStr">
        <is>
          <t>Customer 15</t>
        </is>
      </c>
      <c r="C73" t="inlineStr">
        <is>
          <t>Breaker</t>
        </is>
      </c>
      <c r="D73" s="14" t="n">
        <v>46056</v>
      </c>
      <c r="E73" s="14" t="n">
        <v>46057</v>
      </c>
      <c r="F73" t="n">
        <v>1</v>
      </c>
      <c r="G73" t="inlineStr">
        <is>
          <t>Documentation Issue</t>
        </is>
      </c>
      <c r="H73" t="inlineStr">
        <is>
          <t>Customer Delivery Late</t>
        </is>
      </c>
      <c r="I73" t="inlineStr">
        <is>
          <t>Escalate / Follow up</t>
        </is>
      </c>
    </row>
    <row r="74">
      <c r="A74" t="inlineStr">
        <is>
          <t>ORD-00679</t>
        </is>
      </c>
      <c r="B74" t="inlineStr">
        <is>
          <t>Customer 25</t>
        </is>
      </c>
      <c r="C74" t="inlineStr">
        <is>
          <t>Drive</t>
        </is>
      </c>
      <c r="D74" s="14" t="n">
        <v>46098</v>
      </c>
      <c r="E74" s="14" t="n">
        <v>46099</v>
      </c>
      <c r="F74" t="n">
        <v>1</v>
      </c>
      <c r="G74" t="inlineStr">
        <is>
          <t>Capacity Constraint</t>
        </is>
      </c>
      <c r="H74" t="inlineStr">
        <is>
          <t>Customer Delivery Late</t>
        </is>
      </c>
      <c r="I74" t="inlineStr">
        <is>
          <t>Escalate / Follow up</t>
        </is>
      </c>
    </row>
    <row r="75">
      <c r="A75" t="inlineStr">
        <is>
          <t>ORD-00684</t>
        </is>
      </c>
      <c r="B75" t="inlineStr">
        <is>
          <t>Customer 30</t>
        </is>
      </c>
      <c r="C75" t="inlineStr">
        <is>
          <t>PLC</t>
        </is>
      </c>
      <c r="D75" s="14" t="n">
        <v>46195</v>
      </c>
      <c r="E75" s="14" t="n">
        <v>46199</v>
      </c>
      <c r="F75" t="n">
        <v>4</v>
      </c>
      <c r="G75" t="inlineStr">
        <is>
          <t>Production Delay</t>
        </is>
      </c>
      <c r="H75" t="inlineStr">
        <is>
          <t>Customer Delivery Late</t>
        </is>
      </c>
      <c r="I75" t="inlineStr">
        <is>
          <t>Escalate / Follow up</t>
        </is>
      </c>
    </row>
    <row r="76">
      <c r="A76" t="inlineStr">
        <is>
          <t>ORD-00685</t>
        </is>
      </c>
      <c r="B76" t="inlineStr">
        <is>
          <t>Customer 26</t>
        </is>
      </c>
      <c r="C76" t="inlineStr">
        <is>
          <t>Relay</t>
        </is>
      </c>
      <c r="D76" s="14" t="n">
        <v>46045</v>
      </c>
      <c r="E76" s="14" t="n">
        <v>46051</v>
      </c>
      <c r="F76" t="n">
        <v>6</v>
      </c>
      <c r="G76" t="inlineStr">
        <is>
          <t>Material Shortage</t>
        </is>
      </c>
      <c r="H76" t="inlineStr">
        <is>
          <t>Customer Delivery Late</t>
        </is>
      </c>
      <c r="I76" t="inlineStr">
        <is>
          <t>Escalate / Follow up</t>
        </is>
      </c>
    </row>
    <row r="77">
      <c r="A77" t="inlineStr">
        <is>
          <t>ORD-00686</t>
        </is>
      </c>
      <c r="B77" t="inlineStr">
        <is>
          <t>Customer 13</t>
        </is>
      </c>
      <c r="C77" t="inlineStr">
        <is>
          <t>Power Supply</t>
        </is>
      </c>
      <c r="D77" s="14" t="n">
        <v>46162</v>
      </c>
      <c r="E77" s="14" t="n">
        <v>46163</v>
      </c>
      <c r="F77" t="n">
        <v>1</v>
      </c>
      <c r="G77" t="inlineStr">
        <is>
          <t>Capacity Constraint</t>
        </is>
      </c>
      <c r="H77" t="inlineStr">
        <is>
          <t>Customer Delivery Late</t>
        </is>
      </c>
      <c r="I77" t="inlineStr">
        <is>
          <t>Escalate / Follow up</t>
        </is>
      </c>
    </row>
    <row r="78">
      <c r="A78" t="inlineStr">
        <is>
          <t>ORD-00703</t>
        </is>
      </c>
      <c r="B78" t="inlineStr">
        <is>
          <t>Customer 25</t>
        </is>
      </c>
      <c r="C78" t="inlineStr">
        <is>
          <t>Contactor</t>
        </is>
      </c>
      <c r="D78" s="14" t="n">
        <v>46145</v>
      </c>
      <c r="E78" s="14" t="n">
        <v>46146</v>
      </c>
      <c r="F78" t="n">
        <v>1</v>
      </c>
      <c r="G78" t="inlineStr">
        <is>
          <t>Documentation Issue</t>
        </is>
      </c>
      <c r="H78" t="inlineStr">
        <is>
          <t>Customer Delivery Late</t>
        </is>
      </c>
      <c r="I78" t="inlineStr">
        <is>
          <t>Escalate / Follow up</t>
        </is>
      </c>
    </row>
    <row r="79">
      <c r="A79" t="inlineStr">
        <is>
          <t>ORD-00711</t>
        </is>
      </c>
      <c r="B79" t="inlineStr">
        <is>
          <t>Customer 26</t>
        </is>
      </c>
      <c r="C79" t="inlineStr">
        <is>
          <t>Drive</t>
        </is>
      </c>
      <c r="D79" s="14" t="n">
        <v>46201</v>
      </c>
      <c r="E79" s="14" t="n">
        <v>46204</v>
      </c>
      <c r="F79" t="n">
        <v>3</v>
      </c>
      <c r="G79" t="inlineStr">
        <is>
          <t>Material Shortage</t>
        </is>
      </c>
      <c r="H79" t="inlineStr">
        <is>
          <t>Customer Delivery Late</t>
        </is>
      </c>
      <c r="I79" t="inlineStr">
        <is>
          <t>Escalate / Follow up</t>
        </is>
      </c>
    </row>
    <row r="80">
      <c r="A80" t="inlineStr">
        <is>
          <t>ORD-00716</t>
        </is>
      </c>
      <c r="B80" t="inlineStr">
        <is>
          <t>Customer 26</t>
        </is>
      </c>
      <c r="C80" t="inlineStr">
        <is>
          <t>PLC</t>
        </is>
      </c>
      <c r="D80" s="14" t="n">
        <v>46183</v>
      </c>
      <c r="E80" s="14" t="n">
        <v>46184</v>
      </c>
      <c r="F80" t="n">
        <v>1</v>
      </c>
      <c r="G80" t="inlineStr">
        <is>
          <t>Documentation Issue</t>
        </is>
      </c>
      <c r="H80" t="inlineStr">
        <is>
          <t>Customer Delivery Late</t>
        </is>
      </c>
      <c r="I80" t="inlineStr">
        <is>
          <t>Escalate / Follow up</t>
        </is>
      </c>
    </row>
    <row r="81">
      <c r="A81" t="inlineStr">
        <is>
          <t>ORD-00725</t>
        </is>
      </c>
      <c r="B81" t="inlineStr">
        <is>
          <t>Customer 11</t>
        </is>
      </c>
      <c r="C81" t="inlineStr">
        <is>
          <t>Power Supply</t>
        </is>
      </c>
      <c r="D81" s="14" t="n">
        <v>46045</v>
      </c>
      <c r="E81" s="14" t="n">
        <v>46047</v>
      </c>
      <c r="F81" t="n">
        <v>2</v>
      </c>
      <c r="G81" t="inlineStr">
        <is>
          <t>Customer Change</t>
        </is>
      </c>
      <c r="H81" t="inlineStr">
        <is>
          <t>Customer Delivery Late</t>
        </is>
      </c>
      <c r="I81" t="inlineStr">
        <is>
          <t>Escalate / Follow up</t>
        </is>
      </c>
    </row>
    <row r="82">
      <c r="A82" t="inlineStr">
        <is>
          <t>ORD-00735</t>
        </is>
      </c>
      <c r="B82" t="inlineStr">
        <is>
          <t>Customer 20</t>
        </is>
      </c>
      <c r="C82" t="inlineStr">
        <is>
          <t>Relay</t>
        </is>
      </c>
      <c r="D82" s="14" t="n">
        <v>46066</v>
      </c>
      <c r="E82" s="14" t="n">
        <v>46071</v>
      </c>
      <c r="F82" t="n">
        <v>5</v>
      </c>
      <c r="G82" t="inlineStr">
        <is>
          <t>Capacity Constraint</t>
        </is>
      </c>
      <c r="H82" t="inlineStr">
        <is>
          <t>Customer Delivery Late</t>
        </is>
      </c>
      <c r="I82" t="inlineStr">
        <is>
          <t>Escalate / Follow up</t>
        </is>
      </c>
    </row>
    <row r="83">
      <c r="A83" t="inlineStr">
        <is>
          <t>ORD-00743</t>
        </is>
      </c>
      <c r="B83" t="inlineStr">
        <is>
          <t>Customer 01</t>
        </is>
      </c>
      <c r="C83" t="inlineStr">
        <is>
          <t>Power Supply</t>
        </is>
      </c>
      <c r="D83" s="14" t="n">
        <v>46077</v>
      </c>
      <c r="E83" s="14" t="n">
        <v>46079</v>
      </c>
      <c r="F83" t="n">
        <v>2</v>
      </c>
      <c r="G83" t="inlineStr">
        <is>
          <t>Customer Change</t>
        </is>
      </c>
      <c r="H83" t="inlineStr">
        <is>
          <t>Customer Delivery Late</t>
        </is>
      </c>
      <c r="I83" t="inlineStr">
        <is>
          <t>Escalate / Follow up</t>
        </is>
      </c>
    </row>
    <row r="84">
      <c r="A84" t="inlineStr">
        <is>
          <t>ORD-00754</t>
        </is>
      </c>
      <c r="B84" t="inlineStr">
        <is>
          <t>Customer 28</t>
        </is>
      </c>
      <c r="C84" t="inlineStr">
        <is>
          <t>Relay</t>
        </is>
      </c>
      <c r="D84" s="14" t="n">
        <v>46214</v>
      </c>
      <c r="E84" s="14" t="n">
        <v>46215</v>
      </c>
      <c r="F84" t="n">
        <v>1</v>
      </c>
      <c r="G84" t="inlineStr">
        <is>
          <t>Production Delay</t>
        </is>
      </c>
      <c r="H84" t="inlineStr">
        <is>
          <t>Customer Delivery Late</t>
        </is>
      </c>
      <c r="I84" t="inlineStr">
        <is>
          <t>Escalate / Follow up</t>
        </is>
      </c>
    </row>
    <row r="85">
      <c r="A85" t="inlineStr">
        <is>
          <t>ORD-00757</t>
        </is>
      </c>
      <c r="B85" t="inlineStr">
        <is>
          <t>Customer 10</t>
        </is>
      </c>
      <c r="C85" t="inlineStr">
        <is>
          <t>Switchgear</t>
        </is>
      </c>
      <c r="D85" s="14" t="n">
        <v>46110</v>
      </c>
      <c r="E85" s="14" t="n">
        <v>46113</v>
      </c>
      <c r="F85" t="n">
        <v>3</v>
      </c>
      <c r="G85" t="inlineStr">
        <is>
          <t>Production Delay</t>
        </is>
      </c>
      <c r="H85" t="inlineStr">
        <is>
          <t>Customer Delivery Late</t>
        </is>
      </c>
      <c r="I85" t="inlineStr">
        <is>
          <t>Escalate / Follow up</t>
        </is>
      </c>
    </row>
    <row r="86">
      <c r="A86" t="inlineStr">
        <is>
          <t>ORD-00763</t>
        </is>
      </c>
      <c r="B86" t="inlineStr">
        <is>
          <t>Customer 13</t>
        </is>
      </c>
      <c r="C86" t="inlineStr">
        <is>
          <t>Sensor</t>
        </is>
      </c>
      <c r="D86" s="14" t="n">
        <v>46220</v>
      </c>
      <c r="E86" s="14" t="n">
        <v>46224</v>
      </c>
      <c r="F86" t="n">
        <v>4</v>
      </c>
      <c r="G86" t="inlineStr">
        <is>
          <t>Documentation Issue</t>
        </is>
      </c>
      <c r="H86" t="inlineStr">
        <is>
          <t>Customer Delivery Late</t>
        </is>
      </c>
      <c r="I86" t="inlineStr">
        <is>
          <t>Escalate / Follow up</t>
        </is>
      </c>
    </row>
    <row r="87">
      <c r="A87" t="inlineStr">
        <is>
          <t>ORD-00764</t>
        </is>
      </c>
      <c r="B87" t="inlineStr">
        <is>
          <t>Customer 09</t>
        </is>
      </c>
      <c r="C87" t="inlineStr">
        <is>
          <t>Sensor</t>
        </is>
      </c>
      <c r="D87" s="14" t="n">
        <v>46180</v>
      </c>
      <c r="E87" s="14" t="n">
        <v>46181</v>
      </c>
      <c r="F87" t="n">
        <v>1</v>
      </c>
      <c r="G87" t="inlineStr">
        <is>
          <t>Capacity Constraint</t>
        </is>
      </c>
      <c r="H87" t="inlineStr">
        <is>
          <t>Customer Delivery Late</t>
        </is>
      </c>
      <c r="I87" t="inlineStr">
        <is>
          <t>Escalate / Follow up</t>
        </is>
      </c>
    </row>
    <row r="88">
      <c r="A88" t="inlineStr">
        <is>
          <t>ORD-00766</t>
        </is>
      </c>
      <c r="B88" t="inlineStr">
        <is>
          <t>Customer 03</t>
        </is>
      </c>
      <c r="C88" t="inlineStr">
        <is>
          <t>Sensor</t>
        </is>
      </c>
      <c r="D88" s="14" t="n">
        <v>46097</v>
      </c>
      <c r="E88" s="14" t="n">
        <v>46098</v>
      </c>
      <c r="F88" t="n">
        <v>1</v>
      </c>
      <c r="G88" t="inlineStr">
        <is>
          <t>Carrier Delay</t>
        </is>
      </c>
      <c r="H88" t="inlineStr">
        <is>
          <t>Customer Delivery Late</t>
        </is>
      </c>
      <c r="I88" t="inlineStr">
        <is>
          <t>Escalate / Follow up</t>
        </is>
      </c>
    </row>
    <row r="89">
      <c r="A89" t="inlineStr">
        <is>
          <t>ORD-00790</t>
        </is>
      </c>
      <c r="B89" t="inlineStr">
        <is>
          <t>Customer 01</t>
        </is>
      </c>
      <c r="C89" t="inlineStr">
        <is>
          <t>Drive</t>
        </is>
      </c>
      <c r="D89" s="14" t="n">
        <v>46173</v>
      </c>
      <c r="E89" s="14" t="n">
        <v>46180</v>
      </c>
      <c r="F89" t="n">
        <v>7</v>
      </c>
      <c r="G89" t="inlineStr">
        <is>
          <t>Carrier Delay</t>
        </is>
      </c>
      <c r="H89" t="inlineStr">
        <is>
          <t>Customer Delivery Late</t>
        </is>
      </c>
      <c r="I89" t="inlineStr">
        <is>
          <t>Escalate / Follow up</t>
        </is>
      </c>
    </row>
    <row r="90">
      <c r="A90" t="inlineStr">
        <is>
          <t>ORD-00791</t>
        </is>
      </c>
      <c r="B90" t="inlineStr">
        <is>
          <t>Customer 04</t>
        </is>
      </c>
      <c r="C90" t="inlineStr">
        <is>
          <t>Relay</t>
        </is>
      </c>
      <c r="D90" s="14" t="n">
        <v>46120</v>
      </c>
      <c r="E90" s="14" t="n">
        <v>46122</v>
      </c>
      <c r="F90" t="n">
        <v>2</v>
      </c>
      <c r="G90" t="inlineStr">
        <is>
          <t>Capacity Constraint</t>
        </is>
      </c>
      <c r="H90" t="inlineStr">
        <is>
          <t>Customer Delivery Late</t>
        </is>
      </c>
      <c r="I90" t="inlineStr">
        <is>
          <t>Escalate / Follow up</t>
        </is>
      </c>
    </row>
    <row r="91">
      <c r="A91" t="inlineStr">
        <is>
          <t>ORD-00809</t>
        </is>
      </c>
      <c r="B91" t="inlineStr">
        <is>
          <t>Customer 28</t>
        </is>
      </c>
      <c r="C91" t="inlineStr">
        <is>
          <t>Power Supply</t>
        </is>
      </c>
      <c r="D91" s="14" t="n">
        <v>46158</v>
      </c>
      <c r="E91" s="14" t="n">
        <v>46159</v>
      </c>
      <c r="F91" t="n">
        <v>1</v>
      </c>
      <c r="G91" t="inlineStr">
        <is>
          <t>Carrier Delay</t>
        </is>
      </c>
      <c r="H91" t="inlineStr">
        <is>
          <t>Customer Delivery Late</t>
        </is>
      </c>
      <c r="I91" t="inlineStr">
        <is>
          <t>Escalate / Follow up</t>
        </is>
      </c>
    </row>
    <row r="92">
      <c r="A92" t="inlineStr">
        <is>
          <t>ORD-00818</t>
        </is>
      </c>
      <c r="B92" t="inlineStr">
        <is>
          <t>Customer 15</t>
        </is>
      </c>
      <c r="C92" t="inlineStr">
        <is>
          <t>Contactor</t>
        </is>
      </c>
      <c r="D92" s="14" t="n">
        <v>46049</v>
      </c>
      <c r="E92" s="14" t="n">
        <v>46050</v>
      </c>
      <c r="F92" t="n">
        <v>1</v>
      </c>
      <c r="G92" t="inlineStr">
        <is>
          <t>Material Shortage</t>
        </is>
      </c>
      <c r="H92" t="inlineStr">
        <is>
          <t>Customer Delivery Late</t>
        </is>
      </c>
      <c r="I92" t="inlineStr">
        <is>
          <t>Escalate / Follow up</t>
        </is>
      </c>
    </row>
    <row r="93">
      <c r="A93" t="inlineStr">
        <is>
          <t>ORD-00828</t>
        </is>
      </c>
      <c r="B93" t="inlineStr">
        <is>
          <t>Customer 09</t>
        </is>
      </c>
      <c r="C93" t="inlineStr">
        <is>
          <t>Contactor</t>
        </is>
      </c>
      <c r="D93" s="14" t="n">
        <v>46104</v>
      </c>
      <c r="E93" s="14" t="n">
        <v>46105</v>
      </c>
      <c r="F93" t="n">
        <v>1</v>
      </c>
      <c r="G93" t="inlineStr">
        <is>
          <t>Capacity Constraint</t>
        </is>
      </c>
      <c r="H93" t="inlineStr">
        <is>
          <t>Customer Delivery Late</t>
        </is>
      </c>
      <c r="I93" t="inlineStr">
        <is>
          <t>Escalate / Follow up</t>
        </is>
      </c>
    </row>
    <row r="94">
      <c r="A94" t="inlineStr">
        <is>
          <t>ORD-00843</t>
        </is>
      </c>
      <c r="B94" t="inlineStr">
        <is>
          <t>Customer 02</t>
        </is>
      </c>
      <c r="C94" t="inlineStr">
        <is>
          <t>PLC</t>
        </is>
      </c>
      <c r="D94" s="14" t="n">
        <v>46088</v>
      </c>
      <c r="E94" s="14" t="n">
        <v>46089</v>
      </c>
      <c r="F94" t="n">
        <v>1</v>
      </c>
      <c r="G94" t="inlineStr">
        <is>
          <t>Customer Change</t>
        </is>
      </c>
      <c r="H94" t="inlineStr">
        <is>
          <t>Customer Delivery Late</t>
        </is>
      </c>
      <c r="I94" t="inlineStr">
        <is>
          <t>Escalate / Follow up</t>
        </is>
      </c>
    </row>
    <row r="95">
      <c r="A95" t="inlineStr">
        <is>
          <t>ORD-00849</t>
        </is>
      </c>
      <c r="B95" t="inlineStr">
        <is>
          <t>Customer 09</t>
        </is>
      </c>
      <c r="C95" t="inlineStr">
        <is>
          <t>Drive</t>
        </is>
      </c>
      <c r="D95" s="14" t="n">
        <v>46062</v>
      </c>
      <c r="E95" s="14" t="n">
        <v>46063</v>
      </c>
      <c r="F95" t="n">
        <v>1</v>
      </c>
      <c r="G95" t="inlineStr">
        <is>
          <t>Documentation Issue</t>
        </is>
      </c>
      <c r="H95" t="inlineStr">
        <is>
          <t>Customer Delivery Late</t>
        </is>
      </c>
      <c r="I95" t="inlineStr">
        <is>
          <t>Escalate / Follow up</t>
        </is>
      </c>
    </row>
    <row r="96">
      <c r="A96" t="inlineStr">
        <is>
          <t>ORD-00852</t>
        </is>
      </c>
      <c r="B96" t="inlineStr">
        <is>
          <t>Customer 19</t>
        </is>
      </c>
      <c r="C96" t="inlineStr">
        <is>
          <t>Power Supply</t>
        </is>
      </c>
      <c r="D96" s="14" t="n">
        <v>46218</v>
      </c>
      <c r="E96" s="14" t="n">
        <v>46221</v>
      </c>
      <c r="F96" t="n">
        <v>3</v>
      </c>
      <c r="G96" t="inlineStr">
        <is>
          <t>Documentation Issue</t>
        </is>
      </c>
      <c r="H96" t="inlineStr">
        <is>
          <t>Customer Delivery Late</t>
        </is>
      </c>
      <c r="I96" t="inlineStr">
        <is>
          <t>Escalate / Follow up</t>
        </is>
      </c>
    </row>
    <row r="97">
      <c r="A97" t="inlineStr">
        <is>
          <t>ORD-00854</t>
        </is>
      </c>
      <c r="B97" t="inlineStr">
        <is>
          <t>Customer 10</t>
        </is>
      </c>
      <c r="C97" t="inlineStr">
        <is>
          <t>Switchgear</t>
        </is>
      </c>
      <c r="D97" s="14" t="n">
        <v>46207</v>
      </c>
      <c r="E97" s="14" t="n">
        <v>46208</v>
      </c>
      <c r="F97" t="n">
        <v>1</v>
      </c>
      <c r="G97" t="inlineStr">
        <is>
          <t>Production Delay</t>
        </is>
      </c>
      <c r="H97" t="inlineStr">
        <is>
          <t>Customer Delivery Late</t>
        </is>
      </c>
      <c r="I97" t="inlineStr">
        <is>
          <t>Escalate / Follow up</t>
        </is>
      </c>
    </row>
    <row r="98">
      <c r="A98" t="inlineStr">
        <is>
          <t>ORD-00866</t>
        </is>
      </c>
      <c r="B98" t="inlineStr">
        <is>
          <t>Customer 21</t>
        </is>
      </c>
      <c r="C98" t="inlineStr">
        <is>
          <t>Breaker</t>
        </is>
      </c>
      <c r="D98" s="14" t="n">
        <v>46105</v>
      </c>
      <c r="E98" s="14" t="n">
        <v>46106</v>
      </c>
      <c r="F98" t="n">
        <v>1</v>
      </c>
      <c r="G98" t="inlineStr">
        <is>
          <t>Production Delay</t>
        </is>
      </c>
      <c r="H98" t="inlineStr">
        <is>
          <t>Customer Delivery Late</t>
        </is>
      </c>
      <c r="I98" t="inlineStr">
        <is>
          <t>Escalate / Follow up</t>
        </is>
      </c>
    </row>
    <row r="99">
      <c r="A99" t="inlineStr">
        <is>
          <t>ORD-00870</t>
        </is>
      </c>
      <c r="B99" t="inlineStr">
        <is>
          <t>Customer 05</t>
        </is>
      </c>
      <c r="C99" t="inlineStr">
        <is>
          <t>Drive</t>
        </is>
      </c>
      <c r="D99" s="14" t="n">
        <v>46162</v>
      </c>
      <c r="E99" s="14" t="n">
        <v>46163</v>
      </c>
      <c r="F99" t="n">
        <v>1</v>
      </c>
      <c r="G99" t="inlineStr">
        <is>
          <t>Customer Change</t>
        </is>
      </c>
      <c r="H99" t="inlineStr">
        <is>
          <t>Customer Delivery Late</t>
        </is>
      </c>
      <c r="I99" t="inlineStr">
        <is>
          <t>Escalate / Follow up</t>
        </is>
      </c>
    </row>
    <row r="100">
      <c r="A100" t="inlineStr">
        <is>
          <t>ORD-00875</t>
        </is>
      </c>
      <c r="B100" t="inlineStr">
        <is>
          <t>Customer 10</t>
        </is>
      </c>
      <c r="C100" t="inlineStr">
        <is>
          <t>PLC</t>
        </is>
      </c>
      <c r="D100" s="14" t="n">
        <v>46155</v>
      </c>
      <c r="E100" s="14" t="n">
        <v>46159</v>
      </c>
      <c r="F100" t="n">
        <v>4</v>
      </c>
      <c r="G100" t="inlineStr">
        <is>
          <t>Customer Change</t>
        </is>
      </c>
      <c r="H100" t="inlineStr">
        <is>
          <t>Customer Delivery Late</t>
        </is>
      </c>
      <c r="I100" t="inlineStr">
        <is>
          <t>Escalate / Follow up</t>
        </is>
      </c>
    </row>
    <row r="101">
      <c r="A101" t="inlineStr">
        <is>
          <t>ORD-00884</t>
        </is>
      </c>
      <c r="B101" t="inlineStr">
        <is>
          <t>Customer 25</t>
        </is>
      </c>
      <c r="C101" t="inlineStr">
        <is>
          <t>Power Supply</t>
        </is>
      </c>
      <c r="D101" s="14" t="n">
        <v>46183</v>
      </c>
      <c r="E101" s="14" t="n">
        <v>46184</v>
      </c>
      <c r="F101" t="n">
        <v>1</v>
      </c>
      <c r="G101" t="inlineStr">
        <is>
          <t>Documentation Issue</t>
        </is>
      </c>
      <c r="H101" t="inlineStr">
        <is>
          <t>Customer Delivery Late</t>
        </is>
      </c>
      <c r="I101" t="inlineStr">
        <is>
          <t>Escalate / Follow up</t>
        </is>
      </c>
    </row>
    <row r="102">
      <c r="A102" t="inlineStr">
        <is>
          <t>ORD-00907</t>
        </is>
      </c>
      <c r="B102" t="inlineStr">
        <is>
          <t>Customer 29</t>
        </is>
      </c>
      <c r="C102" t="inlineStr">
        <is>
          <t>Relay</t>
        </is>
      </c>
      <c r="D102" s="14" t="n">
        <v>46111</v>
      </c>
      <c r="E102" s="14" t="n">
        <v>46112</v>
      </c>
      <c r="F102" t="n">
        <v>1</v>
      </c>
      <c r="G102" t="inlineStr">
        <is>
          <t>Production Delay</t>
        </is>
      </c>
      <c r="H102" t="inlineStr">
        <is>
          <t>Customer Delivery Late</t>
        </is>
      </c>
      <c r="I102" t="inlineStr">
        <is>
          <t>Escalate / Follow up</t>
        </is>
      </c>
    </row>
    <row r="103">
      <c r="A103" t="inlineStr">
        <is>
          <t>ORD-00910</t>
        </is>
      </c>
      <c r="B103" t="inlineStr">
        <is>
          <t>Customer 21</t>
        </is>
      </c>
      <c r="C103" t="inlineStr">
        <is>
          <t>Switchgear</t>
        </is>
      </c>
      <c r="D103" s="14" t="n">
        <v>46202</v>
      </c>
      <c r="E103" s="14" t="n">
        <v>46203</v>
      </c>
      <c r="F103" t="n">
        <v>1</v>
      </c>
      <c r="G103" t="inlineStr">
        <is>
          <t>Documentation Issue</t>
        </is>
      </c>
      <c r="H103" t="inlineStr">
        <is>
          <t>Customer Delivery Late</t>
        </is>
      </c>
      <c r="I103" t="inlineStr">
        <is>
          <t>Escalate / Follow up</t>
        </is>
      </c>
    </row>
    <row r="104">
      <c r="A104" t="inlineStr">
        <is>
          <t>ORD-00926</t>
        </is>
      </c>
      <c r="B104" t="inlineStr">
        <is>
          <t>Customer 20</t>
        </is>
      </c>
      <c r="C104" t="inlineStr">
        <is>
          <t>Breaker</t>
        </is>
      </c>
      <c r="D104" s="14" t="n">
        <v>46179</v>
      </c>
      <c r="E104" s="14" t="n">
        <v>46180</v>
      </c>
      <c r="F104" t="n">
        <v>1</v>
      </c>
      <c r="G104" t="inlineStr">
        <is>
          <t>Production Delay</t>
        </is>
      </c>
      <c r="H104" t="inlineStr">
        <is>
          <t>Customer Delivery Late</t>
        </is>
      </c>
      <c r="I104" t="inlineStr">
        <is>
          <t>Escalate / Follow up</t>
        </is>
      </c>
    </row>
    <row r="105">
      <c r="A105" t="inlineStr">
        <is>
          <t>ORD-00930</t>
        </is>
      </c>
      <c r="B105" t="inlineStr">
        <is>
          <t>Customer 30</t>
        </is>
      </c>
      <c r="C105" t="inlineStr">
        <is>
          <t>Relay</t>
        </is>
      </c>
      <c r="D105" s="14" t="n">
        <v>46099</v>
      </c>
      <c r="E105" s="14" t="n">
        <v>46104</v>
      </c>
      <c r="F105" t="n">
        <v>5</v>
      </c>
      <c r="G105" t="inlineStr">
        <is>
          <t>Capacity Constraint</t>
        </is>
      </c>
      <c r="H105" t="inlineStr">
        <is>
          <t>Customer Delivery Late</t>
        </is>
      </c>
      <c r="I105" t="inlineStr">
        <is>
          <t>Escalate / Follow up</t>
        </is>
      </c>
    </row>
    <row r="106">
      <c r="A106" t="inlineStr">
        <is>
          <t>ORD-00932</t>
        </is>
      </c>
      <c r="B106" t="inlineStr">
        <is>
          <t>Customer 17</t>
        </is>
      </c>
      <c r="C106" t="inlineStr">
        <is>
          <t>PLC</t>
        </is>
      </c>
      <c r="D106" s="14" t="n">
        <v>46139</v>
      </c>
      <c r="E106" s="14" t="n">
        <v>46144</v>
      </c>
      <c r="F106" t="n">
        <v>5</v>
      </c>
      <c r="G106" t="inlineStr">
        <is>
          <t>Capacity Constraint</t>
        </is>
      </c>
      <c r="H106" t="inlineStr">
        <is>
          <t>Customer Delivery Late</t>
        </is>
      </c>
      <c r="I106" t="inlineStr">
        <is>
          <t>Escalate / Follow up</t>
        </is>
      </c>
    </row>
    <row r="107">
      <c r="A107" t="inlineStr">
        <is>
          <t>ORD-00939</t>
        </is>
      </c>
      <c r="B107" t="inlineStr">
        <is>
          <t>Customer 21</t>
        </is>
      </c>
      <c r="C107" t="inlineStr">
        <is>
          <t>Relay</t>
        </is>
      </c>
      <c r="D107" s="14" t="n">
        <v>46106</v>
      </c>
      <c r="E107" s="14" t="n">
        <v>46112</v>
      </c>
      <c r="F107" t="n">
        <v>6</v>
      </c>
      <c r="G107" t="inlineStr">
        <is>
          <t>Capacity Constraint</t>
        </is>
      </c>
      <c r="H107" t="inlineStr">
        <is>
          <t>Customer Delivery Late</t>
        </is>
      </c>
      <c r="I107" t="inlineStr">
        <is>
          <t>Escalate / Follow up</t>
        </is>
      </c>
    </row>
    <row r="108">
      <c r="A108" t="inlineStr">
        <is>
          <t>ORD-00951</t>
        </is>
      </c>
      <c r="B108" t="inlineStr">
        <is>
          <t>Customer 06</t>
        </is>
      </c>
      <c r="C108" t="inlineStr">
        <is>
          <t>Switchgear</t>
        </is>
      </c>
      <c r="D108" s="14" t="n">
        <v>46100</v>
      </c>
      <c r="E108" s="14" t="n">
        <v>46102</v>
      </c>
      <c r="F108" t="n">
        <v>2</v>
      </c>
      <c r="G108" t="inlineStr">
        <is>
          <t>Documentation Issue</t>
        </is>
      </c>
      <c r="H108" t="inlineStr">
        <is>
          <t>Customer Delivery Late</t>
        </is>
      </c>
      <c r="I108" t="inlineStr">
        <is>
          <t>Escalate / Follow up</t>
        </is>
      </c>
    </row>
    <row r="109">
      <c r="A109" t="inlineStr">
        <is>
          <t>ORD-00956</t>
        </is>
      </c>
      <c r="B109" t="inlineStr">
        <is>
          <t>Customer 04</t>
        </is>
      </c>
      <c r="C109" t="inlineStr">
        <is>
          <t>Contactor</t>
        </is>
      </c>
      <c r="D109" s="14" t="n">
        <v>46068</v>
      </c>
      <c r="E109" s="14" t="n">
        <v>46069</v>
      </c>
      <c r="F109" t="n">
        <v>1</v>
      </c>
      <c r="G109" t="inlineStr">
        <is>
          <t>Material Shortage</t>
        </is>
      </c>
      <c r="H109" t="inlineStr">
        <is>
          <t>Customer Delivery Late</t>
        </is>
      </c>
      <c r="I109" t="inlineStr">
        <is>
          <t>Escalate / Follow up</t>
        </is>
      </c>
    </row>
    <row r="110">
      <c r="A110" t="inlineStr">
        <is>
          <t>ORD-00965</t>
        </is>
      </c>
      <c r="B110" t="inlineStr">
        <is>
          <t>Customer 06</t>
        </is>
      </c>
      <c r="C110" t="inlineStr">
        <is>
          <t>Sensor</t>
        </is>
      </c>
      <c r="D110" s="14" t="n">
        <v>46068</v>
      </c>
      <c r="E110" s="14" t="n">
        <v>46069</v>
      </c>
      <c r="F110" t="n">
        <v>1</v>
      </c>
      <c r="G110" t="inlineStr">
        <is>
          <t>Capacity Constraint</t>
        </is>
      </c>
      <c r="H110" t="inlineStr">
        <is>
          <t>Customer Delivery Late</t>
        </is>
      </c>
      <c r="I110" t="inlineStr">
        <is>
          <t>Escalate / Follow up</t>
        </is>
      </c>
    </row>
    <row r="111">
      <c r="A111" t="inlineStr">
        <is>
          <t>ORD-00966</t>
        </is>
      </c>
      <c r="B111" t="inlineStr">
        <is>
          <t>Customer 15</t>
        </is>
      </c>
      <c r="C111" t="inlineStr">
        <is>
          <t>Breaker</t>
        </is>
      </c>
      <c r="D111" s="14" t="n">
        <v>46071</v>
      </c>
      <c r="E111" s="14" t="n">
        <v>46076</v>
      </c>
      <c r="F111" t="n">
        <v>5</v>
      </c>
      <c r="G111" t="inlineStr">
        <is>
          <t>Production Delay</t>
        </is>
      </c>
      <c r="H111" t="inlineStr">
        <is>
          <t>Customer Delivery Late</t>
        </is>
      </c>
      <c r="I111" t="inlineStr">
        <is>
          <t>Escalate / Follow up</t>
        </is>
      </c>
    </row>
    <row r="112">
      <c r="A112" t="inlineStr">
        <is>
          <t>ORD-00980</t>
        </is>
      </c>
      <c r="B112" t="inlineStr">
        <is>
          <t>Customer 11</t>
        </is>
      </c>
      <c r="C112" t="inlineStr">
        <is>
          <t>Sensor</t>
        </is>
      </c>
      <c r="D112" s="14" t="n">
        <v>46041</v>
      </c>
      <c r="E112" s="14" t="n">
        <v>46044</v>
      </c>
      <c r="F112" t="n">
        <v>3</v>
      </c>
      <c r="G112" t="inlineStr">
        <is>
          <t>Material Shortage</t>
        </is>
      </c>
      <c r="H112" t="inlineStr">
        <is>
          <t>Customer Delivery Late</t>
        </is>
      </c>
      <c r="I112" t="inlineStr">
        <is>
          <t>Escalate / Follow up</t>
        </is>
      </c>
    </row>
    <row r="113">
      <c r="A113" t="inlineStr">
        <is>
          <t>ORD-00984</t>
        </is>
      </c>
      <c r="B113" t="inlineStr">
        <is>
          <t>Customer 11</t>
        </is>
      </c>
      <c r="C113" t="inlineStr">
        <is>
          <t>Power Supply</t>
        </is>
      </c>
      <c r="D113" s="14" t="n">
        <v>46118</v>
      </c>
      <c r="E113" s="14" t="n">
        <v>46119</v>
      </c>
      <c r="F113" t="n">
        <v>1</v>
      </c>
      <c r="G113" t="inlineStr">
        <is>
          <t>Capacity Constraint</t>
        </is>
      </c>
      <c r="H113" t="inlineStr">
        <is>
          <t>Customer Delivery Late</t>
        </is>
      </c>
      <c r="I113" t="inlineStr">
        <is>
          <t>Escalate / Follow up</t>
        </is>
      </c>
    </row>
    <row r="114">
      <c r="A114" t="inlineStr">
        <is>
          <t>ORD-00987</t>
        </is>
      </c>
      <c r="B114" t="inlineStr">
        <is>
          <t>Customer 14</t>
        </is>
      </c>
      <c r="C114" t="inlineStr">
        <is>
          <t>Breaker</t>
        </is>
      </c>
      <c r="D114" s="14" t="n">
        <v>46214</v>
      </c>
      <c r="E114" s="14" t="n">
        <v>46215</v>
      </c>
      <c r="F114" t="n">
        <v>1</v>
      </c>
      <c r="G114" t="inlineStr">
        <is>
          <t>Documentation Issue</t>
        </is>
      </c>
      <c r="H114" t="inlineStr">
        <is>
          <t>Customer Delivery Late</t>
        </is>
      </c>
      <c r="I114" t="inlineStr">
        <is>
          <t>Escalate / Follow up</t>
        </is>
      </c>
    </row>
    <row r="115">
      <c r="A115" t="inlineStr">
        <is>
          <t>ORD-00992</t>
        </is>
      </c>
      <c r="B115" t="inlineStr">
        <is>
          <t>Customer 01</t>
        </is>
      </c>
      <c r="C115" t="inlineStr">
        <is>
          <t>Drive</t>
        </is>
      </c>
      <c r="D115" s="14" t="n">
        <v>46193</v>
      </c>
      <c r="E115" s="14" t="n">
        <v>46194</v>
      </c>
      <c r="F115" t="n">
        <v>1</v>
      </c>
      <c r="G115" t="inlineStr">
        <is>
          <t>Documentation Issue</t>
        </is>
      </c>
      <c r="H115" t="inlineStr">
        <is>
          <t>Customer Delivery Late</t>
        </is>
      </c>
      <c r="I115" t="inlineStr">
        <is>
          <t>Escalate / Follow up</t>
        </is>
      </c>
    </row>
    <row r="116">
      <c r="A116" t="inlineStr">
        <is>
          <t>ORD-01003</t>
        </is>
      </c>
      <c r="B116" t="inlineStr">
        <is>
          <t>Customer 21</t>
        </is>
      </c>
      <c r="C116" t="inlineStr">
        <is>
          <t>Relay</t>
        </is>
      </c>
      <c r="D116" s="14" t="n">
        <v>46082</v>
      </c>
      <c r="E116" s="14" t="n">
        <v>46083</v>
      </c>
      <c r="F116" t="n">
        <v>1</v>
      </c>
      <c r="G116" t="inlineStr">
        <is>
          <t>Documentation Issue</t>
        </is>
      </c>
      <c r="H116" t="inlineStr">
        <is>
          <t>Customer Delivery Late</t>
        </is>
      </c>
      <c r="I116" t="inlineStr">
        <is>
          <t>Escalate / Follow up</t>
        </is>
      </c>
    </row>
    <row r="117">
      <c r="A117" t="inlineStr">
        <is>
          <t>ORD-01016</t>
        </is>
      </c>
      <c r="B117" t="inlineStr">
        <is>
          <t>Customer 14</t>
        </is>
      </c>
      <c r="C117" t="inlineStr">
        <is>
          <t>Drive</t>
        </is>
      </c>
      <c r="D117" s="14" t="n">
        <v>46128</v>
      </c>
      <c r="E117" s="14" t="n">
        <v>46132</v>
      </c>
      <c r="F117" t="n">
        <v>4</v>
      </c>
      <c r="G117" t="inlineStr">
        <is>
          <t>Material Shortage</t>
        </is>
      </c>
      <c r="H117" t="inlineStr">
        <is>
          <t>Customer Delivery Late</t>
        </is>
      </c>
      <c r="I117" t="inlineStr">
        <is>
          <t>Escalate / Follow up</t>
        </is>
      </c>
    </row>
    <row r="118">
      <c r="A118" t="inlineStr">
        <is>
          <t>ORD-01019</t>
        </is>
      </c>
      <c r="B118" t="inlineStr">
        <is>
          <t>Customer 09</t>
        </is>
      </c>
      <c r="C118" t="inlineStr">
        <is>
          <t>Drive</t>
        </is>
      </c>
      <c r="D118" s="14" t="n">
        <v>46159</v>
      </c>
      <c r="E118" s="14" t="n">
        <v>46165</v>
      </c>
      <c r="F118" t="n">
        <v>6</v>
      </c>
      <c r="G118" t="inlineStr">
        <is>
          <t>Carrier Delay</t>
        </is>
      </c>
      <c r="H118" t="inlineStr">
        <is>
          <t>Customer Delivery Late</t>
        </is>
      </c>
      <c r="I118" t="inlineStr">
        <is>
          <t>Escalate / Follow up</t>
        </is>
      </c>
    </row>
    <row r="119">
      <c r="A119" t="inlineStr">
        <is>
          <t>ORD-01020</t>
        </is>
      </c>
      <c r="B119" t="inlineStr">
        <is>
          <t>Customer 07</t>
        </is>
      </c>
      <c r="C119" t="inlineStr">
        <is>
          <t>Contactor</t>
        </is>
      </c>
      <c r="D119" s="14" t="n">
        <v>46064</v>
      </c>
      <c r="E119" s="14" t="n">
        <v>46071</v>
      </c>
      <c r="F119" t="n">
        <v>7</v>
      </c>
      <c r="G119" t="inlineStr">
        <is>
          <t>Capacity Constraint</t>
        </is>
      </c>
      <c r="H119" t="inlineStr">
        <is>
          <t>Customer Delivery Late</t>
        </is>
      </c>
      <c r="I119" t="inlineStr">
        <is>
          <t>Escalate / Follow up</t>
        </is>
      </c>
    </row>
    <row r="120">
      <c r="A120" t="inlineStr">
        <is>
          <t>ORD-01023</t>
        </is>
      </c>
      <c r="B120" t="inlineStr">
        <is>
          <t>Customer 14</t>
        </is>
      </c>
      <c r="C120" t="inlineStr">
        <is>
          <t>Breaker</t>
        </is>
      </c>
      <c r="D120" s="14" t="n">
        <v>46149</v>
      </c>
      <c r="E120" s="14" t="n">
        <v>46150</v>
      </c>
      <c r="F120" t="n">
        <v>1</v>
      </c>
      <c r="G120" t="inlineStr">
        <is>
          <t>Capacity Constraint</t>
        </is>
      </c>
      <c r="H120" t="inlineStr">
        <is>
          <t>Customer Delivery Late</t>
        </is>
      </c>
      <c r="I120" t="inlineStr">
        <is>
          <t>Escalate / Follow up</t>
        </is>
      </c>
    </row>
    <row r="121">
      <c r="A121" t="inlineStr">
        <is>
          <t>ORD-01024</t>
        </is>
      </c>
      <c r="B121" t="inlineStr">
        <is>
          <t>Customer 25</t>
        </is>
      </c>
      <c r="C121" t="inlineStr">
        <is>
          <t>Contactor</t>
        </is>
      </c>
      <c r="D121" s="14" t="n">
        <v>46118</v>
      </c>
      <c r="E121" s="14" t="n">
        <v>46119</v>
      </c>
      <c r="F121" t="n">
        <v>1</v>
      </c>
      <c r="G121" t="inlineStr">
        <is>
          <t>Capacity Constraint</t>
        </is>
      </c>
      <c r="H121" t="inlineStr">
        <is>
          <t>Customer Delivery Late</t>
        </is>
      </c>
      <c r="I121" t="inlineStr">
        <is>
          <t>Escalate / Follow up</t>
        </is>
      </c>
    </row>
    <row r="122">
      <c r="A122" t="inlineStr">
        <is>
          <t>ORD-01034</t>
        </is>
      </c>
      <c r="B122" t="inlineStr">
        <is>
          <t>Customer 05</t>
        </is>
      </c>
      <c r="C122" t="inlineStr">
        <is>
          <t>Switchgear</t>
        </is>
      </c>
      <c r="D122" s="14" t="n">
        <v>46118</v>
      </c>
      <c r="E122" s="14" t="n">
        <v>46123</v>
      </c>
      <c r="F122" t="n">
        <v>5</v>
      </c>
      <c r="G122" t="inlineStr">
        <is>
          <t>Production Delay</t>
        </is>
      </c>
      <c r="H122" t="inlineStr">
        <is>
          <t>Customer Delivery Late</t>
        </is>
      </c>
      <c r="I122" t="inlineStr">
        <is>
          <t>Escalate / Follow up</t>
        </is>
      </c>
    </row>
    <row r="123">
      <c r="A123" t="inlineStr">
        <is>
          <t>ORD-01047</t>
        </is>
      </c>
      <c r="B123" t="inlineStr">
        <is>
          <t>Customer 06</t>
        </is>
      </c>
      <c r="C123" t="inlineStr">
        <is>
          <t>Drive</t>
        </is>
      </c>
      <c r="D123" s="14" t="n">
        <v>46084</v>
      </c>
      <c r="E123" s="14" t="n">
        <v>46085</v>
      </c>
      <c r="F123" t="n">
        <v>1</v>
      </c>
      <c r="G123" t="inlineStr">
        <is>
          <t>Capacity Constraint</t>
        </is>
      </c>
      <c r="H123" t="inlineStr">
        <is>
          <t>Customer Delivery Late</t>
        </is>
      </c>
      <c r="I123" t="inlineStr">
        <is>
          <t>Escalate / Follow up</t>
        </is>
      </c>
    </row>
    <row r="124">
      <c r="A124" t="inlineStr">
        <is>
          <t>ORD-01048</t>
        </is>
      </c>
      <c r="B124" t="inlineStr">
        <is>
          <t>Customer 14</t>
        </is>
      </c>
      <c r="C124" t="inlineStr">
        <is>
          <t>PLC</t>
        </is>
      </c>
      <c r="D124" s="14" t="n">
        <v>46210</v>
      </c>
      <c r="E124" s="14" t="n">
        <v>46211</v>
      </c>
      <c r="F124" t="n">
        <v>1</v>
      </c>
      <c r="G124" t="inlineStr">
        <is>
          <t>Capacity Constraint</t>
        </is>
      </c>
      <c r="H124" t="inlineStr">
        <is>
          <t>Customer Delivery Late</t>
        </is>
      </c>
      <c r="I124" t="inlineStr">
        <is>
          <t>Escalate / Follow up</t>
        </is>
      </c>
    </row>
    <row r="125">
      <c r="A125" t="inlineStr">
        <is>
          <t>ORD-01052</t>
        </is>
      </c>
      <c r="B125" t="inlineStr">
        <is>
          <t>Customer 10</t>
        </is>
      </c>
      <c r="C125" t="inlineStr">
        <is>
          <t>Contactor</t>
        </is>
      </c>
      <c r="D125" s="14" t="n">
        <v>46181</v>
      </c>
      <c r="E125" s="14" t="n">
        <v>46182</v>
      </c>
      <c r="F125" t="n">
        <v>1</v>
      </c>
      <c r="G125" t="inlineStr">
        <is>
          <t>Capacity Constraint</t>
        </is>
      </c>
      <c r="H125" t="inlineStr">
        <is>
          <t>Customer Delivery Late</t>
        </is>
      </c>
      <c r="I125" t="inlineStr">
        <is>
          <t>Escalate / Follow up</t>
        </is>
      </c>
    </row>
    <row r="126">
      <c r="A126" t="inlineStr">
        <is>
          <t>ORD-01060</t>
        </is>
      </c>
      <c r="B126" t="inlineStr">
        <is>
          <t>Customer 15</t>
        </is>
      </c>
      <c r="C126" t="inlineStr">
        <is>
          <t>Sensor</t>
        </is>
      </c>
      <c r="D126" s="14" t="n">
        <v>46213</v>
      </c>
      <c r="E126" s="14" t="n">
        <v>46217</v>
      </c>
      <c r="F126" t="n">
        <v>4</v>
      </c>
      <c r="G126" t="inlineStr">
        <is>
          <t>Carrier Delay</t>
        </is>
      </c>
      <c r="H126" t="inlineStr">
        <is>
          <t>Customer Delivery Late</t>
        </is>
      </c>
      <c r="I126" t="inlineStr">
        <is>
          <t>Escalate / Follow up</t>
        </is>
      </c>
    </row>
    <row r="127">
      <c r="A127" t="inlineStr">
        <is>
          <t>ORD-01065</t>
        </is>
      </c>
      <c r="B127" t="inlineStr">
        <is>
          <t>Customer 18</t>
        </is>
      </c>
      <c r="C127" t="inlineStr">
        <is>
          <t>Relay</t>
        </is>
      </c>
      <c r="D127" s="14" t="n">
        <v>46122</v>
      </c>
      <c r="E127" s="14" t="n">
        <v>46128</v>
      </c>
      <c r="F127" t="n">
        <v>6</v>
      </c>
      <c r="G127" t="inlineStr">
        <is>
          <t>Production Delay</t>
        </is>
      </c>
      <c r="H127" t="inlineStr">
        <is>
          <t>Customer Delivery Late</t>
        </is>
      </c>
      <c r="I127" t="inlineStr">
        <is>
          <t>Escalate / Follow up</t>
        </is>
      </c>
    </row>
    <row r="128">
      <c r="A128" t="inlineStr">
        <is>
          <t>ORD-01066</t>
        </is>
      </c>
      <c r="B128" t="inlineStr">
        <is>
          <t>Customer 28</t>
        </is>
      </c>
      <c r="C128" t="inlineStr">
        <is>
          <t>Switchgear</t>
        </is>
      </c>
      <c r="D128" s="14" t="n">
        <v>46092</v>
      </c>
      <c r="E128" s="14" t="n">
        <v>46094</v>
      </c>
      <c r="F128" t="n">
        <v>2</v>
      </c>
      <c r="G128" t="inlineStr">
        <is>
          <t>Material Shortage</t>
        </is>
      </c>
      <c r="H128" t="inlineStr">
        <is>
          <t>Customer Delivery Late</t>
        </is>
      </c>
      <c r="I128" t="inlineStr">
        <is>
          <t>Escalate / Follow up</t>
        </is>
      </c>
    </row>
    <row r="129">
      <c r="A129" t="inlineStr">
        <is>
          <t>ORD-01067</t>
        </is>
      </c>
      <c r="B129" t="inlineStr">
        <is>
          <t>Customer 24</t>
        </is>
      </c>
      <c r="C129" t="inlineStr">
        <is>
          <t>Sensor</t>
        </is>
      </c>
      <c r="D129" s="14" t="n">
        <v>46179</v>
      </c>
      <c r="E129" s="14" t="n">
        <v>46180</v>
      </c>
      <c r="F129" t="n">
        <v>1</v>
      </c>
      <c r="G129" t="inlineStr">
        <is>
          <t>Documentation Issue</t>
        </is>
      </c>
      <c r="H129" t="inlineStr">
        <is>
          <t>Customer Delivery Late</t>
        </is>
      </c>
      <c r="I129" t="inlineStr">
        <is>
          <t>Escalate / Follow up</t>
        </is>
      </c>
    </row>
    <row r="130">
      <c r="A130" t="inlineStr">
        <is>
          <t>ORD-01082</t>
        </is>
      </c>
      <c r="B130" t="inlineStr">
        <is>
          <t>Customer 18</t>
        </is>
      </c>
      <c r="C130" t="inlineStr">
        <is>
          <t>Power Supply</t>
        </is>
      </c>
      <c r="D130" s="14" t="n">
        <v>46182</v>
      </c>
      <c r="E130" s="14" t="n">
        <v>46183</v>
      </c>
      <c r="F130" t="n">
        <v>1</v>
      </c>
      <c r="G130" t="inlineStr">
        <is>
          <t>Customer Change</t>
        </is>
      </c>
      <c r="H130" t="inlineStr">
        <is>
          <t>Customer Delivery Late</t>
        </is>
      </c>
      <c r="I130" t="inlineStr">
        <is>
          <t>Escalate / Follow up</t>
        </is>
      </c>
    </row>
    <row r="131">
      <c r="A131" t="inlineStr">
        <is>
          <t>ORD-01085</t>
        </is>
      </c>
      <c r="B131" t="inlineStr">
        <is>
          <t>Customer 13</t>
        </is>
      </c>
      <c r="C131" t="inlineStr">
        <is>
          <t>PLC</t>
        </is>
      </c>
      <c r="D131" s="14" t="n">
        <v>46191</v>
      </c>
      <c r="E131" s="14" t="n">
        <v>46192</v>
      </c>
      <c r="F131" t="n">
        <v>1</v>
      </c>
      <c r="G131" t="inlineStr">
        <is>
          <t>Carrier Delay</t>
        </is>
      </c>
      <c r="H131" t="inlineStr">
        <is>
          <t>Customer Delivery Late</t>
        </is>
      </c>
      <c r="I131" t="inlineStr">
        <is>
          <t>Escalate / Follow up</t>
        </is>
      </c>
    </row>
    <row r="132">
      <c r="A132" t="inlineStr">
        <is>
          <t>ORD-01131</t>
        </is>
      </c>
      <c r="B132" t="inlineStr">
        <is>
          <t>Customer 06</t>
        </is>
      </c>
      <c r="C132" t="inlineStr">
        <is>
          <t>Drive</t>
        </is>
      </c>
      <c r="D132" s="14" t="n">
        <v>46071</v>
      </c>
      <c r="E132" s="14" t="n">
        <v>46074</v>
      </c>
      <c r="F132" t="n">
        <v>3</v>
      </c>
      <c r="G132" t="inlineStr">
        <is>
          <t>Customer Change</t>
        </is>
      </c>
      <c r="H132" t="inlineStr">
        <is>
          <t>Customer Delivery Late</t>
        </is>
      </c>
      <c r="I132" t="inlineStr">
        <is>
          <t>Escalate / Follow up</t>
        </is>
      </c>
    </row>
    <row r="133">
      <c r="A133" t="inlineStr">
        <is>
          <t>ORD-01134</t>
        </is>
      </c>
      <c r="B133" t="inlineStr">
        <is>
          <t>Customer 29</t>
        </is>
      </c>
      <c r="C133" t="inlineStr">
        <is>
          <t>Breaker</t>
        </is>
      </c>
      <c r="D133" s="14" t="n">
        <v>46212</v>
      </c>
      <c r="E133" s="14" t="n">
        <v>46216</v>
      </c>
      <c r="F133" t="n">
        <v>4</v>
      </c>
      <c r="G133" t="inlineStr">
        <is>
          <t>Documentation Issue</t>
        </is>
      </c>
      <c r="H133" t="inlineStr">
        <is>
          <t>Customer Delivery Late</t>
        </is>
      </c>
      <c r="I133" t="inlineStr">
        <is>
          <t>Escalate / Follow up</t>
        </is>
      </c>
    </row>
    <row r="134">
      <c r="A134" t="inlineStr">
        <is>
          <t>ORD-01143</t>
        </is>
      </c>
      <c r="B134" t="inlineStr">
        <is>
          <t>Customer 16</t>
        </is>
      </c>
      <c r="C134" t="inlineStr">
        <is>
          <t>Power Supply</t>
        </is>
      </c>
      <c r="D134" s="14" t="n">
        <v>46090</v>
      </c>
      <c r="E134" s="14" t="n">
        <v>46096</v>
      </c>
      <c r="F134" t="n">
        <v>6</v>
      </c>
      <c r="G134" t="inlineStr">
        <is>
          <t>Material Shortage</t>
        </is>
      </c>
      <c r="H134" t="inlineStr">
        <is>
          <t>Customer Delivery Late</t>
        </is>
      </c>
      <c r="I134" t="inlineStr">
        <is>
          <t>Escalate / Follow up</t>
        </is>
      </c>
    </row>
    <row r="135">
      <c r="A135" t="inlineStr">
        <is>
          <t>ORD-01152</t>
        </is>
      </c>
      <c r="B135" t="inlineStr">
        <is>
          <t>Customer 26</t>
        </is>
      </c>
      <c r="C135" t="inlineStr">
        <is>
          <t>PLC</t>
        </is>
      </c>
      <c r="D135" s="14" t="n">
        <v>46137</v>
      </c>
      <c r="E135" s="14" t="n">
        <v>46140</v>
      </c>
      <c r="F135" t="n">
        <v>3</v>
      </c>
      <c r="G135" t="inlineStr">
        <is>
          <t>Carrier Delay</t>
        </is>
      </c>
      <c r="H135" t="inlineStr">
        <is>
          <t>Customer Delivery Late</t>
        </is>
      </c>
      <c r="I135" t="inlineStr">
        <is>
          <t>Escalate / Follow up</t>
        </is>
      </c>
    </row>
    <row r="136">
      <c r="A136" t="inlineStr">
        <is>
          <t>ORD-01162</t>
        </is>
      </c>
      <c r="B136" t="inlineStr">
        <is>
          <t>Customer 27</t>
        </is>
      </c>
      <c r="C136" t="inlineStr">
        <is>
          <t>Relay</t>
        </is>
      </c>
      <c r="D136" s="14" t="n">
        <v>46207</v>
      </c>
      <c r="E136" s="14" t="n">
        <v>46208</v>
      </c>
      <c r="F136" t="n">
        <v>1</v>
      </c>
      <c r="G136" t="inlineStr">
        <is>
          <t>Customer Change</t>
        </is>
      </c>
      <c r="H136" t="inlineStr">
        <is>
          <t>Customer Delivery Late</t>
        </is>
      </c>
      <c r="I136" t="inlineStr">
        <is>
          <t>Escalate / Follow up</t>
        </is>
      </c>
    </row>
    <row r="137">
      <c r="A137" t="inlineStr">
        <is>
          <t>ORD-01163</t>
        </is>
      </c>
      <c r="B137" t="inlineStr">
        <is>
          <t>Customer 09</t>
        </is>
      </c>
      <c r="C137" t="inlineStr">
        <is>
          <t>Relay</t>
        </is>
      </c>
      <c r="D137" s="14" t="n">
        <v>46131</v>
      </c>
      <c r="E137" s="14" t="n">
        <v>46132</v>
      </c>
      <c r="F137" t="n">
        <v>1</v>
      </c>
      <c r="G137" t="inlineStr">
        <is>
          <t>Material Shortage</t>
        </is>
      </c>
      <c r="H137" t="inlineStr">
        <is>
          <t>Customer Delivery Late</t>
        </is>
      </c>
      <c r="I137" t="inlineStr">
        <is>
          <t>Escalate / Follow up</t>
        </is>
      </c>
    </row>
    <row r="138">
      <c r="A138" t="inlineStr">
        <is>
          <t>ORD-01179</t>
        </is>
      </c>
      <c r="B138" t="inlineStr">
        <is>
          <t>Customer 29</t>
        </is>
      </c>
      <c r="C138" t="inlineStr">
        <is>
          <t>Relay</t>
        </is>
      </c>
      <c r="D138" s="14" t="n">
        <v>46059</v>
      </c>
      <c r="E138" s="14" t="n">
        <v>46060</v>
      </c>
      <c r="F138" t="n">
        <v>1</v>
      </c>
      <c r="G138" t="inlineStr">
        <is>
          <t>Carrier Delay</t>
        </is>
      </c>
      <c r="H138" t="inlineStr">
        <is>
          <t>Customer Delivery Late</t>
        </is>
      </c>
      <c r="I138" t="inlineStr">
        <is>
          <t>Escalate / Follow up</t>
        </is>
      </c>
    </row>
    <row r="139">
      <c r="A139" t="inlineStr">
        <is>
          <t>ORD-01181</t>
        </is>
      </c>
      <c r="B139" t="inlineStr">
        <is>
          <t>Customer 27</t>
        </is>
      </c>
      <c r="C139" t="inlineStr">
        <is>
          <t>Drive</t>
        </is>
      </c>
      <c r="D139" s="14" t="n">
        <v>46060</v>
      </c>
      <c r="E139" s="14" t="n">
        <v>46062</v>
      </c>
      <c r="F139" t="n">
        <v>2</v>
      </c>
      <c r="G139" t="inlineStr">
        <is>
          <t>Documentation Issue</t>
        </is>
      </c>
      <c r="H139" t="inlineStr">
        <is>
          <t>Customer Delivery Late</t>
        </is>
      </c>
      <c r="I139" t="inlineStr">
        <is>
          <t>Escalate / Follow up</t>
        </is>
      </c>
    </row>
    <row r="140">
      <c r="A140" t="inlineStr">
        <is>
          <t>ORD-01197</t>
        </is>
      </c>
      <c r="B140" t="inlineStr">
        <is>
          <t>Customer 18</t>
        </is>
      </c>
      <c r="C140" t="inlineStr">
        <is>
          <t>Sensor</t>
        </is>
      </c>
      <c r="D140" s="14" t="n">
        <v>46061</v>
      </c>
      <c r="E140" s="14" t="n">
        <v>46062</v>
      </c>
      <c r="F140" t="n">
        <v>1</v>
      </c>
      <c r="G140" t="inlineStr">
        <is>
          <t>Material Shortage</t>
        </is>
      </c>
      <c r="H140" t="inlineStr">
        <is>
          <t>Customer Delivery Late</t>
        </is>
      </c>
      <c r="I140" t="inlineStr">
        <is>
          <t>Escalate / Follow up</t>
        </is>
      </c>
    </row>
    <row r="141">
      <c r="A141" t="inlineStr">
        <is>
          <t>ORD-01215</t>
        </is>
      </c>
      <c r="B141" t="inlineStr">
        <is>
          <t>Customer 13</t>
        </is>
      </c>
      <c r="C141" t="inlineStr">
        <is>
          <t>Drive</t>
        </is>
      </c>
      <c r="D141" s="14" t="n">
        <v>46082</v>
      </c>
      <c r="E141" s="14" t="n">
        <v>46083</v>
      </c>
      <c r="F141" t="n">
        <v>1</v>
      </c>
      <c r="G141" t="inlineStr">
        <is>
          <t>Documentation Issue</t>
        </is>
      </c>
      <c r="H141" t="inlineStr">
        <is>
          <t>Customer Delivery Late</t>
        </is>
      </c>
      <c r="I141" t="inlineStr">
        <is>
          <t>Escalate / Follow up</t>
        </is>
      </c>
    </row>
    <row r="142">
      <c r="A142" t="inlineStr">
        <is>
          <t>ORD-01226</t>
        </is>
      </c>
      <c r="B142" t="inlineStr">
        <is>
          <t>Customer 05</t>
        </is>
      </c>
      <c r="C142" t="inlineStr">
        <is>
          <t>Sensor</t>
        </is>
      </c>
      <c r="D142" s="14" t="n">
        <v>46034</v>
      </c>
      <c r="E142" s="14" t="n">
        <v>46036</v>
      </c>
      <c r="F142" t="n">
        <v>2</v>
      </c>
      <c r="G142" t="inlineStr">
        <is>
          <t>Material Shortage</t>
        </is>
      </c>
      <c r="H142" t="inlineStr">
        <is>
          <t>Customer Delivery Late</t>
        </is>
      </c>
      <c r="I142" t="inlineStr">
        <is>
          <t>Escalate / Follow up</t>
        </is>
      </c>
    </row>
    <row r="143">
      <c r="A143" t="inlineStr">
        <is>
          <t>ORD-01236</t>
        </is>
      </c>
      <c r="B143" t="inlineStr">
        <is>
          <t>Customer 07</t>
        </is>
      </c>
      <c r="C143" t="inlineStr">
        <is>
          <t>PLC</t>
        </is>
      </c>
      <c r="D143" s="14" t="n">
        <v>46050</v>
      </c>
      <c r="E143" s="14" t="n">
        <v>46054</v>
      </c>
      <c r="F143" t="n">
        <v>4</v>
      </c>
      <c r="G143" t="inlineStr">
        <is>
          <t>Capacity Constraint</t>
        </is>
      </c>
      <c r="H143" t="inlineStr">
        <is>
          <t>Customer Delivery Late</t>
        </is>
      </c>
      <c r="I143" t="inlineStr">
        <is>
          <t>Escalate / Follow up</t>
        </is>
      </c>
    </row>
    <row r="144">
      <c r="A144" t="inlineStr">
        <is>
          <t>ORD-01240</t>
        </is>
      </c>
      <c r="B144" t="inlineStr">
        <is>
          <t>Customer 26</t>
        </is>
      </c>
      <c r="C144" t="inlineStr">
        <is>
          <t>Sensor</t>
        </is>
      </c>
      <c r="D144" s="14" t="n">
        <v>46087</v>
      </c>
      <c r="E144" s="14" t="n">
        <v>46088</v>
      </c>
      <c r="F144" t="n">
        <v>1</v>
      </c>
      <c r="G144" t="inlineStr">
        <is>
          <t>Material Shortage</t>
        </is>
      </c>
      <c r="H144" t="inlineStr">
        <is>
          <t>Customer Delivery Late</t>
        </is>
      </c>
      <c r="I144" t="inlineStr">
        <is>
          <t>Escalate / Follow up</t>
        </is>
      </c>
    </row>
    <row r="145">
      <c r="A145" t="inlineStr">
        <is>
          <t>ORD-01248</t>
        </is>
      </c>
      <c r="B145" t="inlineStr">
        <is>
          <t>Customer 11</t>
        </is>
      </c>
      <c r="C145" t="inlineStr">
        <is>
          <t>Drive</t>
        </is>
      </c>
      <c r="D145" s="14" t="n">
        <v>46169</v>
      </c>
      <c r="E145" s="14" t="n">
        <v>46174</v>
      </c>
      <c r="F145" t="n">
        <v>5</v>
      </c>
      <c r="G145" t="inlineStr">
        <is>
          <t>Documentation Issue</t>
        </is>
      </c>
      <c r="H145" t="inlineStr">
        <is>
          <t>Customer Delivery Late</t>
        </is>
      </c>
      <c r="I145" t="inlineStr">
        <is>
          <t>Escalate / Follow up</t>
        </is>
      </c>
    </row>
    <row r="146">
      <c r="A146" t="inlineStr">
        <is>
          <t>ORD-01252</t>
        </is>
      </c>
      <c r="B146" t="inlineStr">
        <is>
          <t>Customer 14</t>
        </is>
      </c>
      <c r="C146" t="inlineStr">
        <is>
          <t>Breaker</t>
        </is>
      </c>
      <c r="D146" s="14" t="n">
        <v>46109</v>
      </c>
      <c r="E146" s="14" t="n">
        <v>46115</v>
      </c>
      <c r="F146" t="n">
        <v>6</v>
      </c>
      <c r="G146" t="inlineStr">
        <is>
          <t>Carrier Delay</t>
        </is>
      </c>
      <c r="H146" t="inlineStr">
        <is>
          <t>Customer Delivery Late</t>
        </is>
      </c>
      <c r="I146" t="inlineStr">
        <is>
          <t>Escalate / Follow up</t>
        </is>
      </c>
    </row>
    <row r="147">
      <c r="A147" t="inlineStr">
        <is>
          <t>ORD-01259</t>
        </is>
      </c>
      <c r="B147" t="inlineStr">
        <is>
          <t>Customer 20</t>
        </is>
      </c>
      <c r="C147" t="inlineStr">
        <is>
          <t>Contactor</t>
        </is>
      </c>
      <c r="D147" s="14" t="n">
        <v>46113</v>
      </c>
      <c r="E147" s="14" t="n">
        <v>46114</v>
      </c>
      <c r="F147" t="n">
        <v>1</v>
      </c>
      <c r="G147" t="inlineStr">
        <is>
          <t>Production Delay</t>
        </is>
      </c>
      <c r="H147" t="inlineStr">
        <is>
          <t>Customer Delivery Late</t>
        </is>
      </c>
      <c r="I147" t="inlineStr">
        <is>
          <t>Escalate / Follow up</t>
        </is>
      </c>
    </row>
    <row r="148">
      <c r="A148" t="inlineStr">
        <is>
          <t>ORD-01260</t>
        </is>
      </c>
      <c r="B148" t="inlineStr">
        <is>
          <t>Customer 06</t>
        </is>
      </c>
      <c r="C148" t="inlineStr">
        <is>
          <t>Contactor</t>
        </is>
      </c>
      <c r="D148" s="14" t="n">
        <v>46197</v>
      </c>
      <c r="E148" s="14" t="n">
        <v>46204</v>
      </c>
      <c r="F148" t="n">
        <v>7</v>
      </c>
      <c r="G148" t="inlineStr">
        <is>
          <t>Capacity Constraint</t>
        </is>
      </c>
      <c r="H148" t="inlineStr">
        <is>
          <t>Customer Delivery Late</t>
        </is>
      </c>
      <c r="I148" t="inlineStr">
        <is>
          <t>Escalate / Follow up</t>
        </is>
      </c>
    </row>
    <row r="149">
      <c r="A149" t="inlineStr">
        <is>
          <t>ORD-01270</t>
        </is>
      </c>
      <c r="B149" t="inlineStr">
        <is>
          <t>Customer 04</t>
        </is>
      </c>
      <c r="C149" t="inlineStr">
        <is>
          <t>Power Supply</t>
        </is>
      </c>
      <c r="D149" s="14" t="n">
        <v>46144</v>
      </c>
      <c r="E149" s="14" t="n">
        <v>46145</v>
      </c>
      <c r="F149" t="n">
        <v>1</v>
      </c>
      <c r="G149" t="inlineStr">
        <is>
          <t>Carrier Delay</t>
        </is>
      </c>
      <c r="H149" t="inlineStr">
        <is>
          <t>Customer Delivery Late</t>
        </is>
      </c>
      <c r="I149" t="inlineStr">
        <is>
          <t>Escalate / Follow up</t>
        </is>
      </c>
    </row>
    <row r="150">
      <c r="A150" t="inlineStr">
        <is>
          <t>ORD-01275</t>
        </is>
      </c>
      <c r="B150" t="inlineStr">
        <is>
          <t>Customer 23</t>
        </is>
      </c>
      <c r="C150" t="inlineStr">
        <is>
          <t>Drive</t>
        </is>
      </c>
      <c r="D150" s="14" t="n">
        <v>46143</v>
      </c>
      <c r="E150" s="14" t="n">
        <v>46144</v>
      </c>
      <c r="F150" t="n">
        <v>1</v>
      </c>
      <c r="G150" t="inlineStr">
        <is>
          <t>Documentation Issue</t>
        </is>
      </c>
      <c r="H150" t="inlineStr">
        <is>
          <t>Customer Delivery Late</t>
        </is>
      </c>
      <c r="I150" t="inlineStr">
        <is>
          <t>Escalate / Follow up</t>
        </is>
      </c>
    </row>
    <row r="151">
      <c r="A151" t="inlineStr">
        <is>
          <t>ORD-01276</t>
        </is>
      </c>
      <c r="B151" t="inlineStr">
        <is>
          <t>Customer 08</t>
        </is>
      </c>
      <c r="C151" t="inlineStr">
        <is>
          <t>Breaker</t>
        </is>
      </c>
      <c r="D151" s="14" t="n">
        <v>46070</v>
      </c>
      <c r="E151" s="14" t="n">
        <v>46071</v>
      </c>
      <c r="F151" t="n">
        <v>1</v>
      </c>
      <c r="G151" t="inlineStr">
        <is>
          <t>Production Delay</t>
        </is>
      </c>
      <c r="H151" t="inlineStr">
        <is>
          <t>Customer Delivery Late</t>
        </is>
      </c>
      <c r="I151" t="inlineStr">
        <is>
          <t>Escalate / Follow up</t>
        </is>
      </c>
    </row>
    <row r="152">
      <c r="A152" t="inlineStr">
        <is>
          <t>ORD-01278</t>
        </is>
      </c>
      <c r="B152" t="inlineStr">
        <is>
          <t>Customer 18</t>
        </is>
      </c>
      <c r="C152" t="inlineStr">
        <is>
          <t>Relay</t>
        </is>
      </c>
      <c r="D152" s="14" t="n">
        <v>46117</v>
      </c>
      <c r="E152" s="14" t="n">
        <v>46120</v>
      </c>
      <c r="F152" t="n">
        <v>3</v>
      </c>
      <c r="G152" t="inlineStr">
        <is>
          <t>Material Shortage</t>
        </is>
      </c>
      <c r="H152" t="inlineStr">
        <is>
          <t>Customer Delivery Late</t>
        </is>
      </c>
      <c r="I152" t="inlineStr">
        <is>
          <t>Escalate / Follow up</t>
        </is>
      </c>
    </row>
    <row r="153">
      <c r="A153" t="inlineStr">
        <is>
          <t>ORD-01287</t>
        </is>
      </c>
      <c r="B153" t="inlineStr">
        <is>
          <t>Customer 21</t>
        </is>
      </c>
      <c r="C153" t="inlineStr">
        <is>
          <t>Sensor</t>
        </is>
      </c>
      <c r="D153" s="14" t="n">
        <v>46182</v>
      </c>
      <c r="E153" s="14" t="n">
        <v>46187</v>
      </c>
      <c r="F153" t="n">
        <v>5</v>
      </c>
      <c r="G153" t="inlineStr">
        <is>
          <t>Capacity Constraint</t>
        </is>
      </c>
      <c r="H153" t="inlineStr">
        <is>
          <t>Customer Delivery Late</t>
        </is>
      </c>
      <c r="I153" t="inlineStr">
        <is>
          <t>Escalate / Follow up</t>
        </is>
      </c>
    </row>
    <row r="154">
      <c r="A154" t="inlineStr">
        <is>
          <t>ORD-01290</t>
        </is>
      </c>
      <c r="B154" t="inlineStr">
        <is>
          <t>Customer 19</t>
        </is>
      </c>
      <c r="C154" t="inlineStr">
        <is>
          <t>Contactor</t>
        </is>
      </c>
      <c r="D154" s="14" t="n">
        <v>46136</v>
      </c>
      <c r="E154" s="14" t="n">
        <v>46137</v>
      </c>
      <c r="F154" t="n">
        <v>1</v>
      </c>
      <c r="G154" t="inlineStr">
        <is>
          <t>Documentation Issue</t>
        </is>
      </c>
      <c r="H154" t="inlineStr">
        <is>
          <t>Customer Delivery Late</t>
        </is>
      </c>
      <c r="I154" t="inlineStr">
        <is>
          <t>Escalate / Follow up</t>
        </is>
      </c>
    </row>
    <row r="155">
      <c r="A155" t="inlineStr">
        <is>
          <t>ORD-01294</t>
        </is>
      </c>
      <c r="B155" t="inlineStr">
        <is>
          <t>Customer 29</t>
        </is>
      </c>
      <c r="C155" t="inlineStr">
        <is>
          <t>PLC</t>
        </is>
      </c>
      <c r="D155" s="14" t="n">
        <v>46037</v>
      </c>
      <c r="E155" s="14" t="n">
        <v>46038</v>
      </c>
      <c r="F155" t="n">
        <v>1</v>
      </c>
      <c r="G155" t="inlineStr">
        <is>
          <t>Documentation Issue</t>
        </is>
      </c>
      <c r="H155" t="inlineStr">
        <is>
          <t>Customer Delivery Late</t>
        </is>
      </c>
      <c r="I155" t="inlineStr">
        <is>
          <t>Escalate / Follow up</t>
        </is>
      </c>
    </row>
    <row r="156">
      <c r="A156" t="inlineStr">
        <is>
          <t>ORD-01301</t>
        </is>
      </c>
      <c r="B156" t="inlineStr">
        <is>
          <t>Customer 25</t>
        </is>
      </c>
      <c r="C156" t="inlineStr">
        <is>
          <t>Drive</t>
        </is>
      </c>
      <c r="D156" s="14" t="n">
        <v>46223</v>
      </c>
      <c r="E156" s="14" t="n">
        <v>46228</v>
      </c>
      <c r="F156" t="n">
        <v>5</v>
      </c>
      <c r="G156" t="inlineStr">
        <is>
          <t>Production Delay</t>
        </is>
      </c>
      <c r="H156" t="inlineStr">
        <is>
          <t>Customer Delivery Late</t>
        </is>
      </c>
      <c r="I156" t="inlineStr">
        <is>
          <t>Escalate / Follow up</t>
        </is>
      </c>
    </row>
    <row r="157">
      <c r="A157" t="inlineStr">
        <is>
          <t>ORD-01322</t>
        </is>
      </c>
      <c r="B157" t="inlineStr">
        <is>
          <t>Customer 25</t>
        </is>
      </c>
      <c r="C157" t="inlineStr">
        <is>
          <t>Breaker</t>
        </is>
      </c>
      <c r="D157" s="14" t="n">
        <v>46094</v>
      </c>
      <c r="E157" s="14" t="n">
        <v>46095</v>
      </c>
      <c r="F157" t="n">
        <v>1</v>
      </c>
      <c r="G157" t="inlineStr">
        <is>
          <t>Capacity Constraint</t>
        </is>
      </c>
      <c r="H157" t="inlineStr">
        <is>
          <t>Customer Delivery Late</t>
        </is>
      </c>
      <c r="I157" t="inlineStr">
        <is>
          <t>Escalate / Follow up</t>
        </is>
      </c>
    </row>
    <row r="158">
      <c r="A158" t="inlineStr">
        <is>
          <t>ORD-01324</t>
        </is>
      </c>
      <c r="B158" t="inlineStr">
        <is>
          <t>Customer 21</t>
        </is>
      </c>
      <c r="C158" t="inlineStr">
        <is>
          <t>Contactor</t>
        </is>
      </c>
      <c r="D158" s="14" t="n">
        <v>46078</v>
      </c>
      <c r="E158" s="14" t="n">
        <v>46079</v>
      </c>
      <c r="F158" t="n">
        <v>1</v>
      </c>
      <c r="G158" t="inlineStr">
        <is>
          <t>Documentation Issue</t>
        </is>
      </c>
      <c r="H158" t="inlineStr">
        <is>
          <t>Customer Delivery Late</t>
        </is>
      </c>
      <c r="I158" t="inlineStr">
        <is>
          <t>Escalate / Follow up</t>
        </is>
      </c>
    </row>
    <row r="159">
      <c r="A159" t="inlineStr">
        <is>
          <t>ORD-01325</t>
        </is>
      </c>
      <c r="B159" t="inlineStr">
        <is>
          <t>Customer 09</t>
        </is>
      </c>
      <c r="C159" t="inlineStr">
        <is>
          <t>PLC</t>
        </is>
      </c>
      <c r="D159" s="14" t="n">
        <v>46140</v>
      </c>
      <c r="E159" s="14" t="n">
        <v>46141</v>
      </c>
      <c r="F159" t="n">
        <v>1</v>
      </c>
      <c r="G159" t="inlineStr">
        <is>
          <t>Material Shortage</t>
        </is>
      </c>
      <c r="H159" t="inlineStr">
        <is>
          <t>Customer Delivery Late</t>
        </is>
      </c>
      <c r="I159" t="inlineStr">
        <is>
          <t>Escalate / Follow up</t>
        </is>
      </c>
    </row>
    <row r="160">
      <c r="A160" t="inlineStr">
        <is>
          <t>ORD-01339</t>
        </is>
      </c>
      <c r="B160" t="inlineStr">
        <is>
          <t>Customer 28</t>
        </is>
      </c>
      <c r="C160" t="inlineStr">
        <is>
          <t>PLC</t>
        </is>
      </c>
      <c r="D160" s="14" t="n">
        <v>46140</v>
      </c>
      <c r="E160" s="14" t="n">
        <v>46141</v>
      </c>
      <c r="F160" t="n">
        <v>1</v>
      </c>
      <c r="G160" t="inlineStr">
        <is>
          <t>Documentation Issue</t>
        </is>
      </c>
      <c r="H160" t="inlineStr">
        <is>
          <t>Customer Delivery Late</t>
        </is>
      </c>
      <c r="I160" t="inlineStr">
        <is>
          <t>Escalate / Follow up</t>
        </is>
      </c>
    </row>
    <row r="161">
      <c r="A161" t="inlineStr">
        <is>
          <t>ORD-01358</t>
        </is>
      </c>
      <c r="B161" t="inlineStr">
        <is>
          <t>Customer 03</t>
        </is>
      </c>
      <c r="C161" t="inlineStr">
        <is>
          <t>Drive</t>
        </is>
      </c>
      <c r="D161" s="14" t="n">
        <v>46196</v>
      </c>
      <c r="E161" s="14" t="n">
        <v>46197</v>
      </c>
      <c r="F161" t="n">
        <v>1</v>
      </c>
      <c r="G161" t="inlineStr">
        <is>
          <t>Material Shortage</t>
        </is>
      </c>
      <c r="H161" t="inlineStr">
        <is>
          <t>Customer Delivery Late</t>
        </is>
      </c>
      <c r="I161" t="inlineStr">
        <is>
          <t>Escalate / Follow up</t>
        </is>
      </c>
    </row>
    <row r="162">
      <c r="A162" t="inlineStr">
        <is>
          <t>ORD-01360</t>
        </is>
      </c>
      <c r="B162" t="inlineStr">
        <is>
          <t>Customer 28</t>
        </is>
      </c>
      <c r="C162" t="inlineStr">
        <is>
          <t>Relay</t>
        </is>
      </c>
      <c r="D162" s="14" t="n">
        <v>46165</v>
      </c>
      <c r="E162" s="14" t="n">
        <v>46170</v>
      </c>
      <c r="F162" t="n">
        <v>5</v>
      </c>
      <c r="G162" t="inlineStr">
        <is>
          <t>Carrier Delay</t>
        </is>
      </c>
      <c r="H162" t="inlineStr">
        <is>
          <t>Customer Delivery Late</t>
        </is>
      </c>
      <c r="I162" t="inlineStr">
        <is>
          <t>Escalate / Follow up</t>
        </is>
      </c>
    </row>
    <row r="163">
      <c r="A163" t="inlineStr">
        <is>
          <t>ORD-01361</t>
        </is>
      </c>
      <c r="B163" t="inlineStr">
        <is>
          <t>Customer 02</t>
        </is>
      </c>
      <c r="C163" t="inlineStr">
        <is>
          <t>Relay</t>
        </is>
      </c>
      <c r="D163" s="14" t="n">
        <v>46048</v>
      </c>
      <c r="E163" s="14" t="n">
        <v>46049</v>
      </c>
      <c r="F163" t="n">
        <v>1</v>
      </c>
      <c r="G163" t="inlineStr">
        <is>
          <t>Capacity Constraint</t>
        </is>
      </c>
      <c r="H163" t="inlineStr">
        <is>
          <t>Customer Delivery Late</t>
        </is>
      </c>
      <c r="I163" t="inlineStr">
        <is>
          <t>Escalate / Follow up</t>
        </is>
      </c>
    </row>
    <row r="164">
      <c r="A164" t="inlineStr">
        <is>
          <t>ORD-01375</t>
        </is>
      </c>
      <c r="B164" t="inlineStr">
        <is>
          <t>Customer 19</t>
        </is>
      </c>
      <c r="C164" t="inlineStr">
        <is>
          <t>PLC</t>
        </is>
      </c>
      <c r="D164" s="14" t="n">
        <v>46101</v>
      </c>
      <c r="E164" s="14" t="n">
        <v>46102</v>
      </c>
      <c r="F164" t="n">
        <v>1</v>
      </c>
      <c r="G164" t="inlineStr">
        <is>
          <t>Capacity Constraint</t>
        </is>
      </c>
      <c r="H164" t="inlineStr">
        <is>
          <t>Customer Delivery Late</t>
        </is>
      </c>
      <c r="I164" t="inlineStr">
        <is>
          <t>Escalate / Follow up</t>
        </is>
      </c>
    </row>
    <row r="165">
      <c r="A165" t="inlineStr">
        <is>
          <t>ORD-01381</t>
        </is>
      </c>
      <c r="B165" t="inlineStr">
        <is>
          <t>Customer 29</t>
        </is>
      </c>
      <c r="C165" t="inlineStr">
        <is>
          <t>Breaker</t>
        </is>
      </c>
      <c r="D165" s="14" t="n">
        <v>46057</v>
      </c>
      <c r="E165" s="14" t="n">
        <v>46058</v>
      </c>
      <c r="F165" t="n">
        <v>1</v>
      </c>
      <c r="G165" t="inlineStr">
        <is>
          <t>Material Shortage</t>
        </is>
      </c>
      <c r="H165" t="inlineStr">
        <is>
          <t>Customer Delivery Late</t>
        </is>
      </c>
      <c r="I165" t="inlineStr">
        <is>
          <t>Escalate / Follow up</t>
        </is>
      </c>
    </row>
    <row r="166">
      <c r="A166" t="inlineStr">
        <is>
          <t>ORD-01390</t>
        </is>
      </c>
      <c r="B166" t="inlineStr">
        <is>
          <t>Customer 06</t>
        </is>
      </c>
      <c r="C166" t="inlineStr">
        <is>
          <t>Contactor</t>
        </is>
      </c>
      <c r="D166" s="14" t="n">
        <v>46036</v>
      </c>
      <c r="E166" s="14" t="n">
        <v>46037</v>
      </c>
      <c r="F166" t="n">
        <v>1</v>
      </c>
      <c r="G166" t="inlineStr">
        <is>
          <t>Carrier Delay</t>
        </is>
      </c>
      <c r="H166" t="inlineStr">
        <is>
          <t>Customer Delivery Late</t>
        </is>
      </c>
      <c r="I166" t="inlineStr">
        <is>
          <t>Escalate / Follow up</t>
        </is>
      </c>
    </row>
    <row r="167">
      <c r="A167" t="inlineStr">
        <is>
          <t>ORD-01400</t>
        </is>
      </c>
      <c r="B167" t="inlineStr">
        <is>
          <t>Customer 13</t>
        </is>
      </c>
      <c r="C167" t="inlineStr">
        <is>
          <t>Sensor</t>
        </is>
      </c>
      <c r="D167" s="14" t="n">
        <v>46060</v>
      </c>
      <c r="E167" s="14" t="n">
        <v>46061</v>
      </c>
      <c r="F167" t="n">
        <v>1</v>
      </c>
      <c r="G167" t="inlineStr">
        <is>
          <t>Documentation Issue</t>
        </is>
      </c>
      <c r="H167" t="inlineStr">
        <is>
          <t>Customer Delivery Late</t>
        </is>
      </c>
      <c r="I167" t="inlineStr">
        <is>
          <t>Escalate / Follow up</t>
        </is>
      </c>
    </row>
    <row r="168">
      <c r="A168" t="inlineStr">
        <is>
          <t>ORD-01403</t>
        </is>
      </c>
      <c r="B168" t="inlineStr">
        <is>
          <t>Customer 06</t>
        </is>
      </c>
      <c r="C168" t="inlineStr">
        <is>
          <t>Contactor</t>
        </is>
      </c>
      <c r="D168" s="14" t="n">
        <v>46049</v>
      </c>
      <c r="E168" s="14" t="n">
        <v>46054</v>
      </c>
      <c r="F168" t="n">
        <v>5</v>
      </c>
      <c r="G168" t="inlineStr">
        <is>
          <t>Documentation Issue</t>
        </is>
      </c>
      <c r="H168" t="inlineStr">
        <is>
          <t>Customer Delivery Late</t>
        </is>
      </c>
      <c r="I168" t="inlineStr">
        <is>
          <t>Escalate / Follow up</t>
        </is>
      </c>
    </row>
    <row r="169">
      <c r="A169" t="inlineStr">
        <is>
          <t>ORD-01405</t>
        </is>
      </c>
      <c r="B169" t="inlineStr">
        <is>
          <t>Customer 30</t>
        </is>
      </c>
      <c r="C169" t="inlineStr">
        <is>
          <t>Sensor</t>
        </is>
      </c>
      <c r="D169" s="14" t="n">
        <v>46171</v>
      </c>
      <c r="E169" s="14" t="n">
        <v>46172</v>
      </c>
      <c r="F169" t="n">
        <v>1</v>
      </c>
      <c r="G169" t="inlineStr">
        <is>
          <t>Documentation Issue</t>
        </is>
      </c>
      <c r="H169" t="inlineStr">
        <is>
          <t>Customer Delivery Late</t>
        </is>
      </c>
      <c r="I169" t="inlineStr">
        <is>
          <t>Escalate / Follow up</t>
        </is>
      </c>
    </row>
    <row r="170">
      <c r="A170" t="inlineStr">
        <is>
          <t>ORD-01408</t>
        </is>
      </c>
      <c r="B170" t="inlineStr">
        <is>
          <t>Customer 21</t>
        </is>
      </c>
      <c r="C170" t="inlineStr">
        <is>
          <t>Sensor</t>
        </is>
      </c>
      <c r="D170" s="14" t="n">
        <v>46203</v>
      </c>
      <c r="E170" s="14" t="n">
        <v>46204</v>
      </c>
      <c r="F170" t="n">
        <v>1</v>
      </c>
      <c r="G170" t="inlineStr">
        <is>
          <t>Customer Change</t>
        </is>
      </c>
      <c r="H170" t="inlineStr">
        <is>
          <t>Customer Delivery Late</t>
        </is>
      </c>
      <c r="I170" t="inlineStr">
        <is>
          <t>Escalate / Follow up</t>
        </is>
      </c>
    </row>
    <row r="171">
      <c r="A171" t="inlineStr">
        <is>
          <t>ORD-01412</t>
        </is>
      </c>
      <c r="B171" t="inlineStr">
        <is>
          <t>Customer 20</t>
        </is>
      </c>
      <c r="C171" t="inlineStr">
        <is>
          <t>Switchgear</t>
        </is>
      </c>
      <c r="D171" s="14" t="n">
        <v>46080</v>
      </c>
      <c r="E171" s="14" t="n">
        <v>46081</v>
      </c>
      <c r="F171" t="n">
        <v>1</v>
      </c>
      <c r="G171" t="inlineStr">
        <is>
          <t>Material Shortage</t>
        </is>
      </c>
      <c r="H171" t="inlineStr">
        <is>
          <t>Customer Delivery Late</t>
        </is>
      </c>
      <c r="I171" t="inlineStr">
        <is>
          <t>Escalate / Follow up</t>
        </is>
      </c>
    </row>
    <row r="172">
      <c r="A172" t="inlineStr">
        <is>
          <t>ORD-01424</t>
        </is>
      </c>
      <c r="B172" t="inlineStr">
        <is>
          <t>Customer 05</t>
        </is>
      </c>
      <c r="C172" t="inlineStr">
        <is>
          <t>Sensor</t>
        </is>
      </c>
      <c r="D172" s="14" t="n">
        <v>46181</v>
      </c>
      <c r="E172" s="14" t="n">
        <v>46182</v>
      </c>
      <c r="F172" t="n">
        <v>1</v>
      </c>
      <c r="G172" t="inlineStr">
        <is>
          <t>Documentation Issue</t>
        </is>
      </c>
      <c r="H172" t="inlineStr">
        <is>
          <t>Customer Delivery Late</t>
        </is>
      </c>
      <c r="I172" t="inlineStr">
        <is>
          <t>Escalate / Follow up</t>
        </is>
      </c>
    </row>
    <row r="173">
      <c r="A173" t="inlineStr">
        <is>
          <t>ORD-01426</t>
        </is>
      </c>
      <c r="B173" t="inlineStr">
        <is>
          <t>Customer 24</t>
        </is>
      </c>
      <c r="C173" t="inlineStr">
        <is>
          <t>Power Supply</t>
        </is>
      </c>
      <c r="D173" s="14" t="n">
        <v>46201</v>
      </c>
      <c r="E173" s="14" t="n">
        <v>46204</v>
      </c>
      <c r="F173" t="n">
        <v>3</v>
      </c>
      <c r="G173" t="inlineStr">
        <is>
          <t>Documentation Issue</t>
        </is>
      </c>
      <c r="H173" t="inlineStr">
        <is>
          <t>Customer Delivery Late</t>
        </is>
      </c>
      <c r="I173" t="inlineStr">
        <is>
          <t>Escalate / Follow up</t>
        </is>
      </c>
    </row>
    <row r="174">
      <c r="A174" t="inlineStr">
        <is>
          <t>ORD-01440</t>
        </is>
      </c>
      <c r="B174" t="inlineStr">
        <is>
          <t>Customer 30</t>
        </is>
      </c>
      <c r="C174" t="inlineStr">
        <is>
          <t>Breaker</t>
        </is>
      </c>
      <c r="D174" s="14" t="n">
        <v>46216</v>
      </c>
      <c r="E174" s="14" t="n">
        <v>46217</v>
      </c>
      <c r="F174" t="n">
        <v>1</v>
      </c>
      <c r="G174" t="inlineStr">
        <is>
          <t>Production Delay</t>
        </is>
      </c>
      <c r="H174" t="inlineStr">
        <is>
          <t>Customer Delivery Late</t>
        </is>
      </c>
      <c r="I174" t="inlineStr">
        <is>
          <t>Escalate / Follow up</t>
        </is>
      </c>
    </row>
    <row r="175">
      <c r="A175" t="inlineStr">
        <is>
          <t>ORD-01447</t>
        </is>
      </c>
      <c r="B175" t="inlineStr">
        <is>
          <t>Customer 12</t>
        </is>
      </c>
      <c r="C175" t="inlineStr">
        <is>
          <t>Sensor</t>
        </is>
      </c>
      <c r="D175" s="14" t="n">
        <v>46111</v>
      </c>
      <c r="E175" s="14" t="n">
        <v>46112</v>
      </c>
      <c r="F175" t="n">
        <v>1</v>
      </c>
      <c r="G175" t="inlineStr">
        <is>
          <t>Carrier Delay</t>
        </is>
      </c>
      <c r="H175" t="inlineStr">
        <is>
          <t>Customer Delivery Late</t>
        </is>
      </c>
      <c r="I175" t="inlineStr">
        <is>
          <t>Escalate / Follow up</t>
        </is>
      </c>
    </row>
    <row r="176">
      <c r="A176" t="inlineStr">
        <is>
          <t>ORD-01449</t>
        </is>
      </c>
      <c r="B176" t="inlineStr">
        <is>
          <t>Customer 15</t>
        </is>
      </c>
      <c r="C176" t="inlineStr">
        <is>
          <t>Switchgear</t>
        </is>
      </c>
      <c r="D176" s="14" t="n">
        <v>46151</v>
      </c>
      <c r="E176" s="14" t="n">
        <v>46152</v>
      </c>
      <c r="F176" t="n">
        <v>1</v>
      </c>
      <c r="G176" t="inlineStr">
        <is>
          <t>Material Shortage</t>
        </is>
      </c>
      <c r="H176" t="inlineStr">
        <is>
          <t>Customer Delivery Late</t>
        </is>
      </c>
      <c r="I176" t="inlineStr">
        <is>
          <t>Escalate / Follow up</t>
        </is>
      </c>
    </row>
    <row r="177">
      <c r="A177" t="inlineStr">
        <is>
          <t>ORD-01456</t>
        </is>
      </c>
      <c r="B177" t="inlineStr">
        <is>
          <t>Customer 19</t>
        </is>
      </c>
      <c r="C177" t="inlineStr">
        <is>
          <t>Relay</t>
        </is>
      </c>
      <c r="D177" s="14" t="n">
        <v>46160</v>
      </c>
      <c r="E177" s="14" t="n">
        <v>46161</v>
      </c>
      <c r="F177" t="n">
        <v>1</v>
      </c>
      <c r="G177" t="inlineStr">
        <is>
          <t>Documentation Issue</t>
        </is>
      </c>
      <c r="H177" t="inlineStr">
        <is>
          <t>Customer Delivery Late</t>
        </is>
      </c>
      <c r="I177" t="inlineStr">
        <is>
          <t>Escalate / Follow up</t>
        </is>
      </c>
    </row>
    <row r="178">
      <c r="A178" t="inlineStr">
        <is>
          <t>ORD-01467</t>
        </is>
      </c>
      <c r="B178" t="inlineStr">
        <is>
          <t>Customer 20</t>
        </is>
      </c>
      <c r="C178" t="inlineStr">
        <is>
          <t>Breaker</t>
        </is>
      </c>
      <c r="D178" s="14" t="n">
        <v>46113</v>
      </c>
      <c r="E178" s="14" t="n">
        <v>46114</v>
      </c>
      <c r="F178" t="n">
        <v>1</v>
      </c>
      <c r="G178" t="inlineStr">
        <is>
          <t>Capacity Constraint</t>
        </is>
      </c>
      <c r="H178" t="inlineStr">
        <is>
          <t>Customer Delivery Late</t>
        </is>
      </c>
      <c r="I178" t="inlineStr">
        <is>
          <t>Escalate / Follow up</t>
        </is>
      </c>
    </row>
    <row r="179">
      <c r="A179" t="inlineStr">
        <is>
          <t>ORD-01482</t>
        </is>
      </c>
      <c r="B179" t="inlineStr">
        <is>
          <t>Customer 10</t>
        </is>
      </c>
      <c r="C179" t="inlineStr">
        <is>
          <t>PLC</t>
        </is>
      </c>
      <c r="D179" s="14" t="n">
        <v>46113</v>
      </c>
      <c r="E179" s="14" t="n">
        <v>46114</v>
      </c>
      <c r="F179" t="n">
        <v>1</v>
      </c>
      <c r="G179" t="inlineStr">
        <is>
          <t>Customer Change</t>
        </is>
      </c>
      <c r="H179" t="inlineStr">
        <is>
          <t>Customer Delivery Late</t>
        </is>
      </c>
      <c r="I179" t="inlineStr">
        <is>
          <t>Escalate / Follow up</t>
        </is>
      </c>
    </row>
    <row r="180">
      <c r="A180" t="inlineStr">
        <is>
          <t>ORD-01493</t>
        </is>
      </c>
      <c r="B180" t="inlineStr">
        <is>
          <t>Customer 30</t>
        </is>
      </c>
      <c r="C180" t="inlineStr">
        <is>
          <t>Breaker</t>
        </is>
      </c>
      <c r="D180" s="14" t="n">
        <v>46030</v>
      </c>
      <c r="E180" s="14" t="n">
        <v>46034</v>
      </c>
      <c r="F180" t="n">
        <v>4</v>
      </c>
      <c r="G180" t="inlineStr">
        <is>
          <t>Customer Change</t>
        </is>
      </c>
      <c r="H180" t="inlineStr">
        <is>
          <t>Customer Delivery Late</t>
        </is>
      </c>
      <c r="I180" t="inlineStr">
        <is>
          <t>Escalate / Follow up</t>
        </is>
      </c>
    </row>
    <row r="181">
      <c r="A181" t="inlineStr">
        <is>
          <t>ORD-01494</t>
        </is>
      </c>
      <c r="B181" t="inlineStr">
        <is>
          <t>Customer 10</t>
        </is>
      </c>
      <c r="C181" t="inlineStr">
        <is>
          <t>Breaker</t>
        </is>
      </c>
      <c r="D181" s="14" t="n">
        <v>46087</v>
      </c>
      <c r="E181" s="14" t="n">
        <v>46093</v>
      </c>
      <c r="F181" t="n">
        <v>6</v>
      </c>
      <c r="G181" t="inlineStr">
        <is>
          <t>Documentation Issue</t>
        </is>
      </c>
      <c r="H181" t="inlineStr">
        <is>
          <t>Customer Delivery Late</t>
        </is>
      </c>
      <c r="I181" t="inlineStr">
        <is>
          <t>Escalate / Follow up</t>
        </is>
      </c>
    </row>
    <row r="182">
      <c r="A182" t="inlineStr">
        <is>
          <t>ORD-01501</t>
        </is>
      </c>
      <c r="B182" t="inlineStr">
        <is>
          <t>Customer 13</t>
        </is>
      </c>
      <c r="C182" t="inlineStr">
        <is>
          <t>Relay</t>
        </is>
      </c>
      <c r="D182" s="14" t="n">
        <v>46182</v>
      </c>
      <c r="E182" s="14" t="n">
        <v>46186</v>
      </c>
      <c r="F182" t="n">
        <v>4</v>
      </c>
      <c r="G182" t="inlineStr">
        <is>
          <t>Documentation Issue</t>
        </is>
      </c>
      <c r="H182" t="inlineStr">
        <is>
          <t>Customer Delivery Late</t>
        </is>
      </c>
      <c r="I182" t="inlineStr">
        <is>
          <t>Escalate / Follow up</t>
        </is>
      </c>
    </row>
    <row r="183">
      <c r="A183" t="inlineStr">
        <is>
          <t>ORD-01510</t>
        </is>
      </c>
      <c r="B183" t="inlineStr">
        <is>
          <t>Customer 25</t>
        </is>
      </c>
      <c r="C183" t="inlineStr">
        <is>
          <t>Contactor</t>
        </is>
      </c>
      <c r="D183" s="14" t="n">
        <v>46179</v>
      </c>
      <c r="E183" s="14" t="n">
        <v>46180</v>
      </c>
      <c r="F183" t="n">
        <v>1</v>
      </c>
      <c r="G183" t="inlineStr">
        <is>
          <t>Material Shortage</t>
        </is>
      </c>
      <c r="H183" t="inlineStr">
        <is>
          <t>Customer Delivery Late</t>
        </is>
      </c>
      <c r="I183" t="inlineStr">
        <is>
          <t>Escalate / Follow up</t>
        </is>
      </c>
    </row>
    <row r="184">
      <c r="A184" t="inlineStr">
        <is>
          <t>ORD-01511</t>
        </is>
      </c>
      <c r="B184" t="inlineStr">
        <is>
          <t>Customer 16</t>
        </is>
      </c>
      <c r="C184" t="inlineStr">
        <is>
          <t>Relay</t>
        </is>
      </c>
      <c r="D184" s="14" t="n">
        <v>46133</v>
      </c>
      <c r="E184" s="14" t="n">
        <v>46134</v>
      </c>
      <c r="F184" t="n">
        <v>1</v>
      </c>
      <c r="G184" t="inlineStr">
        <is>
          <t>Customer Change</t>
        </is>
      </c>
      <c r="H184" t="inlineStr">
        <is>
          <t>Customer Delivery Late</t>
        </is>
      </c>
      <c r="I184" t="inlineStr">
        <is>
          <t>Escalate / Follow up</t>
        </is>
      </c>
    </row>
    <row r="185">
      <c r="A185" t="inlineStr">
        <is>
          <t>ORD-01524</t>
        </is>
      </c>
      <c r="B185" t="inlineStr">
        <is>
          <t>Customer 01</t>
        </is>
      </c>
      <c r="C185" t="inlineStr">
        <is>
          <t>Sensor</t>
        </is>
      </c>
      <c r="D185" s="14" t="n">
        <v>46153</v>
      </c>
      <c r="E185" s="14" t="n">
        <v>46158</v>
      </c>
      <c r="F185" t="n">
        <v>5</v>
      </c>
      <c r="G185" t="inlineStr">
        <is>
          <t>Carrier Delay</t>
        </is>
      </c>
      <c r="H185" t="inlineStr">
        <is>
          <t>Customer Delivery Late</t>
        </is>
      </c>
      <c r="I185" t="inlineStr">
        <is>
          <t>Escalate / Follow up</t>
        </is>
      </c>
    </row>
    <row r="186">
      <c r="A186" t="inlineStr">
        <is>
          <t>ORD-01530</t>
        </is>
      </c>
      <c r="B186" t="inlineStr">
        <is>
          <t>Customer 11</t>
        </is>
      </c>
      <c r="C186" t="inlineStr">
        <is>
          <t>Switchgear</t>
        </is>
      </c>
      <c r="D186" s="14" t="n">
        <v>46131</v>
      </c>
      <c r="E186" s="14" t="n">
        <v>46132</v>
      </c>
      <c r="F186" t="n">
        <v>1</v>
      </c>
      <c r="G186" t="inlineStr">
        <is>
          <t>Documentation Issue</t>
        </is>
      </c>
      <c r="H186" t="inlineStr">
        <is>
          <t>Customer Delivery Late</t>
        </is>
      </c>
      <c r="I186" t="inlineStr">
        <is>
          <t>Escalate / Follow up</t>
        </is>
      </c>
    </row>
    <row r="187">
      <c r="A187" t="inlineStr">
        <is>
          <t>ORD-01531</t>
        </is>
      </c>
      <c r="B187" t="inlineStr">
        <is>
          <t>Customer 13</t>
        </is>
      </c>
      <c r="C187" t="inlineStr">
        <is>
          <t>Power Supply</t>
        </is>
      </c>
      <c r="D187" s="14" t="n">
        <v>46119</v>
      </c>
      <c r="E187" s="14" t="n">
        <v>46127</v>
      </c>
      <c r="F187" t="n">
        <v>8</v>
      </c>
      <c r="G187" t="inlineStr">
        <is>
          <t>Carrier Delay</t>
        </is>
      </c>
      <c r="H187" t="inlineStr">
        <is>
          <t>Customer Delivery Late</t>
        </is>
      </c>
      <c r="I187" t="inlineStr">
        <is>
          <t>Escalate / Follow up</t>
        </is>
      </c>
    </row>
    <row r="188">
      <c r="A188" t="inlineStr">
        <is>
          <t>ORD-01561</t>
        </is>
      </c>
      <c r="B188" t="inlineStr">
        <is>
          <t>Customer 27</t>
        </is>
      </c>
      <c r="C188" t="inlineStr">
        <is>
          <t>PLC</t>
        </is>
      </c>
      <c r="D188" s="14" t="n">
        <v>46200</v>
      </c>
      <c r="E188" s="14" t="n">
        <v>46201</v>
      </c>
      <c r="F188" t="n">
        <v>1</v>
      </c>
      <c r="G188" t="inlineStr">
        <is>
          <t>Production Delay</t>
        </is>
      </c>
      <c r="H188" t="inlineStr">
        <is>
          <t>Customer Delivery Late</t>
        </is>
      </c>
      <c r="I188" t="inlineStr">
        <is>
          <t>Escalate / Follow up</t>
        </is>
      </c>
    </row>
    <row r="189">
      <c r="A189" t="inlineStr">
        <is>
          <t>ORD-01569</t>
        </is>
      </c>
      <c r="B189" t="inlineStr">
        <is>
          <t>Customer 27</t>
        </is>
      </c>
      <c r="C189" t="inlineStr">
        <is>
          <t>Drive</t>
        </is>
      </c>
      <c r="D189" s="14" t="n">
        <v>46146</v>
      </c>
      <c r="E189" s="14" t="n">
        <v>46153</v>
      </c>
      <c r="F189" t="n">
        <v>7</v>
      </c>
      <c r="G189" t="inlineStr">
        <is>
          <t>Capacity Constraint</t>
        </is>
      </c>
      <c r="H189" t="inlineStr">
        <is>
          <t>Customer Delivery Late</t>
        </is>
      </c>
      <c r="I189" t="inlineStr">
        <is>
          <t>Escalate / Follow up</t>
        </is>
      </c>
    </row>
    <row r="190">
      <c r="A190" t="inlineStr">
        <is>
          <t>ORD-01584</t>
        </is>
      </c>
      <c r="B190" t="inlineStr">
        <is>
          <t>Customer 19</t>
        </is>
      </c>
      <c r="C190" t="inlineStr">
        <is>
          <t>Contactor</t>
        </is>
      </c>
      <c r="D190" s="14" t="n">
        <v>46078</v>
      </c>
      <c r="E190" s="14" t="n">
        <v>46081</v>
      </c>
      <c r="F190" t="n">
        <v>3</v>
      </c>
      <c r="G190" t="inlineStr">
        <is>
          <t>Documentation Issue</t>
        </is>
      </c>
      <c r="H190" t="inlineStr">
        <is>
          <t>Customer Delivery Late</t>
        </is>
      </c>
      <c r="I190" t="inlineStr">
        <is>
          <t>Escalate / Follow up</t>
        </is>
      </c>
    </row>
    <row r="191">
      <c r="A191" t="inlineStr">
        <is>
          <t>ORD-01602</t>
        </is>
      </c>
      <c r="B191" t="inlineStr">
        <is>
          <t>Customer 05</t>
        </is>
      </c>
      <c r="C191" t="inlineStr">
        <is>
          <t>Sensor</t>
        </is>
      </c>
      <c r="D191" s="14" t="n">
        <v>46053</v>
      </c>
      <c r="E191" s="14" t="n">
        <v>46054</v>
      </c>
      <c r="F191" t="n">
        <v>1</v>
      </c>
      <c r="G191" t="inlineStr">
        <is>
          <t>Production Delay</t>
        </is>
      </c>
      <c r="H191" t="inlineStr">
        <is>
          <t>Customer Delivery Late</t>
        </is>
      </c>
      <c r="I191" t="inlineStr">
        <is>
          <t>Escalate / Follow up</t>
        </is>
      </c>
    </row>
    <row r="192">
      <c r="A192" t="inlineStr">
        <is>
          <t>ORD-01614</t>
        </is>
      </c>
      <c r="B192" t="inlineStr">
        <is>
          <t>Customer 13</t>
        </is>
      </c>
      <c r="C192" t="inlineStr">
        <is>
          <t>PLC</t>
        </is>
      </c>
      <c r="D192" s="14" t="n">
        <v>46043</v>
      </c>
      <c r="E192" s="14" t="n">
        <v>46044</v>
      </c>
      <c r="F192" t="n">
        <v>1</v>
      </c>
      <c r="G192" t="inlineStr">
        <is>
          <t>Capacity Constraint</t>
        </is>
      </c>
      <c r="H192" t="inlineStr">
        <is>
          <t>Customer Delivery Late</t>
        </is>
      </c>
      <c r="I192" t="inlineStr">
        <is>
          <t>Escalate / Follow up</t>
        </is>
      </c>
    </row>
    <row r="193">
      <c r="A193" t="inlineStr">
        <is>
          <t>ORD-01615</t>
        </is>
      </c>
      <c r="B193" t="inlineStr">
        <is>
          <t>Customer 18</t>
        </is>
      </c>
      <c r="C193" t="inlineStr">
        <is>
          <t>Relay</t>
        </is>
      </c>
      <c r="D193" s="14" t="n">
        <v>46049</v>
      </c>
      <c r="E193" s="14" t="n">
        <v>46050</v>
      </c>
      <c r="F193" t="n">
        <v>1</v>
      </c>
      <c r="G193" t="inlineStr">
        <is>
          <t>Carrier Delay</t>
        </is>
      </c>
      <c r="H193" t="inlineStr">
        <is>
          <t>Customer Delivery Late</t>
        </is>
      </c>
      <c r="I193" t="inlineStr">
        <is>
          <t>Escalate / Follow up</t>
        </is>
      </c>
    </row>
    <row r="194">
      <c r="A194" t="inlineStr">
        <is>
          <t>ORD-01629</t>
        </is>
      </c>
      <c r="B194" t="inlineStr">
        <is>
          <t>Customer 11</t>
        </is>
      </c>
      <c r="C194" t="inlineStr">
        <is>
          <t>Relay</t>
        </is>
      </c>
      <c r="D194" s="14" t="n">
        <v>46043</v>
      </c>
      <c r="E194" s="14" t="n">
        <v>46044</v>
      </c>
      <c r="F194" t="n">
        <v>1</v>
      </c>
      <c r="G194" t="inlineStr">
        <is>
          <t>Material Shortage</t>
        </is>
      </c>
      <c r="H194" t="inlineStr">
        <is>
          <t>Customer Delivery Late</t>
        </is>
      </c>
      <c r="I194" t="inlineStr">
        <is>
          <t>Escalate / Follow up</t>
        </is>
      </c>
    </row>
    <row r="195">
      <c r="A195" t="inlineStr">
        <is>
          <t>ORD-01643</t>
        </is>
      </c>
      <c r="B195" t="inlineStr">
        <is>
          <t>Customer 23</t>
        </is>
      </c>
      <c r="C195" t="inlineStr">
        <is>
          <t>Drive</t>
        </is>
      </c>
      <c r="D195" s="14" t="n">
        <v>46144</v>
      </c>
      <c r="E195" s="14" t="n">
        <v>46145</v>
      </c>
      <c r="F195" t="n">
        <v>1</v>
      </c>
      <c r="G195" t="inlineStr">
        <is>
          <t>Carrier Delay</t>
        </is>
      </c>
      <c r="H195" t="inlineStr">
        <is>
          <t>Customer Delivery Late</t>
        </is>
      </c>
      <c r="I195" t="inlineStr">
        <is>
          <t>Escalate / Follow up</t>
        </is>
      </c>
    </row>
    <row r="196">
      <c r="A196" t="inlineStr">
        <is>
          <t>ORD-01658</t>
        </is>
      </c>
      <c r="B196" t="inlineStr">
        <is>
          <t>Customer 17</t>
        </is>
      </c>
      <c r="C196" t="inlineStr">
        <is>
          <t>Sensor</t>
        </is>
      </c>
      <c r="D196" s="14" t="n">
        <v>46096</v>
      </c>
      <c r="E196" s="14" t="n">
        <v>46099</v>
      </c>
      <c r="F196" t="n">
        <v>3</v>
      </c>
      <c r="G196" t="inlineStr">
        <is>
          <t>Capacity Constraint</t>
        </is>
      </c>
      <c r="H196" t="inlineStr">
        <is>
          <t>Customer Delivery Late</t>
        </is>
      </c>
      <c r="I196" t="inlineStr">
        <is>
          <t>Escalate / Follow up</t>
        </is>
      </c>
    </row>
    <row r="197">
      <c r="A197" t="inlineStr">
        <is>
          <t>ORD-01692</t>
        </is>
      </c>
      <c r="B197" t="inlineStr">
        <is>
          <t>Customer 07</t>
        </is>
      </c>
      <c r="C197" t="inlineStr">
        <is>
          <t>Sensor</t>
        </is>
      </c>
      <c r="D197" s="14" t="n">
        <v>46114</v>
      </c>
      <c r="E197" s="14" t="n">
        <v>46117</v>
      </c>
      <c r="F197" t="n">
        <v>3</v>
      </c>
      <c r="G197" t="inlineStr">
        <is>
          <t>Production Delay</t>
        </is>
      </c>
      <c r="H197" t="inlineStr">
        <is>
          <t>Customer Delivery Late</t>
        </is>
      </c>
      <c r="I197" t="inlineStr">
        <is>
          <t>Escalate / Follow up</t>
        </is>
      </c>
    </row>
    <row r="198">
      <c r="A198" t="inlineStr">
        <is>
          <t>ORD-01698</t>
        </is>
      </c>
      <c r="B198" t="inlineStr">
        <is>
          <t>Customer 05</t>
        </is>
      </c>
      <c r="C198" t="inlineStr">
        <is>
          <t>Contactor</t>
        </is>
      </c>
      <c r="D198" s="14" t="n">
        <v>46101</v>
      </c>
      <c r="E198" s="14" t="n">
        <v>46103</v>
      </c>
      <c r="F198" t="n">
        <v>2</v>
      </c>
      <c r="G198" t="inlineStr">
        <is>
          <t>Capacity Constraint</t>
        </is>
      </c>
      <c r="H198" t="inlineStr">
        <is>
          <t>Customer Delivery Late</t>
        </is>
      </c>
      <c r="I198" t="inlineStr">
        <is>
          <t>Escalate / Follow up</t>
        </is>
      </c>
    </row>
    <row r="199">
      <c r="A199" t="inlineStr">
        <is>
          <t>ORD-01710</t>
        </is>
      </c>
      <c r="B199" t="inlineStr">
        <is>
          <t>Customer 21</t>
        </is>
      </c>
      <c r="C199" t="inlineStr">
        <is>
          <t>PLC</t>
        </is>
      </c>
      <c r="D199" s="14" t="n">
        <v>46116</v>
      </c>
      <c r="E199" s="14" t="n">
        <v>46117</v>
      </c>
      <c r="F199" t="n">
        <v>1</v>
      </c>
      <c r="G199" t="inlineStr">
        <is>
          <t>Production Delay</t>
        </is>
      </c>
      <c r="H199" t="inlineStr">
        <is>
          <t>Customer Delivery Late</t>
        </is>
      </c>
      <c r="I199" t="inlineStr">
        <is>
          <t>Escalate / Follow up</t>
        </is>
      </c>
    </row>
    <row r="200">
      <c r="A200" t="inlineStr">
        <is>
          <t>ORD-01711</t>
        </is>
      </c>
      <c r="B200" t="inlineStr">
        <is>
          <t>Customer 09</t>
        </is>
      </c>
      <c r="C200" t="inlineStr">
        <is>
          <t>Drive</t>
        </is>
      </c>
      <c r="D200" s="14" t="n">
        <v>46032</v>
      </c>
      <c r="E200" s="14" t="n">
        <v>46033</v>
      </c>
      <c r="F200" t="n">
        <v>1</v>
      </c>
      <c r="G200" t="inlineStr">
        <is>
          <t>Documentation Issue</t>
        </is>
      </c>
      <c r="H200" t="inlineStr">
        <is>
          <t>Customer Delivery Late</t>
        </is>
      </c>
      <c r="I200" t="inlineStr">
        <is>
          <t>Escalate / Follow up</t>
        </is>
      </c>
    </row>
    <row r="201">
      <c r="A201" t="inlineStr">
        <is>
          <t>ORD-01712</t>
        </is>
      </c>
      <c r="B201" t="inlineStr">
        <is>
          <t>Customer 06</t>
        </is>
      </c>
      <c r="C201" t="inlineStr">
        <is>
          <t>Contactor</t>
        </is>
      </c>
      <c r="D201" s="14" t="n">
        <v>46197</v>
      </c>
      <c r="E201" s="14" t="n">
        <v>46200</v>
      </c>
      <c r="F201" t="n">
        <v>3</v>
      </c>
      <c r="G201" t="inlineStr">
        <is>
          <t>Material Shortage</t>
        </is>
      </c>
      <c r="H201" t="inlineStr">
        <is>
          <t>Customer Delivery Late</t>
        </is>
      </c>
      <c r="I201" t="inlineStr">
        <is>
          <t>Escalate / Follow up</t>
        </is>
      </c>
    </row>
    <row r="202">
      <c r="A202" t="inlineStr">
        <is>
          <t>ORD-01718</t>
        </is>
      </c>
      <c r="B202" t="inlineStr">
        <is>
          <t>Customer 24</t>
        </is>
      </c>
      <c r="C202" t="inlineStr">
        <is>
          <t>PLC</t>
        </is>
      </c>
      <c r="D202" s="14" t="n">
        <v>46116</v>
      </c>
      <c r="E202" s="14" t="n">
        <v>46120</v>
      </c>
      <c r="F202" t="n">
        <v>4</v>
      </c>
      <c r="G202" t="inlineStr">
        <is>
          <t>Customer Change</t>
        </is>
      </c>
      <c r="H202" t="inlineStr">
        <is>
          <t>Customer Delivery Late</t>
        </is>
      </c>
      <c r="I202" t="inlineStr">
        <is>
          <t>Escalate / Follow up</t>
        </is>
      </c>
    </row>
    <row r="203">
      <c r="A203" t="inlineStr">
        <is>
          <t>ORD-01741</t>
        </is>
      </c>
      <c r="B203" t="inlineStr">
        <is>
          <t>Customer 07</t>
        </is>
      </c>
      <c r="C203" t="inlineStr">
        <is>
          <t>Drive</t>
        </is>
      </c>
      <c r="D203" s="14" t="n">
        <v>46045</v>
      </c>
      <c r="E203" s="14" t="n">
        <v>46046</v>
      </c>
      <c r="F203" t="n">
        <v>1</v>
      </c>
      <c r="G203" t="inlineStr">
        <is>
          <t>Production Delay</t>
        </is>
      </c>
      <c r="H203" t="inlineStr">
        <is>
          <t>Customer Delivery Late</t>
        </is>
      </c>
      <c r="I203" t="inlineStr">
        <is>
          <t>Escalate / Follow up</t>
        </is>
      </c>
    </row>
    <row r="204">
      <c r="A204" t="inlineStr">
        <is>
          <t>ORD-01744</t>
        </is>
      </c>
      <c r="B204" t="inlineStr">
        <is>
          <t>Customer 28</t>
        </is>
      </c>
      <c r="C204" t="inlineStr">
        <is>
          <t>Drive</t>
        </is>
      </c>
      <c r="D204" s="14" t="n">
        <v>46160</v>
      </c>
      <c r="E204" s="14" t="n">
        <v>46165</v>
      </c>
      <c r="F204" t="n">
        <v>5</v>
      </c>
      <c r="G204" t="inlineStr">
        <is>
          <t>Capacity Constraint</t>
        </is>
      </c>
      <c r="H204" t="inlineStr">
        <is>
          <t>Customer Delivery Late</t>
        </is>
      </c>
      <c r="I204" t="inlineStr">
        <is>
          <t>Escalate / Follow up</t>
        </is>
      </c>
    </row>
    <row r="205">
      <c r="A205" t="inlineStr">
        <is>
          <t>ORD-01750</t>
        </is>
      </c>
      <c r="B205" t="inlineStr">
        <is>
          <t>Customer 11</t>
        </is>
      </c>
      <c r="C205" t="inlineStr">
        <is>
          <t>Sensor</t>
        </is>
      </c>
      <c r="D205" s="14" t="n">
        <v>46209</v>
      </c>
      <c r="E205" s="14" t="n">
        <v>46212</v>
      </c>
      <c r="F205" t="n">
        <v>3</v>
      </c>
      <c r="G205" t="inlineStr">
        <is>
          <t>Documentation Issue</t>
        </is>
      </c>
      <c r="H205" t="inlineStr">
        <is>
          <t>Customer Delivery Late</t>
        </is>
      </c>
      <c r="I205" t="inlineStr">
        <is>
          <t>Escalate / Follow up</t>
        </is>
      </c>
    </row>
    <row r="206">
      <c r="A206" t="inlineStr">
        <is>
          <t>ORD-01754</t>
        </is>
      </c>
      <c r="B206" t="inlineStr">
        <is>
          <t>Customer 02</t>
        </is>
      </c>
      <c r="C206" t="inlineStr">
        <is>
          <t>Power Supply</t>
        </is>
      </c>
      <c r="D206" s="14" t="n">
        <v>46138</v>
      </c>
      <c r="E206" s="14" t="n">
        <v>46139</v>
      </c>
      <c r="F206" t="n">
        <v>1</v>
      </c>
      <c r="G206" t="inlineStr">
        <is>
          <t>Capacity Constraint</t>
        </is>
      </c>
      <c r="H206" t="inlineStr">
        <is>
          <t>Customer Delivery Late</t>
        </is>
      </c>
      <c r="I206" t="inlineStr">
        <is>
          <t>Escalate / Follow up</t>
        </is>
      </c>
    </row>
    <row r="207">
      <c r="A207" t="inlineStr">
        <is>
          <t>ORD-01762</t>
        </is>
      </c>
      <c r="B207" t="inlineStr">
        <is>
          <t>Customer 04</t>
        </is>
      </c>
      <c r="C207" t="inlineStr">
        <is>
          <t>Sensor</t>
        </is>
      </c>
      <c r="D207" s="14" t="n">
        <v>46078</v>
      </c>
      <c r="E207" s="14" t="n">
        <v>46079</v>
      </c>
      <c r="F207" t="n">
        <v>1</v>
      </c>
      <c r="G207" t="inlineStr">
        <is>
          <t>Material Shortage</t>
        </is>
      </c>
      <c r="H207" t="inlineStr">
        <is>
          <t>Customer Delivery Late</t>
        </is>
      </c>
      <c r="I207" t="inlineStr">
        <is>
          <t>Escalate / Follow up</t>
        </is>
      </c>
    </row>
    <row r="208">
      <c r="A208" t="inlineStr">
        <is>
          <t>ORD-01767</t>
        </is>
      </c>
      <c r="B208" t="inlineStr">
        <is>
          <t>Customer 29</t>
        </is>
      </c>
      <c r="C208" t="inlineStr">
        <is>
          <t>Contactor</t>
        </is>
      </c>
      <c r="D208" s="14" t="n">
        <v>46074</v>
      </c>
      <c r="E208" s="14" t="n">
        <v>46083</v>
      </c>
      <c r="F208" t="n">
        <v>9</v>
      </c>
      <c r="G208" t="inlineStr">
        <is>
          <t>Production Delay</t>
        </is>
      </c>
      <c r="H208" t="inlineStr">
        <is>
          <t>Customer Delivery Late</t>
        </is>
      </c>
      <c r="I208" t="inlineStr">
        <is>
          <t>Escalate / Follow up</t>
        </is>
      </c>
    </row>
    <row r="209">
      <c r="A209" t="inlineStr">
        <is>
          <t>ORD-01785</t>
        </is>
      </c>
      <c r="B209" t="inlineStr">
        <is>
          <t>Customer 29</t>
        </is>
      </c>
      <c r="C209" t="inlineStr">
        <is>
          <t>PLC</t>
        </is>
      </c>
      <c r="D209" s="14" t="n">
        <v>46166</v>
      </c>
      <c r="E209" s="14" t="n">
        <v>46167</v>
      </c>
      <c r="F209" t="n">
        <v>1</v>
      </c>
      <c r="G209" t="inlineStr">
        <is>
          <t>Production Delay</t>
        </is>
      </c>
      <c r="H209" t="inlineStr">
        <is>
          <t>Customer Delivery Late</t>
        </is>
      </c>
      <c r="I209" t="inlineStr">
        <is>
          <t>Escalate / Follow up</t>
        </is>
      </c>
    </row>
    <row r="210">
      <c r="A210" t="inlineStr">
        <is>
          <t>ORD-01787</t>
        </is>
      </c>
      <c r="B210" t="inlineStr">
        <is>
          <t>Customer 01</t>
        </is>
      </c>
      <c r="C210" t="inlineStr">
        <is>
          <t>Sensor</t>
        </is>
      </c>
      <c r="D210" s="14" t="n">
        <v>46094</v>
      </c>
      <c r="E210" s="14" t="n">
        <v>46100</v>
      </c>
      <c r="F210" t="n">
        <v>6</v>
      </c>
      <c r="G210" t="inlineStr">
        <is>
          <t>Production Delay</t>
        </is>
      </c>
      <c r="H210" t="inlineStr">
        <is>
          <t>Customer Delivery Late</t>
        </is>
      </c>
      <c r="I210" t="inlineStr">
        <is>
          <t>Escalate / Follow up</t>
        </is>
      </c>
    </row>
    <row r="211">
      <c r="A211" t="inlineStr">
        <is>
          <t>ORD-01794</t>
        </is>
      </c>
      <c r="B211" t="inlineStr">
        <is>
          <t>Customer 13</t>
        </is>
      </c>
      <c r="C211" t="inlineStr">
        <is>
          <t>Sensor</t>
        </is>
      </c>
      <c r="D211" s="14" t="n">
        <v>46206</v>
      </c>
      <c r="E211" s="14" t="n">
        <v>46209</v>
      </c>
      <c r="F211" t="n">
        <v>3</v>
      </c>
      <c r="G211" t="inlineStr">
        <is>
          <t>Carrier Delay</t>
        </is>
      </c>
      <c r="H211" t="inlineStr">
        <is>
          <t>Customer Delivery Late</t>
        </is>
      </c>
      <c r="I211" t="inlineStr">
        <is>
          <t>Escalate / Follow up</t>
        </is>
      </c>
    </row>
    <row r="212">
      <c r="A212" t="inlineStr">
        <is>
          <t>ORD-01795</t>
        </is>
      </c>
      <c r="B212" t="inlineStr">
        <is>
          <t>Customer 23</t>
        </is>
      </c>
      <c r="C212" t="inlineStr">
        <is>
          <t>Drive</t>
        </is>
      </c>
      <c r="D212" s="14" t="n">
        <v>46136</v>
      </c>
      <c r="E212" s="14" t="n">
        <v>46139</v>
      </c>
      <c r="F212" t="n">
        <v>3</v>
      </c>
      <c r="G212" t="inlineStr">
        <is>
          <t>Capacity Constraint</t>
        </is>
      </c>
      <c r="H212" t="inlineStr">
        <is>
          <t>Customer Delivery Late</t>
        </is>
      </c>
      <c r="I212" t="inlineStr">
        <is>
          <t>Escalate / Follow up</t>
        </is>
      </c>
    </row>
    <row r="213">
      <c r="A213" t="inlineStr">
        <is>
          <t>ORD-01804</t>
        </is>
      </c>
      <c r="B213" t="inlineStr">
        <is>
          <t>Customer 21</t>
        </is>
      </c>
      <c r="C213" t="inlineStr">
        <is>
          <t>Drive</t>
        </is>
      </c>
      <c r="D213" s="14" t="n">
        <v>46064</v>
      </c>
      <c r="E213" s="14" t="n">
        <v>46065</v>
      </c>
      <c r="F213" t="n">
        <v>1</v>
      </c>
      <c r="G213" t="inlineStr">
        <is>
          <t>Carrier Delay</t>
        </is>
      </c>
      <c r="H213" t="inlineStr">
        <is>
          <t>Customer Delivery Late</t>
        </is>
      </c>
      <c r="I213" t="inlineStr">
        <is>
          <t>Escalate / Follow up</t>
        </is>
      </c>
    </row>
    <row r="214">
      <c r="A214" t="inlineStr">
        <is>
          <t>ORD-01808</t>
        </is>
      </c>
      <c r="B214" t="inlineStr">
        <is>
          <t>Customer 24</t>
        </is>
      </c>
      <c r="C214" t="inlineStr">
        <is>
          <t>Breaker</t>
        </is>
      </c>
      <c r="D214" s="14" t="n">
        <v>46171</v>
      </c>
      <c r="E214" s="14" t="n">
        <v>46172</v>
      </c>
      <c r="F214" t="n">
        <v>1</v>
      </c>
      <c r="G214" t="inlineStr">
        <is>
          <t>Capacity Constraint</t>
        </is>
      </c>
      <c r="H214" t="inlineStr">
        <is>
          <t>Customer Delivery Late</t>
        </is>
      </c>
      <c r="I214" t="inlineStr">
        <is>
          <t>Escalate / Follow up</t>
        </is>
      </c>
    </row>
    <row r="215">
      <c r="A215" t="inlineStr">
        <is>
          <t>ORD-01817</t>
        </is>
      </c>
      <c r="B215" t="inlineStr">
        <is>
          <t>Customer 16</t>
        </is>
      </c>
      <c r="C215" t="inlineStr">
        <is>
          <t>Contactor</t>
        </is>
      </c>
      <c r="D215" s="14" t="n">
        <v>46194</v>
      </c>
      <c r="E215" s="14" t="n">
        <v>46195</v>
      </c>
      <c r="F215" t="n">
        <v>1</v>
      </c>
      <c r="G215" t="inlineStr">
        <is>
          <t>Production Delay</t>
        </is>
      </c>
      <c r="H215" t="inlineStr">
        <is>
          <t>Customer Delivery Late</t>
        </is>
      </c>
      <c r="I215" t="inlineStr">
        <is>
          <t>Escalate / Follow up</t>
        </is>
      </c>
    </row>
    <row r="216">
      <c r="A216" t="inlineStr">
        <is>
          <t>ORD-01820</t>
        </is>
      </c>
      <c r="B216" t="inlineStr">
        <is>
          <t>Customer 20</t>
        </is>
      </c>
      <c r="C216" t="inlineStr">
        <is>
          <t>Drive</t>
        </is>
      </c>
      <c r="D216" s="14" t="n">
        <v>46137</v>
      </c>
      <c r="E216" s="14" t="n">
        <v>46145</v>
      </c>
      <c r="F216" t="n">
        <v>8</v>
      </c>
      <c r="G216" t="inlineStr">
        <is>
          <t>Material Shortage</t>
        </is>
      </c>
      <c r="H216" t="inlineStr">
        <is>
          <t>Customer Delivery Late</t>
        </is>
      </c>
      <c r="I216" t="inlineStr">
        <is>
          <t>Escalate / Follow up</t>
        </is>
      </c>
    </row>
    <row r="217">
      <c r="A217" t="inlineStr">
        <is>
          <t>ORD-01825</t>
        </is>
      </c>
      <c r="B217" t="inlineStr">
        <is>
          <t>Customer 15</t>
        </is>
      </c>
      <c r="C217" t="inlineStr">
        <is>
          <t>Relay</t>
        </is>
      </c>
      <c r="D217" s="14" t="n">
        <v>46046</v>
      </c>
      <c r="E217" s="14" t="n">
        <v>46047</v>
      </c>
      <c r="F217" t="n">
        <v>1</v>
      </c>
      <c r="G217" t="inlineStr">
        <is>
          <t>Material Shortage</t>
        </is>
      </c>
      <c r="H217" t="inlineStr">
        <is>
          <t>Customer Delivery Late</t>
        </is>
      </c>
      <c r="I217" t="inlineStr">
        <is>
          <t>Escalate / Follow up</t>
        </is>
      </c>
    </row>
    <row r="218">
      <c r="A218" t="inlineStr">
        <is>
          <t>ORD-01828</t>
        </is>
      </c>
      <c r="B218" t="inlineStr">
        <is>
          <t>Customer 05</t>
        </is>
      </c>
      <c r="C218" t="inlineStr">
        <is>
          <t>Breaker</t>
        </is>
      </c>
      <c r="D218" s="14" t="n">
        <v>46129</v>
      </c>
      <c r="E218" s="14" t="n">
        <v>46130</v>
      </c>
      <c r="F218" t="n">
        <v>1</v>
      </c>
      <c r="G218" t="inlineStr">
        <is>
          <t>Capacity Constraint</t>
        </is>
      </c>
      <c r="H218" t="inlineStr">
        <is>
          <t>Customer Delivery Late</t>
        </is>
      </c>
      <c r="I218" t="inlineStr">
        <is>
          <t>Escalate / Follow up</t>
        </is>
      </c>
    </row>
    <row r="219">
      <c r="A219" t="inlineStr">
        <is>
          <t>ORD-01840</t>
        </is>
      </c>
      <c r="B219" t="inlineStr">
        <is>
          <t>Customer 13</t>
        </is>
      </c>
      <c r="C219" t="inlineStr">
        <is>
          <t>Breaker</t>
        </is>
      </c>
      <c r="D219" s="14" t="n">
        <v>46062</v>
      </c>
      <c r="E219" s="14" t="n">
        <v>46063</v>
      </c>
      <c r="F219" t="n">
        <v>1</v>
      </c>
      <c r="G219" t="inlineStr">
        <is>
          <t>Production Delay</t>
        </is>
      </c>
      <c r="H219" t="inlineStr">
        <is>
          <t>Customer Delivery Late</t>
        </is>
      </c>
      <c r="I219" t="inlineStr">
        <is>
          <t>Escalate / Follow up</t>
        </is>
      </c>
    </row>
    <row r="220">
      <c r="A220" t="inlineStr">
        <is>
          <t>ORD-01849</t>
        </is>
      </c>
      <c r="B220" t="inlineStr">
        <is>
          <t>Customer 25</t>
        </is>
      </c>
      <c r="C220" t="inlineStr">
        <is>
          <t>Relay</t>
        </is>
      </c>
      <c r="D220" s="14" t="n">
        <v>46073</v>
      </c>
      <c r="E220" s="14" t="n">
        <v>46079</v>
      </c>
      <c r="F220" t="n">
        <v>6</v>
      </c>
      <c r="G220" t="inlineStr">
        <is>
          <t>Capacity Constraint</t>
        </is>
      </c>
      <c r="H220" t="inlineStr">
        <is>
          <t>Customer Delivery Late</t>
        </is>
      </c>
      <c r="I220" t="inlineStr">
        <is>
          <t>Escalate / Follow up</t>
        </is>
      </c>
    </row>
    <row r="221">
      <c r="A221" t="inlineStr">
        <is>
          <t>ORD-01850</t>
        </is>
      </c>
      <c r="B221" t="inlineStr">
        <is>
          <t>Customer 15</t>
        </is>
      </c>
      <c r="C221" t="inlineStr">
        <is>
          <t>Breaker</t>
        </is>
      </c>
      <c r="D221" s="14" t="n">
        <v>46205</v>
      </c>
      <c r="E221" s="14" t="n">
        <v>46206</v>
      </c>
      <c r="F221" t="n">
        <v>1</v>
      </c>
      <c r="G221" t="inlineStr">
        <is>
          <t>Production Delay</t>
        </is>
      </c>
      <c r="H221" t="inlineStr">
        <is>
          <t>Customer Delivery Late</t>
        </is>
      </c>
      <c r="I221" t="inlineStr">
        <is>
          <t>Escalate / Follow up</t>
        </is>
      </c>
    </row>
    <row r="222">
      <c r="A222" t="inlineStr">
        <is>
          <t>ORD-01853</t>
        </is>
      </c>
      <c r="B222" t="inlineStr">
        <is>
          <t>Customer 09</t>
        </is>
      </c>
      <c r="C222" t="inlineStr">
        <is>
          <t>Drive</t>
        </is>
      </c>
      <c r="D222" s="14" t="n">
        <v>46121</v>
      </c>
      <c r="E222" s="14" t="n">
        <v>46122</v>
      </c>
      <c r="F222" t="n">
        <v>1</v>
      </c>
      <c r="G222" t="inlineStr">
        <is>
          <t>Material Shortage</t>
        </is>
      </c>
      <c r="H222" t="inlineStr">
        <is>
          <t>Customer Delivery Late</t>
        </is>
      </c>
      <c r="I222" t="inlineStr">
        <is>
          <t>Escalate / Follow up</t>
        </is>
      </c>
    </row>
    <row r="223">
      <c r="A223" t="inlineStr">
        <is>
          <t>ORD-01859</t>
        </is>
      </c>
      <c r="B223" t="inlineStr">
        <is>
          <t>Customer 28</t>
        </is>
      </c>
      <c r="C223" t="inlineStr">
        <is>
          <t>PLC</t>
        </is>
      </c>
      <c r="D223" s="14" t="n">
        <v>46216</v>
      </c>
      <c r="E223" s="14" t="n">
        <v>46223</v>
      </c>
      <c r="F223" t="n">
        <v>7</v>
      </c>
      <c r="G223" t="inlineStr">
        <is>
          <t>Production Delay</t>
        </is>
      </c>
      <c r="H223" t="inlineStr">
        <is>
          <t>Customer Delivery Late</t>
        </is>
      </c>
      <c r="I223" t="inlineStr">
        <is>
          <t>Escalate / Follow up</t>
        </is>
      </c>
    </row>
    <row r="224">
      <c r="A224" t="inlineStr">
        <is>
          <t>ORD-01865</t>
        </is>
      </c>
      <c r="B224" t="inlineStr">
        <is>
          <t>Customer 08</t>
        </is>
      </c>
      <c r="C224" t="inlineStr">
        <is>
          <t>Sensor</t>
        </is>
      </c>
      <c r="D224" s="14" t="n">
        <v>46062</v>
      </c>
      <c r="E224" s="14" t="n">
        <v>46063</v>
      </c>
      <c r="F224" t="n">
        <v>1</v>
      </c>
      <c r="G224" t="inlineStr">
        <is>
          <t>Customer Change</t>
        </is>
      </c>
      <c r="H224" t="inlineStr">
        <is>
          <t>Customer Delivery Late</t>
        </is>
      </c>
      <c r="I224" t="inlineStr">
        <is>
          <t>Escalate / Follow up</t>
        </is>
      </c>
    </row>
    <row r="225">
      <c r="A225" t="inlineStr">
        <is>
          <t>ORD-01873</t>
        </is>
      </c>
      <c r="B225" t="inlineStr">
        <is>
          <t>Customer 21</t>
        </is>
      </c>
      <c r="C225" t="inlineStr">
        <is>
          <t>Drive</t>
        </is>
      </c>
      <c r="D225" s="14" t="n">
        <v>46161</v>
      </c>
      <c r="E225" s="14" t="n">
        <v>46162</v>
      </c>
      <c r="F225" t="n">
        <v>1</v>
      </c>
      <c r="G225" t="inlineStr">
        <is>
          <t>Carrier Delay</t>
        </is>
      </c>
      <c r="H225" t="inlineStr">
        <is>
          <t>Customer Delivery Late</t>
        </is>
      </c>
      <c r="I225" t="inlineStr">
        <is>
          <t>Escalate / Follow up</t>
        </is>
      </c>
    </row>
    <row r="226">
      <c r="A226" t="inlineStr">
        <is>
          <t>ORD-01875</t>
        </is>
      </c>
      <c r="B226" t="inlineStr">
        <is>
          <t>Customer 18</t>
        </is>
      </c>
      <c r="C226" t="inlineStr">
        <is>
          <t>Power Supply</t>
        </is>
      </c>
      <c r="D226" s="14" t="n">
        <v>46125</v>
      </c>
      <c r="E226" s="14" t="n">
        <v>46132</v>
      </c>
      <c r="F226" t="n">
        <v>7</v>
      </c>
      <c r="G226" t="inlineStr">
        <is>
          <t>Carrier Delay</t>
        </is>
      </c>
      <c r="H226" t="inlineStr">
        <is>
          <t>Customer Delivery Late</t>
        </is>
      </c>
      <c r="I226" t="inlineStr">
        <is>
          <t>Escalate / Follow up</t>
        </is>
      </c>
    </row>
    <row r="227">
      <c r="A227" t="inlineStr">
        <is>
          <t>ORD-01884</t>
        </is>
      </c>
      <c r="B227" t="inlineStr">
        <is>
          <t>Customer 30</t>
        </is>
      </c>
      <c r="C227" t="inlineStr">
        <is>
          <t>Relay</t>
        </is>
      </c>
      <c r="D227" s="14" t="n">
        <v>46068</v>
      </c>
      <c r="E227" s="14" t="n">
        <v>46075</v>
      </c>
      <c r="F227" t="n">
        <v>7</v>
      </c>
      <c r="G227" t="inlineStr">
        <is>
          <t>Capacity Constraint</t>
        </is>
      </c>
      <c r="H227" t="inlineStr">
        <is>
          <t>Customer Delivery Late</t>
        </is>
      </c>
      <c r="I227" t="inlineStr">
        <is>
          <t>Escalate / Follow up</t>
        </is>
      </c>
    </row>
    <row r="228">
      <c r="A228" t="inlineStr">
        <is>
          <t>ORD-01889</t>
        </is>
      </c>
      <c r="B228" t="inlineStr">
        <is>
          <t>Customer 08</t>
        </is>
      </c>
      <c r="C228" t="inlineStr">
        <is>
          <t>PLC</t>
        </is>
      </c>
      <c r="D228" s="14" t="n">
        <v>46202</v>
      </c>
      <c r="E228" s="14" t="n">
        <v>46206</v>
      </c>
      <c r="F228" t="n">
        <v>4</v>
      </c>
      <c r="G228" t="inlineStr">
        <is>
          <t>Carrier Delay</t>
        </is>
      </c>
      <c r="H228" t="inlineStr">
        <is>
          <t>Customer Delivery Late</t>
        </is>
      </c>
      <c r="I228" t="inlineStr">
        <is>
          <t>Escalate / Follow up</t>
        </is>
      </c>
    </row>
    <row r="229">
      <c r="A229" t="inlineStr">
        <is>
          <t>ORD-01896</t>
        </is>
      </c>
      <c r="B229" t="inlineStr">
        <is>
          <t>Customer 20</t>
        </is>
      </c>
      <c r="C229" t="inlineStr">
        <is>
          <t>Power Supply</t>
        </is>
      </c>
      <c r="D229" s="14" t="n">
        <v>46189</v>
      </c>
      <c r="E229" s="14" t="n">
        <v>46190</v>
      </c>
      <c r="F229" t="n">
        <v>1</v>
      </c>
      <c r="G229" t="inlineStr">
        <is>
          <t>Carrier Delay</t>
        </is>
      </c>
      <c r="H229" t="inlineStr">
        <is>
          <t>Customer Delivery Late</t>
        </is>
      </c>
      <c r="I229" t="inlineStr">
        <is>
          <t>Escalate / Follow up</t>
        </is>
      </c>
    </row>
    <row r="230">
      <c r="A230" t="inlineStr">
        <is>
          <t>ORD-01906</t>
        </is>
      </c>
      <c r="B230" t="inlineStr">
        <is>
          <t>Customer 15</t>
        </is>
      </c>
      <c r="C230" t="inlineStr">
        <is>
          <t>Drive</t>
        </is>
      </c>
      <c r="D230" s="14" t="n">
        <v>46121</v>
      </c>
      <c r="E230" s="14" t="n">
        <v>46125</v>
      </c>
      <c r="F230" t="n">
        <v>4</v>
      </c>
      <c r="G230" t="inlineStr">
        <is>
          <t>Capacity Constraint</t>
        </is>
      </c>
      <c r="H230" t="inlineStr">
        <is>
          <t>Customer Delivery Late</t>
        </is>
      </c>
      <c r="I230" t="inlineStr">
        <is>
          <t>Escalate / Follow up</t>
        </is>
      </c>
    </row>
    <row r="231">
      <c r="A231" t="inlineStr">
        <is>
          <t>ORD-01911</t>
        </is>
      </c>
      <c r="B231" t="inlineStr">
        <is>
          <t>Customer 01</t>
        </is>
      </c>
      <c r="C231" t="inlineStr">
        <is>
          <t>Power Supply</t>
        </is>
      </c>
      <c r="D231" s="14" t="n">
        <v>46171</v>
      </c>
      <c r="E231" s="14" t="n">
        <v>46176</v>
      </c>
      <c r="F231" t="n">
        <v>5</v>
      </c>
      <c r="G231" t="inlineStr">
        <is>
          <t>Capacity Constraint</t>
        </is>
      </c>
      <c r="H231" t="inlineStr">
        <is>
          <t>Customer Delivery Late</t>
        </is>
      </c>
      <c r="I231" t="inlineStr">
        <is>
          <t>Escalate / Follow up</t>
        </is>
      </c>
    </row>
    <row r="232">
      <c r="A232" t="inlineStr">
        <is>
          <t>ORD-01914</t>
        </is>
      </c>
      <c r="B232" t="inlineStr">
        <is>
          <t>Customer 29</t>
        </is>
      </c>
      <c r="C232" t="inlineStr">
        <is>
          <t>Drive</t>
        </is>
      </c>
      <c r="D232" s="14" t="n">
        <v>46049</v>
      </c>
      <c r="E232" s="14" t="n">
        <v>46050</v>
      </c>
      <c r="F232" t="n">
        <v>1</v>
      </c>
      <c r="G232" t="inlineStr">
        <is>
          <t>Material Shortage</t>
        </is>
      </c>
      <c r="H232" t="inlineStr">
        <is>
          <t>Customer Delivery Late</t>
        </is>
      </c>
      <c r="I232" t="inlineStr">
        <is>
          <t>Escalate / Follow up</t>
        </is>
      </c>
    </row>
    <row r="233">
      <c r="A233" t="inlineStr">
        <is>
          <t>ORD-01918</t>
        </is>
      </c>
      <c r="B233" t="inlineStr">
        <is>
          <t>Customer 17</t>
        </is>
      </c>
      <c r="C233" t="inlineStr">
        <is>
          <t>Power Supply</t>
        </is>
      </c>
      <c r="D233" s="14" t="n">
        <v>46166</v>
      </c>
      <c r="E233" s="14" t="n">
        <v>46167</v>
      </c>
      <c r="F233" t="n">
        <v>1</v>
      </c>
      <c r="G233" t="inlineStr">
        <is>
          <t>Customer Change</t>
        </is>
      </c>
      <c r="H233" t="inlineStr">
        <is>
          <t>Customer Delivery Late</t>
        </is>
      </c>
      <c r="I233" t="inlineStr">
        <is>
          <t>Escalate / Follow up</t>
        </is>
      </c>
    </row>
    <row r="234">
      <c r="A234" t="inlineStr">
        <is>
          <t>ORD-01934</t>
        </is>
      </c>
      <c r="B234" t="inlineStr">
        <is>
          <t>Customer 09</t>
        </is>
      </c>
      <c r="C234" t="inlineStr">
        <is>
          <t>Breaker</t>
        </is>
      </c>
      <c r="D234" s="14" t="n">
        <v>46194</v>
      </c>
      <c r="E234" s="14" t="n">
        <v>46195</v>
      </c>
      <c r="F234" t="n">
        <v>1</v>
      </c>
      <c r="G234" t="inlineStr">
        <is>
          <t>Carrier Delay</t>
        </is>
      </c>
      <c r="H234" t="inlineStr">
        <is>
          <t>Customer Delivery Late</t>
        </is>
      </c>
      <c r="I234" t="inlineStr">
        <is>
          <t>Escalate / Follow up</t>
        </is>
      </c>
    </row>
    <row r="235">
      <c r="A235" t="inlineStr">
        <is>
          <t>ORD-01942</t>
        </is>
      </c>
      <c r="B235" t="inlineStr">
        <is>
          <t>Customer 26</t>
        </is>
      </c>
      <c r="C235" t="inlineStr">
        <is>
          <t>Power Supply</t>
        </is>
      </c>
      <c r="D235" s="14" t="n">
        <v>46125</v>
      </c>
      <c r="E235" s="14" t="n">
        <v>46126</v>
      </c>
      <c r="F235" t="n">
        <v>1</v>
      </c>
      <c r="G235" t="inlineStr">
        <is>
          <t>Documentation Issue</t>
        </is>
      </c>
      <c r="H235" t="inlineStr">
        <is>
          <t>Customer Delivery Late</t>
        </is>
      </c>
      <c r="I235" t="inlineStr">
        <is>
          <t>Escalate / Follow up</t>
        </is>
      </c>
    </row>
    <row r="236">
      <c r="A236" t="inlineStr">
        <is>
          <t>ORD-01947</t>
        </is>
      </c>
      <c r="B236" t="inlineStr">
        <is>
          <t>Customer 12</t>
        </is>
      </c>
      <c r="C236" t="inlineStr">
        <is>
          <t>Breaker</t>
        </is>
      </c>
      <c r="D236" s="14" t="n">
        <v>46121</v>
      </c>
      <c r="E236" s="14" t="n">
        <v>46122</v>
      </c>
      <c r="F236" t="n">
        <v>1</v>
      </c>
      <c r="G236" t="inlineStr">
        <is>
          <t>Customer Change</t>
        </is>
      </c>
      <c r="H236" t="inlineStr">
        <is>
          <t>Customer Delivery Late</t>
        </is>
      </c>
      <c r="I236" t="inlineStr">
        <is>
          <t>Escalate / Follow up</t>
        </is>
      </c>
    </row>
    <row r="237">
      <c r="A237" t="inlineStr">
        <is>
          <t>ORD-01956</t>
        </is>
      </c>
      <c r="B237" t="inlineStr">
        <is>
          <t>Customer 08</t>
        </is>
      </c>
      <c r="C237" t="inlineStr">
        <is>
          <t>Contactor</t>
        </is>
      </c>
      <c r="D237" s="14" t="n">
        <v>46180</v>
      </c>
      <c r="E237" s="14" t="n">
        <v>46184</v>
      </c>
      <c r="F237" t="n">
        <v>4</v>
      </c>
      <c r="G237" t="inlineStr">
        <is>
          <t>Production Delay</t>
        </is>
      </c>
      <c r="H237" t="inlineStr">
        <is>
          <t>Customer Delivery Late</t>
        </is>
      </c>
      <c r="I237" t="inlineStr">
        <is>
          <t>Escalate / Follow up</t>
        </is>
      </c>
    </row>
    <row r="238">
      <c r="A238" t="inlineStr">
        <is>
          <t>ORD-01958</t>
        </is>
      </c>
      <c r="B238" t="inlineStr">
        <is>
          <t>Customer 08</t>
        </is>
      </c>
      <c r="C238" t="inlineStr">
        <is>
          <t>Switchgear</t>
        </is>
      </c>
      <c r="D238" s="14" t="n">
        <v>46165</v>
      </c>
      <c r="E238" s="14" t="n">
        <v>46168</v>
      </c>
      <c r="F238" t="n">
        <v>3</v>
      </c>
      <c r="G238" t="inlineStr">
        <is>
          <t>Carrier Delay</t>
        </is>
      </c>
      <c r="H238" t="inlineStr">
        <is>
          <t>Customer Delivery Late</t>
        </is>
      </c>
      <c r="I238" t="inlineStr">
        <is>
          <t>Escalate / Follow up</t>
        </is>
      </c>
    </row>
    <row r="239">
      <c r="A239" t="inlineStr">
        <is>
          <t>ORD-02017</t>
        </is>
      </c>
      <c r="B239" t="inlineStr">
        <is>
          <t>Customer 24</t>
        </is>
      </c>
      <c r="C239" t="inlineStr">
        <is>
          <t>Power Supply</t>
        </is>
      </c>
      <c r="D239" s="14" t="n">
        <v>46170</v>
      </c>
      <c r="E239" s="14" t="n">
        <v>46171</v>
      </c>
      <c r="F239" t="n">
        <v>1</v>
      </c>
      <c r="G239" t="inlineStr">
        <is>
          <t>Documentation Issue</t>
        </is>
      </c>
      <c r="H239" t="inlineStr">
        <is>
          <t>Customer Delivery Late</t>
        </is>
      </c>
      <c r="I239" t="inlineStr">
        <is>
          <t>Escalate / Follow up</t>
        </is>
      </c>
    </row>
    <row r="240">
      <c r="A240" t="inlineStr">
        <is>
          <t>ORD-02029</t>
        </is>
      </c>
      <c r="B240" t="inlineStr">
        <is>
          <t>Customer 08</t>
        </is>
      </c>
      <c r="C240" t="inlineStr">
        <is>
          <t>Breaker</t>
        </is>
      </c>
      <c r="D240" s="14" t="n">
        <v>46133</v>
      </c>
      <c r="E240" s="14" t="n">
        <v>46134</v>
      </c>
      <c r="F240" t="n">
        <v>1</v>
      </c>
      <c r="G240" t="inlineStr">
        <is>
          <t>Production Delay</t>
        </is>
      </c>
      <c r="H240" t="inlineStr">
        <is>
          <t>Customer Delivery Late</t>
        </is>
      </c>
      <c r="I240" t="inlineStr">
        <is>
          <t>Escalate / Follow up</t>
        </is>
      </c>
    </row>
    <row r="241">
      <c r="A241" t="inlineStr">
        <is>
          <t>ORD-02031</t>
        </is>
      </c>
      <c r="B241" t="inlineStr">
        <is>
          <t>Customer 07</t>
        </is>
      </c>
      <c r="C241" t="inlineStr">
        <is>
          <t>Contactor</t>
        </is>
      </c>
      <c r="D241" s="14" t="n">
        <v>46149</v>
      </c>
      <c r="E241" s="14" t="n">
        <v>46150</v>
      </c>
      <c r="F241" t="n">
        <v>1</v>
      </c>
      <c r="G241" t="inlineStr">
        <is>
          <t>Carrier Delay</t>
        </is>
      </c>
      <c r="H241" t="inlineStr">
        <is>
          <t>Customer Delivery Late</t>
        </is>
      </c>
      <c r="I241" t="inlineStr">
        <is>
          <t>Escalate / Follow up</t>
        </is>
      </c>
    </row>
    <row r="242">
      <c r="A242" t="inlineStr">
        <is>
          <t>ORD-02033</t>
        </is>
      </c>
      <c r="B242" t="inlineStr">
        <is>
          <t>Customer 08</t>
        </is>
      </c>
      <c r="C242" t="inlineStr">
        <is>
          <t>Contactor</t>
        </is>
      </c>
      <c r="D242" s="14" t="n">
        <v>46125</v>
      </c>
      <c r="E242" s="14" t="n">
        <v>46126</v>
      </c>
      <c r="F242" t="n">
        <v>1</v>
      </c>
      <c r="G242" t="inlineStr">
        <is>
          <t>Production Delay</t>
        </is>
      </c>
      <c r="H242" t="inlineStr">
        <is>
          <t>Customer Delivery Late</t>
        </is>
      </c>
      <c r="I242" t="inlineStr">
        <is>
          <t>Escalate / Follow up</t>
        </is>
      </c>
    </row>
    <row r="243">
      <c r="A243" t="inlineStr">
        <is>
          <t>ORD-02049</t>
        </is>
      </c>
      <c r="B243" t="inlineStr">
        <is>
          <t>Customer 04</t>
        </is>
      </c>
      <c r="C243" t="inlineStr">
        <is>
          <t>Contactor</t>
        </is>
      </c>
      <c r="D243" s="14" t="n">
        <v>46135</v>
      </c>
      <c r="E243" s="14" t="n">
        <v>46136</v>
      </c>
      <c r="F243" t="n">
        <v>1</v>
      </c>
      <c r="G243" t="inlineStr">
        <is>
          <t>Material Shortage</t>
        </is>
      </c>
      <c r="H243" t="inlineStr">
        <is>
          <t>Customer Delivery Late</t>
        </is>
      </c>
      <c r="I243" t="inlineStr">
        <is>
          <t>Escalate / Follow up</t>
        </is>
      </c>
    </row>
    <row r="244">
      <c r="A244" t="inlineStr">
        <is>
          <t>ORD-02051</t>
        </is>
      </c>
      <c r="B244" t="inlineStr">
        <is>
          <t>Customer 24</t>
        </is>
      </c>
      <c r="C244" t="inlineStr">
        <is>
          <t>Contactor</t>
        </is>
      </c>
      <c r="D244" s="14" t="n">
        <v>46218</v>
      </c>
      <c r="E244" s="14" t="n">
        <v>46219</v>
      </c>
      <c r="F244" t="n">
        <v>1</v>
      </c>
      <c r="G244" t="inlineStr">
        <is>
          <t>Documentation Issue</t>
        </is>
      </c>
      <c r="H244" t="inlineStr">
        <is>
          <t>Customer Delivery Late</t>
        </is>
      </c>
      <c r="I244" t="inlineStr">
        <is>
          <t>Escalate / Follow up</t>
        </is>
      </c>
    </row>
    <row r="245">
      <c r="A245" t="inlineStr">
        <is>
          <t>ORD-02066</t>
        </is>
      </c>
      <c r="B245" t="inlineStr">
        <is>
          <t>Customer 27</t>
        </is>
      </c>
      <c r="C245" t="inlineStr">
        <is>
          <t>PLC</t>
        </is>
      </c>
      <c r="D245" s="14" t="n">
        <v>46076</v>
      </c>
      <c r="E245" s="14" t="n">
        <v>46081</v>
      </c>
      <c r="F245" t="n">
        <v>5</v>
      </c>
      <c r="G245" t="inlineStr">
        <is>
          <t>Documentation Issue</t>
        </is>
      </c>
      <c r="H245" t="inlineStr">
        <is>
          <t>Customer Delivery Late</t>
        </is>
      </c>
      <c r="I245" t="inlineStr">
        <is>
          <t>Escalate / Follow up</t>
        </is>
      </c>
    </row>
    <row r="246">
      <c r="A246" t="inlineStr">
        <is>
          <t>ORD-02068</t>
        </is>
      </c>
      <c r="B246" t="inlineStr">
        <is>
          <t>Customer 01</t>
        </is>
      </c>
      <c r="C246" t="inlineStr">
        <is>
          <t>Breaker</t>
        </is>
      </c>
      <c r="D246" s="14" t="n">
        <v>46106</v>
      </c>
      <c r="E246" s="14" t="n">
        <v>46107</v>
      </c>
      <c r="F246" t="n">
        <v>1</v>
      </c>
      <c r="G246" t="inlineStr">
        <is>
          <t>Production Delay</t>
        </is>
      </c>
      <c r="H246" t="inlineStr">
        <is>
          <t>Customer Delivery Late</t>
        </is>
      </c>
      <c r="I246" t="inlineStr">
        <is>
          <t>Escalate / Follow up</t>
        </is>
      </c>
    </row>
    <row r="247">
      <c r="A247" t="inlineStr">
        <is>
          <t>ORD-02070</t>
        </is>
      </c>
      <c r="B247" t="inlineStr">
        <is>
          <t>Customer 21</t>
        </is>
      </c>
      <c r="C247" t="inlineStr">
        <is>
          <t>Switchgear</t>
        </is>
      </c>
      <c r="D247" s="14" t="n">
        <v>46211</v>
      </c>
      <c r="E247" s="14" t="n">
        <v>46212</v>
      </c>
      <c r="F247" t="n">
        <v>1</v>
      </c>
      <c r="G247" t="inlineStr">
        <is>
          <t>Capacity Constraint</t>
        </is>
      </c>
      <c r="H247" t="inlineStr">
        <is>
          <t>Customer Delivery Late</t>
        </is>
      </c>
      <c r="I247" t="inlineStr">
        <is>
          <t>Escalate / Follow up</t>
        </is>
      </c>
    </row>
    <row r="248">
      <c r="A248" t="inlineStr">
        <is>
          <t>ORD-02080</t>
        </is>
      </c>
      <c r="B248" t="inlineStr">
        <is>
          <t>Customer 29</t>
        </is>
      </c>
      <c r="C248" t="inlineStr">
        <is>
          <t>Relay</t>
        </is>
      </c>
      <c r="D248" s="14" t="n">
        <v>46113</v>
      </c>
      <c r="E248" s="14" t="n">
        <v>46114</v>
      </c>
      <c r="F248" t="n">
        <v>1</v>
      </c>
      <c r="G248" t="inlineStr">
        <is>
          <t>Customer Change</t>
        </is>
      </c>
      <c r="H248" t="inlineStr">
        <is>
          <t>Customer Delivery Late</t>
        </is>
      </c>
      <c r="I248" t="inlineStr">
        <is>
          <t>Escalate / Follow up</t>
        </is>
      </c>
    </row>
    <row r="249">
      <c r="A249" t="inlineStr">
        <is>
          <t>ORD-02087</t>
        </is>
      </c>
      <c r="B249" t="inlineStr">
        <is>
          <t>Customer 22</t>
        </is>
      </c>
      <c r="C249" t="inlineStr">
        <is>
          <t>PLC</t>
        </is>
      </c>
      <c r="D249" s="14" t="n">
        <v>46123</v>
      </c>
      <c r="E249" s="14" t="n">
        <v>46125</v>
      </c>
      <c r="F249" t="n">
        <v>2</v>
      </c>
      <c r="G249" t="inlineStr">
        <is>
          <t>Production Delay</t>
        </is>
      </c>
      <c r="H249" t="inlineStr">
        <is>
          <t>Customer Delivery Late</t>
        </is>
      </c>
      <c r="I249" t="inlineStr">
        <is>
          <t>Escalate / Follow up</t>
        </is>
      </c>
    </row>
    <row r="250">
      <c r="A250" t="inlineStr">
        <is>
          <t>ORD-02095</t>
        </is>
      </c>
      <c r="B250" t="inlineStr">
        <is>
          <t>Customer 19</t>
        </is>
      </c>
      <c r="C250" t="inlineStr">
        <is>
          <t>Drive</t>
        </is>
      </c>
      <c r="D250" s="14" t="n">
        <v>46067</v>
      </c>
      <c r="E250" s="14" t="n">
        <v>46068</v>
      </c>
      <c r="F250" t="n">
        <v>1</v>
      </c>
      <c r="G250" t="inlineStr">
        <is>
          <t>Production Delay</t>
        </is>
      </c>
      <c r="H250" t="inlineStr">
        <is>
          <t>Customer Delivery Late</t>
        </is>
      </c>
      <c r="I250" t="inlineStr">
        <is>
          <t>Escalate / Follow up</t>
        </is>
      </c>
    </row>
    <row r="251">
      <c r="A251" t="inlineStr">
        <is>
          <t>ORD-02097</t>
        </is>
      </c>
      <c r="B251" t="inlineStr">
        <is>
          <t>Customer 27</t>
        </is>
      </c>
      <c r="C251" t="inlineStr">
        <is>
          <t>Switchgear</t>
        </is>
      </c>
      <c r="D251" s="14" t="n">
        <v>46083</v>
      </c>
      <c r="E251" s="14" t="n">
        <v>46084</v>
      </c>
      <c r="F251" t="n">
        <v>1</v>
      </c>
      <c r="G251" t="inlineStr">
        <is>
          <t>Capacity Constraint</t>
        </is>
      </c>
      <c r="H251" t="inlineStr">
        <is>
          <t>Customer Delivery Late</t>
        </is>
      </c>
      <c r="I251" t="inlineStr">
        <is>
          <t>Escalate / Follow up</t>
        </is>
      </c>
    </row>
    <row r="252">
      <c r="A252" t="inlineStr">
        <is>
          <t>ORD-02103</t>
        </is>
      </c>
      <c r="B252" t="inlineStr">
        <is>
          <t>Customer 12</t>
        </is>
      </c>
      <c r="C252" t="inlineStr">
        <is>
          <t>Sensor</t>
        </is>
      </c>
      <c r="D252" s="14" t="n">
        <v>46135</v>
      </c>
      <c r="E252" s="14" t="n">
        <v>46136</v>
      </c>
      <c r="F252" t="n">
        <v>1</v>
      </c>
      <c r="G252" t="inlineStr">
        <is>
          <t>Production Delay</t>
        </is>
      </c>
      <c r="H252" t="inlineStr">
        <is>
          <t>Customer Delivery Late</t>
        </is>
      </c>
      <c r="I252" t="inlineStr">
        <is>
          <t>Escalate / Follow up</t>
        </is>
      </c>
    </row>
    <row r="253">
      <c r="A253" t="inlineStr">
        <is>
          <t>ORD-02125</t>
        </is>
      </c>
      <c r="B253" t="inlineStr">
        <is>
          <t>Customer 19</t>
        </is>
      </c>
      <c r="C253" t="inlineStr">
        <is>
          <t>Contactor</t>
        </is>
      </c>
      <c r="D253" s="14" t="n">
        <v>46200</v>
      </c>
      <c r="E253" s="14" t="n">
        <v>46202</v>
      </c>
      <c r="F253" t="n">
        <v>2</v>
      </c>
      <c r="G253" t="inlineStr">
        <is>
          <t>Customer Change</t>
        </is>
      </c>
      <c r="H253" t="inlineStr">
        <is>
          <t>Customer Delivery Late</t>
        </is>
      </c>
      <c r="I253" t="inlineStr">
        <is>
          <t>Escalate / Follow up</t>
        </is>
      </c>
    </row>
    <row r="254">
      <c r="A254" t="inlineStr">
        <is>
          <t>ORD-02135</t>
        </is>
      </c>
      <c r="B254" t="inlineStr">
        <is>
          <t>Customer 14</t>
        </is>
      </c>
      <c r="C254" t="inlineStr">
        <is>
          <t>PLC</t>
        </is>
      </c>
      <c r="D254" s="14" t="n">
        <v>46174</v>
      </c>
      <c r="E254" s="14" t="n">
        <v>46175</v>
      </c>
      <c r="F254" t="n">
        <v>1</v>
      </c>
      <c r="G254" t="inlineStr">
        <is>
          <t>Customer Change</t>
        </is>
      </c>
      <c r="H254" t="inlineStr">
        <is>
          <t>Customer Delivery Late</t>
        </is>
      </c>
      <c r="I254" t="inlineStr">
        <is>
          <t>Escalate / Follow up</t>
        </is>
      </c>
    </row>
    <row r="255">
      <c r="A255" t="inlineStr">
        <is>
          <t>ORD-02136</t>
        </is>
      </c>
      <c r="B255" t="inlineStr">
        <is>
          <t>Customer 23</t>
        </is>
      </c>
      <c r="C255" t="inlineStr">
        <is>
          <t>Sensor</t>
        </is>
      </c>
      <c r="D255" s="14" t="n">
        <v>46174</v>
      </c>
      <c r="E255" s="14" t="n">
        <v>46181</v>
      </c>
      <c r="F255" t="n">
        <v>7</v>
      </c>
      <c r="G255" t="inlineStr">
        <is>
          <t>Capacity Constraint</t>
        </is>
      </c>
      <c r="H255" t="inlineStr">
        <is>
          <t>Customer Delivery Late</t>
        </is>
      </c>
      <c r="I255" t="inlineStr">
        <is>
          <t>Escalate / Follow up</t>
        </is>
      </c>
    </row>
    <row r="256">
      <c r="A256" t="inlineStr">
        <is>
          <t>ORD-02146</t>
        </is>
      </c>
      <c r="B256" t="inlineStr">
        <is>
          <t>Customer 18</t>
        </is>
      </c>
      <c r="C256" t="inlineStr">
        <is>
          <t>PLC</t>
        </is>
      </c>
      <c r="D256" s="14" t="n">
        <v>46120</v>
      </c>
      <c r="E256" s="14" t="n">
        <v>46126</v>
      </c>
      <c r="F256" t="n">
        <v>6</v>
      </c>
      <c r="G256" t="inlineStr">
        <is>
          <t>Capacity Constraint</t>
        </is>
      </c>
      <c r="H256" t="inlineStr">
        <is>
          <t>Customer Delivery Late</t>
        </is>
      </c>
      <c r="I256" t="inlineStr">
        <is>
          <t>Escalate / Follow up</t>
        </is>
      </c>
    </row>
    <row r="257">
      <c r="A257" t="inlineStr">
        <is>
          <t>ORD-02156</t>
        </is>
      </c>
      <c r="B257" t="inlineStr">
        <is>
          <t>Customer 26</t>
        </is>
      </c>
      <c r="C257" t="inlineStr">
        <is>
          <t>PLC</t>
        </is>
      </c>
      <c r="D257" s="14" t="n">
        <v>46157</v>
      </c>
      <c r="E257" s="14" t="n">
        <v>46163</v>
      </c>
      <c r="F257" t="n">
        <v>6</v>
      </c>
      <c r="G257" t="inlineStr">
        <is>
          <t>Production Delay</t>
        </is>
      </c>
      <c r="H257" t="inlineStr">
        <is>
          <t>Customer Delivery Late</t>
        </is>
      </c>
      <c r="I257" t="inlineStr">
        <is>
          <t>Escalate / Follow up</t>
        </is>
      </c>
    </row>
    <row r="258">
      <c r="A258" t="inlineStr">
        <is>
          <t>ORD-02173</t>
        </is>
      </c>
      <c r="B258" t="inlineStr">
        <is>
          <t>Customer 26</t>
        </is>
      </c>
      <c r="C258" t="inlineStr">
        <is>
          <t>PLC</t>
        </is>
      </c>
      <c r="D258" s="14" t="n">
        <v>46094</v>
      </c>
      <c r="E258" s="14" t="n">
        <v>46095</v>
      </c>
      <c r="F258" t="n">
        <v>1</v>
      </c>
      <c r="G258" t="inlineStr">
        <is>
          <t>Capacity Constraint</t>
        </is>
      </c>
      <c r="H258" t="inlineStr">
        <is>
          <t>Customer Delivery Late</t>
        </is>
      </c>
      <c r="I258" t="inlineStr">
        <is>
          <t>Escalate / Follow up</t>
        </is>
      </c>
    </row>
    <row r="259">
      <c r="A259" t="inlineStr">
        <is>
          <t>ORD-02180</t>
        </is>
      </c>
      <c r="B259" t="inlineStr">
        <is>
          <t>Customer 15</t>
        </is>
      </c>
      <c r="C259" t="inlineStr">
        <is>
          <t>Sensor</t>
        </is>
      </c>
      <c r="D259" s="14" t="n">
        <v>46150</v>
      </c>
      <c r="E259" s="14" t="n">
        <v>46158</v>
      </c>
      <c r="F259" t="n">
        <v>8</v>
      </c>
      <c r="G259" t="inlineStr">
        <is>
          <t>Documentation Issue</t>
        </is>
      </c>
      <c r="H259" t="inlineStr">
        <is>
          <t>Customer Delivery Late</t>
        </is>
      </c>
      <c r="I259" t="inlineStr">
        <is>
          <t>Escalate / Follow up</t>
        </is>
      </c>
    </row>
    <row r="260">
      <c r="A260" t="inlineStr">
        <is>
          <t>ORD-02212</t>
        </is>
      </c>
      <c r="B260" t="inlineStr">
        <is>
          <t>Customer 13</t>
        </is>
      </c>
      <c r="C260" t="inlineStr">
        <is>
          <t>Switchgear</t>
        </is>
      </c>
      <c r="D260" s="14" t="n">
        <v>46107</v>
      </c>
      <c r="E260" s="14" t="n">
        <v>46114</v>
      </c>
      <c r="F260" t="n">
        <v>7</v>
      </c>
      <c r="G260" t="inlineStr">
        <is>
          <t>Material Shortage</t>
        </is>
      </c>
      <c r="H260" t="inlineStr">
        <is>
          <t>Customer Delivery Late</t>
        </is>
      </c>
      <c r="I260" t="inlineStr">
        <is>
          <t>Escalate / Follow up</t>
        </is>
      </c>
    </row>
    <row r="261">
      <c r="A261" t="inlineStr">
        <is>
          <t>ORD-02213</t>
        </is>
      </c>
      <c r="B261" t="inlineStr">
        <is>
          <t>Customer 24</t>
        </is>
      </c>
      <c r="C261" t="inlineStr">
        <is>
          <t>Breaker</t>
        </is>
      </c>
      <c r="D261" s="14" t="n">
        <v>46083</v>
      </c>
      <c r="E261" s="14" t="n">
        <v>46084</v>
      </c>
      <c r="F261" t="n">
        <v>1</v>
      </c>
      <c r="G261" t="inlineStr">
        <is>
          <t>Material Shortage</t>
        </is>
      </c>
      <c r="H261" t="inlineStr">
        <is>
          <t>Customer Delivery Late</t>
        </is>
      </c>
      <c r="I261" t="inlineStr">
        <is>
          <t>Escalate / Follow up</t>
        </is>
      </c>
    </row>
    <row r="262">
      <c r="A262" t="inlineStr">
        <is>
          <t>ORD-02220</t>
        </is>
      </c>
      <c r="B262" t="inlineStr">
        <is>
          <t>Customer 29</t>
        </is>
      </c>
      <c r="C262" t="inlineStr">
        <is>
          <t>Relay</t>
        </is>
      </c>
      <c r="D262" s="14" t="n">
        <v>46054</v>
      </c>
      <c r="E262" s="14" t="n">
        <v>46062</v>
      </c>
      <c r="F262" t="n">
        <v>8</v>
      </c>
      <c r="G262" t="inlineStr">
        <is>
          <t>Material Shortage</t>
        </is>
      </c>
      <c r="H262" t="inlineStr">
        <is>
          <t>Customer Delivery Late</t>
        </is>
      </c>
      <c r="I262" t="inlineStr">
        <is>
          <t>Escalate / Follow up</t>
        </is>
      </c>
    </row>
    <row r="263">
      <c r="A263" t="inlineStr">
        <is>
          <t>ORD-02249</t>
        </is>
      </c>
      <c r="B263" t="inlineStr">
        <is>
          <t>Customer 22</t>
        </is>
      </c>
      <c r="C263" t="inlineStr">
        <is>
          <t>Switchgear</t>
        </is>
      </c>
      <c r="D263" s="14" t="n">
        <v>46060</v>
      </c>
      <c r="E263" s="14" t="n">
        <v>46061</v>
      </c>
      <c r="F263" t="n">
        <v>1</v>
      </c>
      <c r="G263" t="inlineStr">
        <is>
          <t>Material Shortage</t>
        </is>
      </c>
      <c r="H263" t="inlineStr">
        <is>
          <t>Customer Delivery Late</t>
        </is>
      </c>
      <c r="I263" t="inlineStr">
        <is>
          <t>Escalate / Follow up</t>
        </is>
      </c>
    </row>
    <row r="264">
      <c r="A264" t="inlineStr">
        <is>
          <t>ORD-02253</t>
        </is>
      </c>
      <c r="B264" t="inlineStr">
        <is>
          <t>Customer 22</t>
        </is>
      </c>
      <c r="C264" t="inlineStr">
        <is>
          <t>Switchgear</t>
        </is>
      </c>
      <c r="D264" s="14" t="n">
        <v>46145</v>
      </c>
      <c r="E264" s="14" t="n">
        <v>46146</v>
      </c>
      <c r="F264" t="n">
        <v>1</v>
      </c>
      <c r="G264" t="inlineStr">
        <is>
          <t>Carrier Delay</t>
        </is>
      </c>
      <c r="H264" t="inlineStr">
        <is>
          <t>Customer Delivery Late</t>
        </is>
      </c>
      <c r="I264" t="inlineStr">
        <is>
          <t>Escalate / Follow up</t>
        </is>
      </c>
    </row>
    <row r="265">
      <c r="A265" t="inlineStr">
        <is>
          <t>ORD-02277</t>
        </is>
      </c>
      <c r="B265" t="inlineStr">
        <is>
          <t>Customer 14</t>
        </is>
      </c>
      <c r="C265" t="inlineStr">
        <is>
          <t>Sensor</t>
        </is>
      </c>
      <c r="D265" s="14" t="n">
        <v>46065</v>
      </c>
      <c r="E265" s="14" t="n">
        <v>46066</v>
      </c>
      <c r="F265" t="n">
        <v>1</v>
      </c>
      <c r="G265" t="inlineStr">
        <is>
          <t>Customer Change</t>
        </is>
      </c>
      <c r="H265" t="inlineStr">
        <is>
          <t>Customer Delivery Late</t>
        </is>
      </c>
      <c r="I265" t="inlineStr">
        <is>
          <t>Escalate / Follow up</t>
        </is>
      </c>
    </row>
    <row r="266">
      <c r="A266" t="inlineStr">
        <is>
          <t>ORD-02279</t>
        </is>
      </c>
      <c r="B266" t="inlineStr">
        <is>
          <t>Customer 30</t>
        </is>
      </c>
      <c r="C266" t="inlineStr">
        <is>
          <t>Sensor</t>
        </is>
      </c>
      <c r="D266" s="14" t="n">
        <v>46089</v>
      </c>
      <c r="E266" s="14" t="n">
        <v>46093</v>
      </c>
      <c r="F266" t="n">
        <v>4</v>
      </c>
      <c r="G266" t="inlineStr">
        <is>
          <t>Documentation Issue</t>
        </is>
      </c>
      <c r="H266" t="inlineStr">
        <is>
          <t>Customer Delivery Late</t>
        </is>
      </c>
      <c r="I266" t="inlineStr">
        <is>
          <t>Escalate / Follow up</t>
        </is>
      </c>
    </row>
    <row r="267">
      <c r="A267" t="inlineStr">
        <is>
          <t>ORD-02297</t>
        </is>
      </c>
      <c r="B267" t="inlineStr">
        <is>
          <t>Customer 24</t>
        </is>
      </c>
      <c r="C267" t="inlineStr">
        <is>
          <t>PLC</t>
        </is>
      </c>
      <c r="D267" s="14" t="n">
        <v>46057</v>
      </c>
      <c r="E267" s="14" t="n">
        <v>46058</v>
      </c>
      <c r="F267" t="n">
        <v>1</v>
      </c>
      <c r="G267" t="inlineStr">
        <is>
          <t>Documentation Issue</t>
        </is>
      </c>
      <c r="H267" t="inlineStr">
        <is>
          <t>Customer Delivery Late</t>
        </is>
      </c>
      <c r="I267" t="inlineStr">
        <is>
          <t>Escalate / Follow up</t>
        </is>
      </c>
    </row>
    <row r="268">
      <c r="A268" t="inlineStr">
        <is>
          <t>ORD-02310</t>
        </is>
      </c>
      <c r="B268" t="inlineStr">
        <is>
          <t>Customer 18</t>
        </is>
      </c>
      <c r="C268" t="inlineStr">
        <is>
          <t>Switchgear</t>
        </is>
      </c>
      <c r="D268" s="14" t="n">
        <v>46154</v>
      </c>
      <c r="E268" s="14" t="n">
        <v>46159</v>
      </c>
      <c r="F268" t="n">
        <v>5</v>
      </c>
      <c r="G268" t="inlineStr">
        <is>
          <t>Documentation Issue</t>
        </is>
      </c>
      <c r="H268" t="inlineStr">
        <is>
          <t>Customer Delivery Late</t>
        </is>
      </c>
      <c r="I268" t="inlineStr">
        <is>
          <t>Escalate / Follow up</t>
        </is>
      </c>
    </row>
    <row r="269">
      <c r="A269" t="inlineStr">
        <is>
          <t>ORD-02314</t>
        </is>
      </c>
      <c r="B269" t="inlineStr">
        <is>
          <t>Customer 23</t>
        </is>
      </c>
      <c r="C269" t="inlineStr">
        <is>
          <t>Breaker</t>
        </is>
      </c>
      <c r="D269" s="14" t="n">
        <v>46070</v>
      </c>
      <c r="E269" s="14" t="n">
        <v>46073</v>
      </c>
      <c r="F269" t="n">
        <v>3</v>
      </c>
      <c r="G269" t="inlineStr">
        <is>
          <t>Material Shortage</t>
        </is>
      </c>
      <c r="H269" t="inlineStr">
        <is>
          <t>Customer Delivery Late</t>
        </is>
      </c>
      <c r="I269" t="inlineStr">
        <is>
          <t>Escalate / Follow up</t>
        </is>
      </c>
    </row>
    <row r="270">
      <c r="A270" t="inlineStr">
        <is>
          <t>ORD-02321</t>
        </is>
      </c>
      <c r="B270" t="inlineStr">
        <is>
          <t>Customer 28</t>
        </is>
      </c>
      <c r="C270" t="inlineStr">
        <is>
          <t>Switchgear</t>
        </is>
      </c>
      <c r="D270" s="14" t="n">
        <v>46145</v>
      </c>
      <c r="E270" s="14" t="n">
        <v>46146</v>
      </c>
      <c r="F270" t="n">
        <v>1</v>
      </c>
      <c r="G270" t="inlineStr">
        <is>
          <t>Capacity Constraint</t>
        </is>
      </c>
      <c r="H270" t="inlineStr">
        <is>
          <t>Customer Delivery Late</t>
        </is>
      </c>
      <c r="I270" t="inlineStr">
        <is>
          <t>Escalate / Follow up</t>
        </is>
      </c>
    </row>
    <row r="271">
      <c r="A271" t="inlineStr">
        <is>
          <t>ORD-02326</t>
        </is>
      </c>
      <c r="B271" t="inlineStr">
        <is>
          <t>Customer 23</t>
        </is>
      </c>
      <c r="C271" t="inlineStr">
        <is>
          <t>Contactor</t>
        </is>
      </c>
      <c r="D271" s="14" t="n">
        <v>46138</v>
      </c>
      <c r="E271" s="14" t="n">
        <v>46139</v>
      </c>
      <c r="F271" t="n">
        <v>1</v>
      </c>
      <c r="G271" t="inlineStr">
        <is>
          <t>Production Delay</t>
        </is>
      </c>
      <c r="H271" t="inlineStr">
        <is>
          <t>Customer Delivery Late</t>
        </is>
      </c>
      <c r="I271" t="inlineStr">
        <is>
          <t>Escalate / Follow up</t>
        </is>
      </c>
    </row>
    <row r="272">
      <c r="A272" t="inlineStr">
        <is>
          <t>ORD-02328</t>
        </is>
      </c>
      <c r="B272" t="inlineStr">
        <is>
          <t>Customer 28</t>
        </is>
      </c>
      <c r="C272" t="inlineStr">
        <is>
          <t>Power Supply</t>
        </is>
      </c>
      <c r="D272" s="14" t="n">
        <v>46098</v>
      </c>
      <c r="E272" s="14" t="n">
        <v>46099</v>
      </c>
      <c r="F272" t="n">
        <v>1</v>
      </c>
      <c r="G272" t="inlineStr">
        <is>
          <t>Capacity Constraint</t>
        </is>
      </c>
      <c r="H272" t="inlineStr">
        <is>
          <t>Customer Delivery Late</t>
        </is>
      </c>
      <c r="I272" t="inlineStr">
        <is>
          <t>Escalate / Follow up</t>
        </is>
      </c>
    </row>
    <row r="273">
      <c r="A273" t="inlineStr">
        <is>
          <t>ORD-02337</t>
        </is>
      </c>
      <c r="B273" t="inlineStr">
        <is>
          <t>Customer 02</t>
        </is>
      </c>
      <c r="C273" t="inlineStr">
        <is>
          <t>Power Supply</t>
        </is>
      </c>
      <c r="D273" s="14" t="n">
        <v>46031</v>
      </c>
      <c r="E273" s="14" t="n">
        <v>46032</v>
      </c>
      <c r="F273" t="n">
        <v>1</v>
      </c>
      <c r="G273" t="inlineStr">
        <is>
          <t>Customer Change</t>
        </is>
      </c>
      <c r="H273" t="inlineStr">
        <is>
          <t>Customer Delivery Late</t>
        </is>
      </c>
      <c r="I273" t="inlineStr">
        <is>
          <t>Escalate / Follow up</t>
        </is>
      </c>
    </row>
    <row r="274">
      <c r="A274" t="inlineStr">
        <is>
          <t>ORD-02339</t>
        </is>
      </c>
      <c r="B274" t="inlineStr">
        <is>
          <t>Customer 24</t>
        </is>
      </c>
      <c r="C274" t="inlineStr">
        <is>
          <t>Breaker</t>
        </is>
      </c>
      <c r="D274" s="14" t="n">
        <v>46105</v>
      </c>
      <c r="E274" s="14" t="n">
        <v>46106</v>
      </c>
      <c r="F274" t="n">
        <v>1</v>
      </c>
      <c r="G274" t="inlineStr">
        <is>
          <t>Customer Change</t>
        </is>
      </c>
      <c r="H274" t="inlineStr">
        <is>
          <t>Customer Delivery Late</t>
        </is>
      </c>
      <c r="I274" t="inlineStr">
        <is>
          <t>Escalate / Follow up</t>
        </is>
      </c>
    </row>
    <row r="275">
      <c r="A275" t="inlineStr">
        <is>
          <t>ORD-02364</t>
        </is>
      </c>
      <c r="B275" t="inlineStr">
        <is>
          <t>Customer 21</t>
        </is>
      </c>
      <c r="C275" t="inlineStr">
        <is>
          <t>Switchgear</t>
        </is>
      </c>
      <c r="D275" s="14" t="n">
        <v>46158</v>
      </c>
      <c r="E275" s="14" t="n">
        <v>46159</v>
      </c>
      <c r="F275" t="n">
        <v>1</v>
      </c>
      <c r="G275" t="inlineStr">
        <is>
          <t>Documentation Issue</t>
        </is>
      </c>
      <c r="H275" t="inlineStr">
        <is>
          <t>Customer Delivery Late</t>
        </is>
      </c>
      <c r="I275" t="inlineStr">
        <is>
          <t>Escalate / Follow up</t>
        </is>
      </c>
    </row>
    <row r="276">
      <c r="A276" t="inlineStr">
        <is>
          <t>ORD-02367</t>
        </is>
      </c>
      <c r="B276" t="inlineStr">
        <is>
          <t>Customer 23</t>
        </is>
      </c>
      <c r="C276" t="inlineStr">
        <is>
          <t>PLC</t>
        </is>
      </c>
      <c r="D276" s="14" t="n">
        <v>46205</v>
      </c>
      <c r="E276" s="14" t="n">
        <v>46212</v>
      </c>
      <c r="F276" t="n">
        <v>7</v>
      </c>
      <c r="G276" t="inlineStr">
        <is>
          <t>Documentation Issue</t>
        </is>
      </c>
      <c r="H276" t="inlineStr">
        <is>
          <t>Customer Delivery Late</t>
        </is>
      </c>
      <c r="I276" t="inlineStr">
        <is>
          <t>Escalate / Follow up</t>
        </is>
      </c>
    </row>
    <row r="277">
      <c r="A277" t="inlineStr">
        <is>
          <t>ORD-02386</t>
        </is>
      </c>
      <c r="B277" t="inlineStr">
        <is>
          <t>Customer 09</t>
        </is>
      </c>
      <c r="C277" t="inlineStr">
        <is>
          <t>Sensor</t>
        </is>
      </c>
      <c r="D277" s="14" t="n">
        <v>46173</v>
      </c>
      <c r="E277" s="14" t="n">
        <v>46174</v>
      </c>
      <c r="F277" t="n">
        <v>1</v>
      </c>
      <c r="G277" t="inlineStr">
        <is>
          <t>Capacity Constraint</t>
        </is>
      </c>
      <c r="H277" t="inlineStr">
        <is>
          <t>Customer Delivery Late</t>
        </is>
      </c>
      <c r="I277" t="inlineStr">
        <is>
          <t>Escalate / Follow up</t>
        </is>
      </c>
    </row>
    <row r="278">
      <c r="A278" t="inlineStr">
        <is>
          <t>ORD-02403</t>
        </is>
      </c>
      <c r="B278" t="inlineStr">
        <is>
          <t>Customer 29</t>
        </is>
      </c>
      <c r="C278" t="inlineStr">
        <is>
          <t>Switchgear</t>
        </is>
      </c>
      <c r="D278" s="14" t="n">
        <v>46084</v>
      </c>
      <c r="E278" s="14" t="n">
        <v>46085</v>
      </c>
      <c r="F278" t="n">
        <v>1</v>
      </c>
      <c r="G278" t="inlineStr">
        <is>
          <t>Customer Change</t>
        </is>
      </c>
      <c r="H278" t="inlineStr">
        <is>
          <t>Customer Delivery Late</t>
        </is>
      </c>
      <c r="I278" t="inlineStr">
        <is>
          <t>Escalate / Follow up</t>
        </is>
      </c>
    </row>
    <row r="279">
      <c r="A279" t="inlineStr">
        <is>
          <t>ORD-02407</t>
        </is>
      </c>
      <c r="B279" t="inlineStr">
        <is>
          <t>Customer 06</t>
        </is>
      </c>
      <c r="C279" t="inlineStr">
        <is>
          <t>Drive</t>
        </is>
      </c>
      <c r="D279" s="14" t="n">
        <v>46038</v>
      </c>
      <c r="E279" s="14" t="n">
        <v>46039</v>
      </c>
      <c r="F279" t="n">
        <v>1</v>
      </c>
      <c r="G279" t="inlineStr">
        <is>
          <t>Customer Change</t>
        </is>
      </c>
      <c r="H279" t="inlineStr">
        <is>
          <t>Customer Delivery Late</t>
        </is>
      </c>
      <c r="I279" t="inlineStr">
        <is>
          <t>Escalate / Follow up</t>
        </is>
      </c>
    </row>
    <row r="280">
      <c r="A280" t="inlineStr">
        <is>
          <t>ORD-02418</t>
        </is>
      </c>
      <c r="B280" t="inlineStr">
        <is>
          <t>Customer 08</t>
        </is>
      </c>
      <c r="C280" t="inlineStr">
        <is>
          <t>Relay</t>
        </is>
      </c>
      <c r="D280" s="14" t="n">
        <v>46162</v>
      </c>
      <c r="E280" s="14" t="n">
        <v>46163</v>
      </c>
      <c r="F280" t="n">
        <v>1</v>
      </c>
      <c r="G280" t="inlineStr">
        <is>
          <t>Documentation Issue</t>
        </is>
      </c>
      <c r="H280" t="inlineStr">
        <is>
          <t>Customer Delivery Late</t>
        </is>
      </c>
      <c r="I280" t="inlineStr">
        <is>
          <t>Escalate / Follow up</t>
        </is>
      </c>
    </row>
    <row r="281">
      <c r="A281" t="inlineStr">
        <is>
          <t>ORD-02428</t>
        </is>
      </c>
      <c r="B281" t="inlineStr">
        <is>
          <t>Customer 04</t>
        </is>
      </c>
      <c r="C281" t="inlineStr">
        <is>
          <t>Contactor</t>
        </is>
      </c>
      <c r="D281" s="14" t="n">
        <v>46166</v>
      </c>
      <c r="E281" s="14" t="n">
        <v>46168</v>
      </c>
      <c r="F281" t="n">
        <v>2</v>
      </c>
      <c r="G281" t="inlineStr">
        <is>
          <t>Carrier Delay</t>
        </is>
      </c>
      <c r="H281" t="inlineStr">
        <is>
          <t>Customer Delivery Late</t>
        </is>
      </c>
      <c r="I281" t="inlineStr">
        <is>
          <t>Escalate / Follow up</t>
        </is>
      </c>
    </row>
    <row r="282">
      <c r="A282" t="inlineStr">
        <is>
          <t>ORD-02446</t>
        </is>
      </c>
      <c r="B282" t="inlineStr">
        <is>
          <t>Customer 26</t>
        </is>
      </c>
      <c r="C282" t="inlineStr">
        <is>
          <t>Power Supply</t>
        </is>
      </c>
      <c r="D282" s="14" t="n">
        <v>46196</v>
      </c>
      <c r="E282" s="14" t="n">
        <v>46197</v>
      </c>
      <c r="F282" t="n">
        <v>1</v>
      </c>
      <c r="G282" t="inlineStr">
        <is>
          <t>Documentation Issue</t>
        </is>
      </c>
      <c r="H282" t="inlineStr">
        <is>
          <t>Customer Delivery Late</t>
        </is>
      </c>
      <c r="I282" t="inlineStr">
        <is>
          <t>Escalate / Follow up</t>
        </is>
      </c>
    </row>
    <row r="283">
      <c r="A283" t="inlineStr">
        <is>
          <t>ORD-02463</t>
        </is>
      </c>
      <c r="B283" t="inlineStr">
        <is>
          <t>Customer 01</t>
        </is>
      </c>
      <c r="C283" t="inlineStr">
        <is>
          <t>Switchgear</t>
        </is>
      </c>
      <c r="D283" s="14" t="n">
        <v>46192</v>
      </c>
      <c r="E283" s="14" t="n">
        <v>46195</v>
      </c>
      <c r="F283" t="n">
        <v>3</v>
      </c>
      <c r="G283" t="inlineStr">
        <is>
          <t>Production Delay</t>
        </is>
      </c>
      <c r="H283" t="inlineStr">
        <is>
          <t>Customer Delivery Late</t>
        </is>
      </c>
      <c r="I283" t="inlineStr">
        <is>
          <t>Escalate / Follow up</t>
        </is>
      </c>
    </row>
    <row r="284">
      <c r="A284" t="inlineStr">
        <is>
          <t>ORD-02469</t>
        </is>
      </c>
      <c r="B284" t="inlineStr">
        <is>
          <t>Customer 14</t>
        </is>
      </c>
      <c r="C284" t="inlineStr">
        <is>
          <t>Drive</t>
        </is>
      </c>
      <c r="D284" s="14" t="n">
        <v>46163</v>
      </c>
      <c r="E284" s="14" t="n">
        <v>46168</v>
      </c>
      <c r="F284" t="n">
        <v>5</v>
      </c>
      <c r="G284" t="inlineStr">
        <is>
          <t>Carrier Delay</t>
        </is>
      </c>
      <c r="H284" t="inlineStr">
        <is>
          <t>Customer Delivery Late</t>
        </is>
      </c>
      <c r="I284" t="inlineStr">
        <is>
          <t>Escalate / Follow up</t>
        </is>
      </c>
    </row>
    <row r="285">
      <c r="A285" t="inlineStr">
        <is>
          <t>ORD-02474</t>
        </is>
      </c>
      <c r="B285" t="inlineStr">
        <is>
          <t>Customer 19</t>
        </is>
      </c>
      <c r="C285" t="inlineStr">
        <is>
          <t>Contactor</t>
        </is>
      </c>
      <c r="D285" s="14" t="n">
        <v>46214</v>
      </c>
      <c r="E285" s="14" t="n">
        <v>46219</v>
      </c>
      <c r="F285" t="n">
        <v>5</v>
      </c>
      <c r="G285" t="inlineStr">
        <is>
          <t>Material Shortage</t>
        </is>
      </c>
      <c r="H285" t="inlineStr">
        <is>
          <t>Customer Delivery Late</t>
        </is>
      </c>
      <c r="I285" t="inlineStr">
        <is>
          <t>Escalate / Follow up</t>
        </is>
      </c>
    </row>
    <row r="286">
      <c r="A286" t="inlineStr">
        <is>
          <t>ORD-02485</t>
        </is>
      </c>
      <c r="B286" t="inlineStr">
        <is>
          <t>Customer 09</t>
        </is>
      </c>
      <c r="C286" t="inlineStr">
        <is>
          <t>Breaker</t>
        </is>
      </c>
      <c r="D286" s="14" t="n">
        <v>46182</v>
      </c>
      <c r="E286" s="14" t="n">
        <v>46183</v>
      </c>
      <c r="F286" t="n">
        <v>1</v>
      </c>
      <c r="G286" t="inlineStr">
        <is>
          <t>Carrier Delay</t>
        </is>
      </c>
      <c r="H286" t="inlineStr">
        <is>
          <t>Customer Delivery Late</t>
        </is>
      </c>
      <c r="I286" t="inlineStr">
        <is>
          <t>Escalate / Follow up</t>
        </is>
      </c>
    </row>
    <row r="287">
      <c r="A287" t="inlineStr">
        <is>
          <t>ORD-02488</t>
        </is>
      </c>
      <c r="B287" t="inlineStr">
        <is>
          <t>Customer 03</t>
        </is>
      </c>
      <c r="C287" t="inlineStr">
        <is>
          <t>PLC</t>
        </is>
      </c>
      <c r="D287" s="14" t="n">
        <v>46172</v>
      </c>
      <c r="E287" s="14" t="n">
        <v>46173</v>
      </c>
      <c r="F287" t="n">
        <v>1</v>
      </c>
      <c r="G287" t="inlineStr">
        <is>
          <t>Production Delay</t>
        </is>
      </c>
      <c r="H287" t="inlineStr">
        <is>
          <t>Customer Delivery Late</t>
        </is>
      </c>
      <c r="I287" t="inlineStr">
        <is>
          <t>Escalate / Follow up</t>
        </is>
      </c>
    </row>
    <row r="288">
      <c r="A288" t="inlineStr">
        <is>
          <t>ORD-02494</t>
        </is>
      </c>
      <c r="B288" t="inlineStr">
        <is>
          <t>Customer 15</t>
        </is>
      </c>
      <c r="C288" t="inlineStr">
        <is>
          <t>Switchgear</t>
        </is>
      </c>
      <c r="D288" s="14" t="n">
        <v>46156</v>
      </c>
      <c r="E288" s="14" t="n">
        <v>46157</v>
      </c>
      <c r="F288" t="n">
        <v>1</v>
      </c>
      <c r="G288" t="inlineStr">
        <is>
          <t>Capacity Constraint</t>
        </is>
      </c>
      <c r="H288" t="inlineStr">
        <is>
          <t>Customer Delivery Late</t>
        </is>
      </c>
      <c r="I288" t="inlineStr">
        <is>
          <t>Escalate / Follow up</t>
        </is>
      </c>
    </row>
    <row r="289">
      <c r="A289" t="inlineStr">
        <is>
          <t>ORD-02495</t>
        </is>
      </c>
      <c r="B289" t="inlineStr">
        <is>
          <t>Customer 24</t>
        </is>
      </c>
      <c r="C289" t="inlineStr">
        <is>
          <t>PLC</t>
        </is>
      </c>
      <c r="D289" s="14" t="n">
        <v>46167</v>
      </c>
      <c r="E289" s="14" t="n">
        <v>46172</v>
      </c>
      <c r="F289" t="n">
        <v>5</v>
      </c>
      <c r="G289" t="inlineStr">
        <is>
          <t>Production Delay</t>
        </is>
      </c>
      <c r="H289" t="inlineStr">
        <is>
          <t>Customer Delivery Late</t>
        </is>
      </c>
      <c r="I289" t="inlineStr">
        <is>
          <t>Escalate / Follow up</t>
        </is>
      </c>
    </row>
    <row r="290">
      <c r="A290" t="inlineStr">
        <is>
          <t>ORD-02505</t>
        </is>
      </c>
      <c r="B290" t="inlineStr">
        <is>
          <t>Customer 03</t>
        </is>
      </c>
      <c r="C290" t="inlineStr">
        <is>
          <t>PLC</t>
        </is>
      </c>
      <c r="D290" s="14" t="n">
        <v>46161</v>
      </c>
      <c r="E290" s="14" t="n">
        <v>46169</v>
      </c>
      <c r="F290" t="n">
        <v>8</v>
      </c>
      <c r="G290" t="inlineStr">
        <is>
          <t>Production Delay</t>
        </is>
      </c>
      <c r="H290" t="inlineStr">
        <is>
          <t>Customer Delivery Late</t>
        </is>
      </c>
      <c r="I290" t="inlineStr">
        <is>
          <t>Escalate / Follow up</t>
        </is>
      </c>
    </row>
    <row r="291">
      <c r="A291" t="inlineStr">
        <is>
          <t>ORD-02512</t>
        </is>
      </c>
      <c r="B291" t="inlineStr">
        <is>
          <t>Customer 21</t>
        </is>
      </c>
      <c r="C291" t="inlineStr">
        <is>
          <t>Breaker</t>
        </is>
      </c>
      <c r="D291" s="14" t="n">
        <v>46123</v>
      </c>
      <c r="E291" s="14" t="n">
        <v>46124</v>
      </c>
      <c r="F291" t="n">
        <v>1</v>
      </c>
      <c r="G291" t="inlineStr">
        <is>
          <t>Documentation Issue</t>
        </is>
      </c>
      <c r="H291" t="inlineStr">
        <is>
          <t>Customer Delivery Late</t>
        </is>
      </c>
      <c r="I291" t="inlineStr">
        <is>
          <t>Escalate / Follow up</t>
        </is>
      </c>
    </row>
    <row r="292">
      <c r="A292" t="inlineStr">
        <is>
          <t>ORD-02533</t>
        </is>
      </c>
      <c r="B292" t="inlineStr">
        <is>
          <t>Customer 10</t>
        </is>
      </c>
      <c r="C292" t="inlineStr">
        <is>
          <t>Drive</t>
        </is>
      </c>
      <c r="D292" s="14" t="n">
        <v>46181</v>
      </c>
      <c r="E292" s="14" t="n">
        <v>46182</v>
      </c>
      <c r="F292" t="n">
        <v>1</v>
      </c>
      <c r="G292" t="inlineStr">
        <is>
          <t>Documentation Issue</t>
        </is>
      </c>
      <c r="H292" t="inlineStr">
        <is>
          <t>Customer Delivery Late</t>
        </is>
      </c>
      <c r="I292" t="inlineStr">
        <is>
          <t>Escalate / Follow up</t>
        </is>
      </c>
    </row>
    <row r="293">
      <c r="A293" t="inlineStr">
        <is>
          <t>ORD-02542</t>
        </is>
      </c>
      <c r="B293" t="inlineStr">
        <is>
          <t>Customer 19</t>
        </is>
      </c>
      <c r="C293" t="inlineStr">
        <is>
          <t>Switchgear</t>
        </is>
      </c>
      <c r="D293" s="14" t="n">
        <v>46043</v>
      </c>
      <c r="E293" s="14" t="n">
        <v>46044</v>
      </c>
      <c r="F293" t="n">
        <v>1</v>
      </c>
      <c r="G293" t="inlineStr">
        <is>
          <t>Material Shortage</t>
        </is>
      </c>
      <c r="H293" t="inlineStr">
        <is>
          <t>Customer Delivery Late</t>
        </is>
      </c>
      <c r="I293" t="inlineStr">
        <is>
          <t>Escalate / Follow up</t>
        </is>
      </c>
    </row>
    <row r="294">
      <c r="A294" t="inlineStr">
        <is>
          <t>ORD-02562</t>
        </is>
      </c>
      <c r="B294" t="inlineStr">
        <is>
          <t>Customer 19</t>
        </is>
      </c>
      <c r="C294" t="inlineStr">
        <is>
          <t>Sensor</t>
        </is>
      </c>
      <c r="D294" s="14" t="n">
        <v>46034</v>
      </c>
      <c r="E294" s="14" t="n">
        <v>46036</v>
      </c>
      <c r="F294" t="n">
        <v>2</v>
      </c>
      <c r="G294" t="inlineStr">
        <is>
          <t>Documentation Issue</t>
        </is>
      </c>
      <c r="H294" t="inlineStr">
        <is>
          <t>Customer Delivery Late</t>
        </is>
      </c>
      <c r="I294" t="inlineStr">
        <is>
          <t>Escalate / Follow up</t>
        </is>
      </c>
    </row>
    <row r="295">
      <c r="A295" t="inlineStr">
        <is>
          <t>ORD-02563</t>
        </is>
      </c>
      <c r="B295" t="inlineStr">
        <is>
          <t>Customer 14</t>
        </is>
      </c>
      <c r="C295" t="inlineStr">
        <is>
          <t>Sensor</t>
        </is>
      </c>
      <c r="D295" s="14" t="n">
        <v>46097</v>
      </c>
      <c r="E295" s="14" t="n">
        <v>46098</v>
      </c>
      <c r="F295" t="n">
        <v>1</v>
      </c>
      <c r="G295" t="inlineStr">
        <is>
          <t>Production Delay</t>
        </is>
      </c>
      <c r="H295" t="inlineStr">
        <is>
          <t>Customer Delivery Late</t>
        </is>
      </c>
      <c r="I295" t="inlineStr">
        <is>
          <t>Escalate / Follow up</t>
        </is>
      </c>
    </row>
    <row r="296">
      <c r="A296" t="inlineStr">
        <is>
          <t>ORD-02567</t>
        </is>
      </c>
      <c r="B296" t="inlineStr">
        <is>
          <t>Customer 29</t>
        </is>
      </c>
      <c r="C296" t="inlineStr">
        <is>
          <t>Drive</t>
        </is>
      </c>
      <c r="D296" s="14" t="n">
        <v>46146</v>
      </c>
      <c r="E296" s="14" t="n">
        <v>46147</v>
      </c>
      <c r="F296" t="n">
        <v>1</v>
      </c>
      <c r="G296" t="inlineStr">
        <is>
          <t>Documentation Issue</t>
        </is>
      </c>
      <c r="H296" t="inlineStr">
        <is>
          <t>Customer Delivery Late</t>
        </is>
      </c>
      <c r="I296" t="inlineStr">
        <is>
          <t>Escalate / Follow up</t>
        </is>
      </c>
    </row>
    <row r="297">
      <c r="A297" t="inlineStr">
        <is>
          <t>ORD-02573</t>
        </is>
      </c>
      <c r="B297" t="inlineStr">
        <is>
          <t>Customer 02</t>
        </is>
      </c>
      <c r="C297" t="inlineStr">
        <is>
          <t>Power Supply</t>
        </is>
      </c>
      <c r="D297" s="14" t="n">
        <v>46170</v>
      </c>
      <c r="E297" s="14" t="n">
        <v>46173</v>
      </c>
      <c r="F297" t="n">
        <v>3</v>
      </c>
      <c r="G297" t="inlineStr">
        <is>
          <t>Capacity Constraint</t>
        </is>
      </c>
      <c r="H297" t="inlineStr">
        <is>
          <t>Customer Delivery Late</t>
        </is>
      </c>
      <c r="I297" t="inlineStr">
        <is>
          <t>Escalate / Follow up</t>
        </is>
      </c>
    </row>
    <row r="298">
      <c r="A298" t="inlineStr">
        <is>
          <t>ORD-02574</t>
        </is>
      </c>
      <c r="B298" t="inlineStr">
        <is>
          <t>Customer 21</t>
        </is>
      </c>
      <c r="C298" t="inlineStr">
        <is>
          <t>Drive</t>
        </is>
      </c>
      <c r="D298" s="14" t="n">
        <v>46036</v>
      </c>
      <c r="E298" s="14" t="n">
        <v>46037</v>
      </c>
      <c r="F298" t="n">
        <v>1</v>
      </c>
      <c r="G298" t="inlineStr">
        <is>
          <t>Capacity Constraint</t>
        </is>
      </c>
      <c r="H298" t="inlineStr">
        <is>
          <t>Customer Delivery Late</t>
        </is>
      </c>
      <c r="I298" t="inlineStr">
        <is>
          <t>Escalate / Follow up</t>
        </is>
      </c>
    </row>
    <row r="299">
      <c r="A299" t="inlineStr">
        <is>
          <t>ORD-02575</t>
        </is>
      </c>
      <c r="B299" t="inlineStr">
        <is>
          <t>Customer 16</t>
        </is>
      </c>
      <c r="C299" t="inlineStr">
        <is>
          <t>Breaker</t>
        </is>
      </c>
      <c r="D299" s="14" t="n">
        <v>46147</v>
      </c>
      <c r="E299" s="14" t="n">
        <v>46148</v>
      </c>
      <c r="F299" t="n">
        <v>1</v>
      </c>
      <c r="G299" t="inlineStr">
        <is>
          <t>Customer Change</t>
        </is>
      </c>
      <c r="H299" t="inlineStr">
        <is>
          <t>Customer Delivery Late</t>
        </is>
      </c>
      <c r="I299" t="inlineStr">
        <is>
          <t>Escalate / Follow up</t>
        </is>
      </c>
    </row>
    <row r="300">
      <c r="A300" t="inlineStr">
        <is>
          <t>ORD-02577</t>
        </is>
      </c>
      <c r="B300" t="inlineStr">
        <is>
          <t>Customer 23</t>
        </is>
      </c>
      <c r="C300" t="inlineStr">
        <is>
          <t>Power Supply</t>
        </is>
      </c>
      <c r="D300" s="14" t="n">
        <v>46054</v>
      </c>
      <c r="E300" s="14" t="n">
        <v>46055</v>
      </c>
      <c r="F300" t="n">
        <v>1</v>
      </c>
      <c r="G300" t="inlineStr">
        <is>
          <t>Customer Change</t>
        </is>
      </c>
      <c r="H300" t="inlineStr">
        <is>
          <t>Customer Delivery Late</t>
        </is>
      </c>
      <c r="I300" t="inlineStr">
        <is>
          <t>Escalate / Follow up</t>
        </is>
      </c>
    </row>
    <row r="301">
      <c r="A301" t="inlineStr">
        <is>
          <t>ORD-02586</t>
        </is>
      </c>
      <c r="B301" t="inlineStr">
        <is>
          <t>Customer 05</t>
        </is>
      </c>
      <c r="C301" t="inlineStr">
        <is>
          <t>PLC</t>
        </is>
      </c>
      <c r="D301" s="14" t="n">
        <v>46182</v>
      </c>
      <c r="E301" s="14" t="n">
        <v>46187</v>
      </c>
      <c r="F301" t="n">
        <v>5</v>
      </c>
      <c r="G301" t="inlineStr">
        <is>
          <t>Carrier Delay</t>
        </is>
      </c>
      <c r="H301" t="inlineStr">
        <is>
          <t>Customer Delivery Late</t>
        </is>
      </c>
      <c r="I301" t="inlineStr">
        <is>
          <t>Escalate / Follow up</t>
        </is>
      </c>
    </row>
    <row r="302">
      <c r="A302" t="inlineStr">
        <is>
          <t>ORD-02591</t>
        </is>
      </c>
      <c r="B302" t="inlineStr">
        <is>
          <t>Customer 07</t>
        </is>
      </c>
      <c r="C302" t="inlineStr">
        <is>
          <t>Sensor</t>
        </is>
      </c>
      <c r="D302" s="14" t="n">
        <v>46085</v>
      </c>
      <c r="E302" s="14" t="n">
        <v>46086</v>
      </c>
      <c r="F302" t="n">
        <v>1</v>
      </c>
      <c r="G302" t="inlineStr">
        <is>
          <t>Capacity Constraint</t>
        </is>
      </c>
      <c r="H302" t="inlineStr">
        <is>
          <t>Customer Delivery Late</t>
        </is>
      </c>
      <c r="I302" t="inlineStr">
        <is>
          <t>Escalate / Follow up</t>
        </is>
      </c>
    </row>
    <row r="303">
      <c r="A303" t="inlineStr">
        <is>
          <t>ORD-02592</t>
        </is>
      </c>
      <c r="B303" t="inlineStr">
        <is>
          <t>Customer 30</t>
        </is>
      </c>
      <c r="C303" t="inlineStr">
        <is>
          <t>PLC</t>
        </is>
      </c>
      <c r="D303" s="14" t="n">
        <v>46102</v>
      </c>
      <c r="E303" s="14" t="n">
        <v>46103</v>
      </c>
      <c r="F303" t="n">
        <v>1</v>
      </c>
      <c r="G303" t="inlineStr">
        <is>
          <t>Documentation Issue</t>
        </is>
      </c>
      <c r="H303" t="inlineStr">
        <is>
          <t>Customer Delivery Late</t>
        </is>
      </c>
      <c r="I303" t="inlineStr">
        <is>
          <t>Escalate / Follow up</t>
        </is>
      </c>
    </row>
    <row r="304">
      <c r="A304" t="inlineStr">
        <is>
          <t>ORD-02593</t>
        </is>
      </c>
      <c r="B304" t="inlineStr">
        <is>
          <t>Customer 12</t>
        </is>
      </c>
      <c r="C304" t="inlineStr">
        <is>
          <t>Drive</t>
        </is>
      </c>
      <c r="D304" s="14" t="n">
        <v>46123</v>
      </c>
      <c r="E304" s="14" t="n">
        <v>46124</v>
      </c>
      <c r="F304" t="n">
        <v>1</v>
      </c>
      <c r="G304" t="inlineStr">
        <is>
          <t>Documentation Issue</t>
        </is>
      </c>
      <c r="H304" t="inlineStr">
        <is>
          <t>Customer Delivery Late</t>
        </is>
      </c>
      <c r="I304" t="inlineStr">
        <is>
          <t>Escalate / Follow up</t>
        </is>
      </c>
    </row>
    <row r="305">
      <c r="A305" t="inlineStr">
        <is>
          <t>ORD-02601</t>
        </is>
      </c>
      <c r="B305" t="inlineStr">
        <is>
          <t>Customer 04</t>
        </is>
      </c>
      <c r="C305" t="inlineStr">
        <is>
          <t>Breaker</t>
        </is>
      </c>
      <c r="D305" s="14" t="n">
        <v>46151</v>
      </c>
      <c r="E305" s="14" t="n">
        <v>46152</v>
      </c>
      <c r="F305" t="n">
        <v>1</v>
      </c>
      <c r="G305" t="inlineStr">
        <is>
          <t>Capacity Constraint</t>
        </is>
      </c>
      <c r="H305" t="inlineStr">
        <is>
          <t>Customer Delivery Late</t>
        </is>
      </c>
      <c r="I305" t="inlineStr">
        <is>
          <t>Escalate / Follow up</t>
        </is>
      </c>
    </row>
    <row r="306">
      <c r="A306" t="inlineStr">
        <is>
          <t>ORD-02603</t>
        </is>
      </c>
      <c r="B306" t="inlineStr">
        <is>
          <t>Customer 03</t>
        </is>
      </c>
      <c r="C306" t="inlineStr">
        <is>
          <t>Switchgear</t>
        </is>
      </c>
      <c r="D306" s="14" t="n">
        <v>46188</v>
      </c>
      <c r="E306" s="14" t="n">
        <v>46189</v>
      </c>
      <c r="F306" t="n">
        <v>1</v>
      </c>
      <c r="G306" t="inlineStr">
        <is>
          <t>Carrier Delay</t>
        </is>
      </c>
      <c r="H306" t="inlineStr">
        <is>
          <t>Customer Delivery Late</t>
        </is>
      </c>
      <c r="I306" t="inlineStr">
        <is>
          <t>Escalate / Follow up</t>
        </is>
      </c>
    </row>
    <row r="307">
      <c r="A307" t="inlineStr">
        <is>
          <t>ORD-02610</t>
        </is>
      </c>
      <c r="B307" t="inlineStr">
        <is>
          <t>Customer 17</t>
        </is>
      </c>
      <c r="C307" t="inlineStr">
        <is>
          <t>Switchgear</t>
        </is>
      </c>
      <c r="D307" s="14" t="n">
        <v>46190</v>
      </c>
      <c r="E307" s="14" t="n">
        <v>46193</v>
      </c>
      <c r="F307" t="n">
        <v>3</v>
      </c>
      <c r="G307" t="inlineStr">
        <is>
          <t>Production Delay</t>
        </is>
      </c>
      <c r="H307" t="inlineStr">
        <is>
          <t>Customer Delivery Late</t>
        </is>
      </c>
      <c r="I307" t="inlineStr">
        <is>
          <t>Escalate / Follow up</t>
        </is>
      </c>
    </row>
    <row r="308">
      <c r="A308" t="inlineStr">
        <is>
          <t>ORD-02613</t>
        </is>
      </c>
      <c r="B308" t="inlineStr">
        <is>
          <t>Customer 02</t>
        </is>
      </c>
      <c r="C308" t="inlineStr">
        <is>
          <t>Sensor</t>
        </is>
      </c>
      <c r="D308" s="14" t="n">
        <v>46187</v>
      </c>
      <c r="E308" s="14" t="n">
        <v>46195</v>
      </c>
      <c r="F308" t="n">
        <v>8</v>
      </c>
      <c r="G308" t="inlineStr">
        <is>
          <t>Material Shortage</t>
        </is>
      </c>
      <c r="H308" t="inlineStr">
        <is>
          <t>Customer Delivery Late</t>
        </is>
      </c>
      <c r="I308" t="inlineStr">
        <is>
          <t>Escalate / Follow up</t>
        </is>
      </c>
    </row>
    <row r="309">
      <c r="A309" t="inlineStr">
        <is>
          <t>ORD-02614</t>
        </is>
      </c>
      <c r="B309" t="inlineStr">
        <is>
          <t>Customer 11</t>
        </is>
      </c>
      <c r="C309" t="inlineStr">
        <is>
          <t>Drive</t>
        </is>
      </c>
      <c r="D309" s="14" t="n">
        <v>46090</v>
      </c>
      <c r="E309" s="14" t="n">
        <v>46092</v>
      </c>
      <c r="F309" t="n">
        <v>2</v>
      </c>
      <c r="G309" t="inlineStr">
        <is>
          <t>Capacity Constraint</t>
        </is>
      </c>
      <c r="H309" t="inlineStr">
        <is>
          <t>Customer Delivery Late</t>
        </is>
      </c>
      <c r="I309" t="inlineStr">
        <is>
          <t>Escalate / Follow up</t>
        </is>
      </c>
    </row>
    <row r="310">
      <c r="A310" t="inlineStr">
        <is>
          <t>ORD-02623</t>
        </is>
      </c>
      <c r="B310" t="inlineStr">
        <is>
          <t>Customer 03</t>
        </is>
      </c>
      <c r="C310" t="inlineStr">
        <is>
          <t>Relay</t>
        </is>
      </c>
      <c r="D310" s="14" t="n">
        <v>46201</v>
      </c>
      <c r="E310" s="14" t="n">
        <v>46207</v>
      </c>
      <c r="F310" t="n">
        <v>6</v>
      </c>
      <c r="G310" t="inlineStr">
        <is>
          <t>Customer Change</t>
        </is>
      </c>
      <c r="H310" t="inlineStr">
        <is>
          <t>Customer Delivery Late</t>
        </is>
      </c>
      <c r="I310" t="inlineStr">
        <is>
          <t>Escalate / Follow up</t>
        </is>
      </c>
    </row>
    <row r="311">
      <c r="A311" t="inlineStr">
        <is>
          <t>ORD-02631</t>
        </is>
      </c>
      <c r="B311" t="inlineStr">
        <is>
          <t>Customer 09</t>
        </is>
      </c>
      <c r="C311" t="inlineStr">
        <is>
          <t>Relay</t>
        </is>
      </c>
      <c r="D311" s="14" t="n">
        <v>46197</v>
      </c>
      <c r="E311" s="14" t="n">
        <v>46198</v>
      </c>
      <c r="F311" t="n">
        <v>1</v>
      </c>
      <c r="G311" t="inlineStr">
        <is>
          <t>Documentation Issue</t>
        </is>
      </c>
      <c r="H311" t="inlineStr">
        <is>
          <t>Customer Delivery Late</t>
        </is>
      </c>
      <c r="I311" t="inlineStr">
        <is>
          <t>Escalate / Follow up</t>
        </is>
      </c>
    </row>
    <row r="312">
      <c r="A312" t="inlineStr">
        <is>
          <t>ORD-02634</t>
        </is>
      </c>
      <c r="B312" t="inlineStr">
        <is>
          <t>Customer 26</t>
        </is>
      </c>
      <c r="C312" t="inlineStr">
        <is>
          <t>Power Supply</t>
        </is>
      </c>
      <c r="D312" s="14" t="n">
        <v>46133</v>
      </c>
      <c r="E312" s="14" t="n">
        <v>46141</v>
      </c>
      <c r="F312" t="n">
        <v>8</v>
      </c>
      <c r="G312" t="inlineStr">
        <is>
          <t>Production Delay</t>
        </is>
      </c>
      <c r="H312" t="inlineStr">
        <is>
          <t>Customer Delivery Late</t>
        </is>
      </c>
      <c r="I312" t="inlineStr">
        <is>
          <t>Escalate / Follow up</t>
        </is>
      </c>
    </row>
    <row r="313">
      <c r="A313" t="inlineStr">
        <is>
          <t>ORD-02635</t>
        </is>
      </c>
      <c r="B313" t="inlineStr">
        <is>
          <t>Customer 20</t>
        </is>
      </c>
      <c r="C313" t="inlineStr">
        <is>
          <t>Relay</t>
        </is>
      </c>
      <c r="D313" s="14" t="n">
        <v>46070</v>
      </c>
      <c r="E313" s="14" t="n">
        <v>46072</v>
      </c>
      <c r="F313" t="n">
        <v>2</v>
      </c>
      <c r="G313" t="inlineStr">
        <is>
          <t>Carrier Delay</t>
        </is>
      </c>
      <c r="H313" t="inlineStr">
        <is>
          <t>Customer Delivery Late</t>
        </is>
      </c>
      <c r="I313" t="inlineStr">
        <is>
          <t>Escalate / Follow up</t>
        </is>
      </c>
    </row>
    <row r="314">
      <c r="A314" t="inlineStr">
        <is>
          <t>ORD-02639</t>
        </is>
      </c>
      <c r="B314" t="inlineStr">
        <is>
          <t>Customer 29</t>
        </is>
      </c>
      <c r="C314" t="inlineStr">
        <is>
          <t>PLC</t>
        </is>
      </c>
      <c r="D314" s="14" t="n">
        <v>46077</v>
      </c>
      <c r="E314" s="14" t="n">
        <v>46080</v>
      </c>
      <c r="F314" t="n">
        <v>3</v>
      </c>
      <c r="G314" t="inlineStr">
        <is>
          <t>Customer Change</t>
        </is>
      </c>
      <c r="H314" t="inlineStr">
        <is>
          <t>Customer Delivery Late</t>
        </is>
      </c>
      <c r="I314" t="inlineStr">
        <is>
          <t>Escalate / Follow up</t>
        </is>
      </c>
    </row>
    <row r="315">
      <c r="A315" t="inlineStr">
        <is>
          <t>ORD-02659</t>
        </is>
      </c>
      <c r="B315" t="inlineStr">
        <is>
          <t>Customer 23</t>
        </is>
      </c>
      <c r="C315" t="inlineStr">
        <is>
          <t>Relay</t>
        </is>
      </c>
      <c r="D315" s="14" t="n">
        <v>46145</v>
      </c>
      <c r="E315" s="14" t="n">
        <v>46149</v>
      </c>
      <c r="F315" t="n">
        <v>4</v>
      </c>
      <c r="G315" t="inlineStr">
        <is>
          <t>Documentation Issue</t>
        </is>
      </c>
      <c r="H315" t="inlineStr">
        <is>
          <t>Customer Delivery Late</t>
        </is>
      </c>
      <c r="I315" t="inlineStr">
        <is>
          <t>Escalate / Follow up</t>
        </is>
      </c>
    </row>
    <row r="316">
      <c r="A316" t="inlineStr">
        <is>
          <t>ORD-02660</t>
        </is>
      </c>
      <c r="B316" t="inlineStr">
        <is>
          <t>Customer 06</t>
        </is>
      </c>
      <c r="C316" t="inlineStr">
        <is>
          <t>Switchgear</t>
        </is>
      </c>
      <c r="D316" s="14" t="n">
        <v>46223</v>
      </c>
      <c r="E316" s="14" t="n">
        <v>46224</v>
      </c>
      <c r="F316" t="n">
        <v>1</v>
      </c>
      <c r="G316" t="inlineStr">
        <is>
          <t>Capacity Constraint</t>
        </is>
      </c>
      <c r="H316" t="inlineStr">
        <is>
          <t>Customer Delivery Late</t>
        </is>
      </c>
      <c r="I316" t="inlineStr">
        <is>
          <t>Escalate / Follow up</t>
        </is>
      </c>
    </row>
    <row r="317">
      <c r="A317" t="inlineStr">
        <is>
          <t>ORD-02675</t>
        </is>
      </c>
      <c r="B317" t="inlineStr">
        <is>
          <t>Customer 22</t>
        </is>
      </c>
      <c r="C317" t="inlineStr">
        <is>
          <t>Drive</t>
        </is>
      </c>
      <c r="D317" s="14" t="n">
        <v>46191</v>
      </c>
      <c r="E317" s="14" t="n">
        <v>46197</v>
      </c>
      <c r="F317" t="n">
        <v>6</v>
      </c>
      <c r="G317" t="inlineStr">
        <is>
          <t>Material Shortage</t>
        </is>
      </c>
      <c r="H317" t="inlineStr">
        <is>
          <t>Customer Delivery Late</t>
        </is>
      </c>
      <c r="I317" t="inlineStr">
        <is>
          <t>Escalate / Follow up</t>
        </is>
      </c>
    </row>
    <row r="318">
      <c r="A318" t="inlineStr">
        <is>
          <t>ORD-02677</t>
        </is>
      </c>
      <c r="B318" t="inlineStr">
        <is>
          <t>Customer 18</t>
        </is>
      </c>
      <c r="C318" t="inlineStr">
        <is>
          <t>Power Supply</t>
        </is>
      </c>
      <c r="D318" s="14" t="n">
        <v>46087</v>
      </c>
      <c r="E318" s="14" t="n">
        <v>46088</v>
      </c>
      <c r="F318" t="n">
        <v>1</v>
      </c>
      <c r="G318" t="inlineStr">
        <is>
          <t>Capacity Constraint</t>
        </is>
      </c>
      <c r="H318" t="inlineStr">
        <is>
          <t>Customer Delivery Late</t>
        </is>
      </c>
      <c r="I318" t="inlineStr">
        <is>
          <t>Escalate / Follow up</t>
        </is>
      </c>
    </row>
    <row r="319">
      <c r="A319" t="inlineStr">
        <is>
          <t>ORD-02682</t>
        </is>
      </c>
      <c r="B319" t="inlineStr">
        <is>
          <t>Customer 29</t>
        </is>
      </c>
      <c r="C319" t="inlineStr">
        <is>
          <t>PLC</t>
        </is>
      </c>
      <c r="D319" s="14" t="n">
        <v>46159</v>
      </c>
      <c r="E319" s="14" t="n">
        <v>46160</v>
      </c>
      <c r="F319" t="n">
        <v>1</v>
      </c>
      <c r="G319" t="inlineStr">
        <is>
          <t>Carrier Delay</t>
        </is>
      </c>
      <c r="H319" t="inlineStr">
        <is>
          <t>Customer Delivery Late</t>
        </is>
      </c>
      <c r="I319" t="inlineStr">
        <is>
          <t>Escalate / Follow up</t>
        </is>
      </c>
    </row>
    <row r="320">
      <c r="A320" t="inlineStr">
        <is>
          <t>ORD-02683</t>
        </is>
      </c>
      <c r="B320" t="inlineStr">
        <is>
          <t>Customer 07</t>
        </is>
      </c>
      <c r="C320" t="inlineStr">
        <is>
          <t>PLC</t>
        </is>
      </c>
      <c r="D320" s="14" t="n">
        <v>46102</v>
      </c>
      <c r="E320" s="14" t="n">
        <v>46104</v>
      </c>
      <c r="F320" t="n">
        <v>2</v>
      </c>
      <c r="G320" t="inlineStr">
        <is>
          <t>Capacity Constraint</t>
        </is>
      </c>
      <c r="H320" t="inlineStr">
        <is>
          <t>Customer Delivery Late</t>
        </is>
      </c>
      <c r="I320" t="inlineStr">
        <is>
          <t>Escalate / Follow up</t>
        </is>
      </c>
    </row>
    <row r="321">
      <c r="A321" t="inlineStr">
        <is>
          <t>ORD-02685</t>
        </is>
      </c>
      <c r="B321" t="inlineStr">
        <is>
          <t>Customer 06</t>
        </is>
      </c>
      <c r="C321" t="inlineStr">
        <is>
          <t>Sensor</t>
        </is>
      </c>
      <c r="D321" s="14" t="n">
        <v>46098</v>
      </c>
      <c r="E321" s="14" t="n">
        <v>46102</v>
      </c>
      <c r="F321" t="n">
        <v>4</v>
      </c>
      <c r="G321" t="inlineStr">
        <is>
          <t>Production Delay</t>
        </is>
      </c>
      <c r="H321" t="inlineStr">
        <is>
          <t>Customer Delivery Late</t>
        </is>
      </c>
      <c r="I321" t="inlineStr">
        <is>
          <t>Escalate / Follow up</t>
        </is>
      </c>
    </row>
    <row r="322">
      <c r="A322" t="inlineStr">
        <is>
          <t>ORD-02686</t>
        </is>
      </c>
      <c r="B322" t="inlineStr">
        <is>
          <t>Customer 29</t>
        </is>
      </c>
      <c r="C322" t="inlineStr">
        <is>
          <t>Sensor</t>
        </is>
      </c>
      <c r="D322" s="14" t="n">
        <v>46077</v>
      </c>
      <c r="E322" s="14" t="n">
        <v>46078</v>
      </c>
      <c r="F322" t="n">
        <v>1</v>
      </c>
      <c r="G322" t="inlineStr">
        <is>
          <t>Production Delay</t>
        </is>
      </c>
      <c r="H322" t="inlineStr">
        <is>
          <t>Customer Delivery Late</t>
        </is>
      </c>
      <c r="I322" t="inlineStr">
        <is>
          <t>Escalate / Follow up</t>
        </is>
      </c>
    </row>
    <row r="323">
      <c r="A323" t="inlineStr">
        <is>
          <t>ORD-02689</t>
        </is>
      </c>
      <c r="B323" t="inlineStr">
        <is>
          <t>Customer 10</t>
        </is>
      </c>
      <c r="C323" t="inlineStr">
        <is>
          <t>Sensor</t>
        </is>
      </c>
      <c r="D323" s="14" t="n">
        <v>46203</v>
      </c>
      <c r="E323" s="14" t="n">
        <v>46204</v>
      </c>
      <c r="F323" t="n">
        <v>1</v>
      </c>
      <c r="G323" t="inlineStr">
        <is>
          <t>Documentation Issue</t>
        </is>
      </c>
      <c r="H323" t="inlineStr">
        <is>
          <t>Customer Delivery Late</t>
        </is>
      </c>
      <c r="I323" t="inlineStr">
        <is>
          <t>Escalate / Follow up</t>
        </is>
      </c>
    </row>
    <row r="324">
      <c r="A324" t="inlineStr">
        <is>
          <t>ORD-02769</t>
        </is>
      </c>
      <c r="B324" t="inlineStr">
        <is>
          <t>Customer 07</t>
        </is>
      </c>
      <c r="C324" t="inlineStr">
        <is>
          <t>Drive</t>
        </is>
      </c>
      <c r="D324" s="14" t="n">
        <v>46145</v>
      </c>
      <c r="E324" s="14" t="n">
        <v>46148</v>
      </c>
      <c r="F324" t="n">
        <v>3</v>
      </c>
      <c r="G324" t="inlineStr">
        <is>
          <t>Material Shortage</t>
        </is>
      </c>
      <c r="H324" t="inlineStr">
        <is>
          <t>Customer Delivery Late</t>
        </is>
      </c>
      <c r="I324" t="inlineStr">
        <is>
          <t>Escalate / Follow up</t>
        </is>
      </c>
    </row>
    <row r="325">
      <c r="A325" t="inlineStr">
        <is>
          <t>ORD-02792</t>
        </is>
      </c>
      <c r="B325" t="inlineStr">
        <is>
          <t>Customer 10</t>
        </is>
      </c>
      <c r="C325" t="inlineStr">
        <is>
          <t>Contactor</t>
        </is>
      </c>
      <c r="D325" s="14" t="n">
        <v>46064</v>
      </c>
      <c r="E325" s="14" t="n">
        <v>46066</v>
      </c>
      <c r="F325" t="n">
        <v>2</v>
      </c>
      <c r="G325" t="inlineStr">
        <is>
          <t>Production Delay</t>
        </is>
      </c>
      <c r="H325" t="inlineStr">
        <is>
          <t>Customer Delivery Late</t>
        </is>
      </c>
      <c r="I325" t="inlineStr">
        <is>
          <t>Escalate / Follow up</t>
        </is>
      </c>
    </row>
    <row r="326">
      <c r="A326" t="inlineStr">
        <is>
          <t>ORD-02807</t>
        </is>
      </c>
      <c r="B326" t="inlineStr">
        <is>
          <t>Customer 12</t>
        </is>
      </c>
      <c r="C326" t="inlineStr">
        <is>
          <t>Sensor</t>
        </is>
      </c>
      <c r="D326" s="14" t="n">
        <v>46051</v>
      </c>
      <c r="E326" s="14" t="n">
        <v>46054</v>
      </c>
      <c r="F326" t="n">
        <v>3</v>
      </c>
      <c r="G326" t="inlineStr">
        <is>
          <t>Production Delay</t>
        </is>
      </c>
      <c r="H326" t="inlineStr">
        <is>
          <t>Customer Delivery Late</t>
        </is>
      </c>
      <c r="I326" t="inlineStr">
        <is>
          <t>Escalate / Follow up</t>
        </is>
      </c>
    </row>
    <row r="327">
      <c r="A327" t="inlineStr">
        <is>
          <t>ORD-02812</t>
        </is>
      </c>
      <c r="B327" t="inlineStr">
        <is>
          <t>Customer 18</t>
        </is>
      </c>
      <c r="C327" t="inlineStr">
        <is>
          <t>Sensor</t>
        </is>
      </c>
      <c r="D327" s="14" t="n">
        <v>46116</v>
      </c>
      <c r="E327" s="14" t="n">
        <v>46117</v>
      </c>
      <c r="F327" t="n">
        <v>1</v>
      </c>
      <c r="G327" t="inlineStr">
        <is>
          <t>Customer Change</t>
        </is>
      </c>
      <c r="H327" t="inlineStr">
        <is>
          <t>Customer Delivery Late</t>
        </is>
      </c>
      <c r="I327" t="inlineStr">
        <is>
          <t>Escalate / Follow up</t>
        </is>
      </c>
    </row>
    <row r="328">
      <c r="A328" t="inlineStr">
        <is>
          <t>ORD-02814</t>
        </is>
      </c>
      <c r="B328" t="inlineStr">
        <is>
          <t>Customer 09</t>
        </is>
      </c>
      <c r="C328" t="inlineStr">
        <is>
          <t>Relay</t>
        </is>
      </c>
      <c r="D328" s="14" t="n">
        <v>46040</v>
      </c>
      <c r="E328" s="14" t="n">
        <v>46041</v>
      </c>
      <c r="F328" t="n">
        <v>1</v>
      </c>
      <c r="G328" t="inlineStr">
        <is>
          <t>Carrier Delay</t>
        </is>
      </c>
      <c r="H328" t="inlineStr">
        <is>
          <t>Customer Delivery Late</t>
        </is>
      </c>
      <c r="I328" t="inlineStr">
        <is>
          <t>Escalate / Follow up</t>
        </is>
      </c>
    </row>
    <row r="329">
      <c r="A329" t="inlineStr">
        <is>
          <t>ORD-02818</t>
        </is>
      </c>
      <c r="B329" t="inlineStr">
        <is>
          <t>Customer 28</t>
        </is>
      </c>
      <c r="C329" t="inlineStr">
        <is>
          <t>Breaker</t>
        </is>
      </c>
      <c r="D329" s="14" t="n">
        <v>46071</v>
      </c>
      <c r="E329" s="14" t="n">
        <v>46072</v>
      </c>
      <c r="F329" t="n">
        <v>1</v>
      </c>
      <c r="G329" t="inlineStr">
        <is>
          <t>Documentation Issue</t>
        </is>
      </c>
      <c r="H329" t="inlineStr">
        <is>
          <t>Customer Delivery Late</t>
        </is>
      </c>
      <c r="I329" t="inlineStr">
        <is>
          <t>Escalate / Follow up</t>
        </is>
      </c>
    </row>
    <row r="330">
      <c r="A330" t="inlineStr">
        <is>
          <t>ORD-02858</t>
        </is>
      </c>
      <c r="B330" t="inlineStr">
        <is>
          <t>Customer 28</t>
        </is>
      </c>
      <c r="C330" t="inlineStr">
        <is>
          <t>Relay</t>
        </is>
      </c>
      <c r="D330" s="14" t="n">
        <v>46091</v>
      </c>
      <c r="E330" s="14" t="n">
        <v>46096</v>
      </c>
      <c r="F330" t="n">
        <v>5</v>
      </c>
      <c r="G330" t="inlineStr">
        <is>
          <t>Capacity Constraint</t>
        </is>
      </c>
      <c r="H330" t="inlineStr">
        <is>
          <t>Customer Delivery Late</t>
        </is>
      </c>
      <c r="I330" t="inlineStr">
        <is>
          <t>Escalate / Follow up</t>
        </is>
      </c>
    </row>
    <row r="331">
      <c r="A331" t="inlineStr">
        <is>
          <t>ORD-02887</t>
        </is>
      </c>
      <c r="B331" t="inlineStr">
        <is>
          <t>Customer 07</t>
        </is>
      </c>
      <c r="C331" t="inlineStr">
        <is>
          <t>Switchgear</t>
        </is>
      </c>
      <c r="D331" s="14" t="n">
        <v>46067</v>
      </c>
      <c r="E331" s="14" t="n">
        <v>46068</v>
      </c>
      <c r="F331" t="n">
        <v>1</v>
      </c>
      <c r="G331" t="inlineStr">
        <is>
          <t>Carrier Delay</t>
        </is>
      </c>
      <c r="H331" t="inlineStr">
        <is>
          <t>Customer Delivery Late</t>
        </is>
      </c>
      <c r="I331" t="inlineStr">
        <is>
          <t>Escalate / Follow up</t>
        </is>
      </c>
    </row>
    <row r="332">
      <c r="A332" t="inlineStr">
        <is>
          <t>ORD-02910</t>
        </is>
      </c>
      <c r="B332" t="inlineStr">
        <is>
          <t>Customer 30</t>
        </is>
      </c>
      <c r="C332" t="inlineStr">
        <is>
          <t>Contactor</t>
        </is>
      </c>
      <c r="D332" s="14" t="n">
        <v>46067</v>
      </c>
      <c r="E332" s="14" t="n">
        <v>46070</v>
      </c>
      <c r="F332" t="n">
        <v>3</v>
      </c>
      <c r="G332" t="inlineStr">
        <is>
          <t>Material Shortage</t>
        </is>
      </c>
      <c r="H332" t="inlineStr">
        <is>
          <t>Customer Delivery Late</t>
        </is>
      </c>
      <c r="I332" t="inlineStr">
        <is>
          <t>Escalate / Follow up</t>
        </is>
      </c>
    </row>
    <row r="333">
      <c r="A333" t="inlineStr">
        <is>
          <t>ORD-02913</t>
        </is>
      </c>
      <c r="B333" t="inlineStr">
        <is>
          <t>Customer 22</t>
        </is>
      </c>
      <c r="C333" t="inlineStr">
        <is>
          <t>PLC</t>
        </is>
      </c>
      <c r="D333" s="14" t="n">
        <v>46092</v>
      </c>
      <c r="E333" s="14" t="n">
        <v>46093</v>
      </c>
      <c r="F333" t="n">
        <v>1</v>
      </c>
      <c r="G333" t="inlineStr">
        <is>
          <t>Material Shortage</t>
        </is>
      </c>
      <c r="H333" t="inlineStr">
        <is>
          <t>Customer Delivery Late</t>
        </is>
      </c>
      <c r="I333" t="inlineStr">
        <is>
          <t>Escalate / Follow up</t>
        </is>
      </c>
    </row>
    <row r="334">
      <c r="A334" t="inlineStr">
        <is>
          <t>ORD-02928</t>
        </is>
      </c>
      <c r="B334" t="inlineStr">
        <is>
          <t>Customer 23</t>
        </is>
      </c>
      <c r="C334" t="inlineStr">
        <is>
          <t>Breaker</t>
        </is>
      </c>
      <c r="D334" s="14" t="n">
        <v>46209</v>
      </c>
      <c r="E334" s="14" t="n">
        <v>46210</v>
      </c>
      <c r="F334" t="n">
        <v>1</v>
      </c>
      <c r="G334" t="inlineStr">
        <is>
          <t>Documentation Issue</t>
        </is>
      </c>
      <c r="H334" t="inlineStr">
        <is>
          <t>Customer Delivery Late</t>
        </is>
      </c>
      <c r="I334" t="inlineStr">
        <is>
          <t>Escalate / Follow up</t>
        </is>
      </c>
    </row>
    <row r="335">
      <c r="A335" t="inlineStr">
        <is>
          <t>ORD-02931</t>
        </is>
      </c>
      <c r="B335" t="inlineStr">
        <is>
          <t>Customer 11</t>
        </is>
      </c>
      <c r="C335" t="inlineStr">
        <is>
          <t>Switchgear</t>
        </is>
      </c>
      <c r="D335" s="14" t="n">
        <v>46184</v>
      </c>
      <c r="E335" s="14" t="n">
        <v>46191</v>
      </c>
      <c r="F335" t="n">
        <v>7</v>
      </c>
      <c r="G335" t="inlineStr">
        <is>
          <t>Carrier Delay</t>
        </is>
      </c>
      <c r="H335" t="inlineStr">
        <is>
          <t>Customer Delivery Late</t>
        </is>
      </c>
      <c r="I335" t="inlineStr">
        <is>
          <t>Escalate / Follow up</t>
        </is>
      </c>
    </row>
    <row r="336">
      <c r="A336" t="inlineStr">
        <is>
          <t>ORD-02935</t>
        </is>
      </c>
      <c r="B336" t="inlineStr">
        <is>
          <t>Customer 30</t>
        </is>
      </c>
      <c r="C336" t="inlineStr">
        <is>
          <t>Drive</t>
        </is>
      </c>
      <c r="D336" s="14" t="n">
        <v>46163</v>
      </c>
      <c r="E336" s="14" t="n">
        <v>46164</v>
      </c>
      <c r="F336" t="n">
        <v>1</v>
      </c>
      <c r="G336" t="inlineStr">
        <is>
          <t>Documentation Issue</t>
        </is>
      </c>
      <c r="H336" t="inlineStr">
        <is>
          <t>Customer Delivery Late</t>
        </is>
      </c>
      <c r="I336" t="inlineStr">
        <is>
          <t>Escalate / Follow up</t>
        </is>
      </c>
    </row>
    <row r="337">
      <c r="A337" t="inlineStr">
        <is>
          <t>ORD-02936</t>
        </is>
      </c>
      <c r="B337" t="inlineStr">
        <is>
          <t>Customer 29</t>
        </is>
      </c>
      <c r="C337" t="inlineStr">
        <is>
          <t>Breaker</t>
        </is>
      </c>
      <c r="D337" s="14" t="n">
        <v>46188</v>
      </c>
      <c r="E337" s="14" t="n">
        <v>46193</v>
      </c>
      <c r="F337" t="n">
        <v>5</v>
      </c>
      <c r="G337" t="inlineStr">
        <is>
          <t>Material Shortage</t>
        </is>
      </c>
      <c r="H337" t="inlineStr">
        <is>
          <t>Customer Delivery Late</t>
        </is>
      </c>
      <c r="I337" t="inlineStr">
        <is>
          <t>Escalate / Follow up</t>
        </is>
      </c>
    </row>
    <row r="338">
      <c r="A338" t="inlineStr">
        <is>
          <t>ORD-02939</t>
        </is>
      </c>
      <c r="B338" t="inlineStr">
        <is>
          <t>Customer 11</t>
        </is>
      </c>
      <c r="C338" t="inlineStr">
        <is>
          <t>Sensor</t>
        </is>
      </c>
      <c r="D338" s="14" t="n">
        <v>46113</v>
      </c>
      <c r="E338" s="14" t="n">
        <v>46114</v>
      </c>
      <c r="F338" t="n">
        <v>1</v>
      </c>
      <c r="G338" t="inlineStr">
        <is>
          <t>Material Shortage</t>
        </is>
      </c>
      <c r="H338" t="inlineStr">
        <is>
          <t>Customer Delivery Late</t>
        </is>
      </c>
      <c r="I338" t="inlineStr">
        <is>
          <t>Escalate / Follow up</t>
        </is>
      </c>
    </row>
    <row r="339">
      <c r="A339" t="inlineStr">
        <is>
          <t>ORD-02946</t>
        </is>
      </c>
      <c r="B339" t="inlineStr">
        <is>
          <t>Customer 18</t>
        </is>
      </c>
      <c r="C339" t="inlineStr">
        <is>
          <t>Sensor</t>
        </is>
      </c>
      <c r="D339" s="14" t="n">
        <v>46089</v>
      </c>
      <c r="E339" s="14" t="n">
        <v>46090</v>
      </c>
      <c r="F339" t="n">
        <v>1</v>
      </c>
      <c r="G339" t="inlineStr">
        <is>
          <t>Production Delay</t>
        </is>
      </c>
      <c r="H339" t="inlineStr">
        <is>
          <t>Customer Delivery Late</t>
        </is>
      </c>
      <c r="I339" t="inlineStr">
        <is>
          <t>Escalate / Follow up</t>
        </is>
      </c>
    </row>
    <row r="340">
      <c r="A340" t="inlineStr">
        <is>
          <t>ORD-02954</t>
        </is>
      </c>
      <c r="B340" t="inlineStr">
        <is>
          <t>Customer 29</t>
        </is>
      </c>
      <c r="C340" t="inlineStr">
        <is>
          <t>Breaker</t>
        </is>
      </c>
      <c r="D340" s="14" t="n">
        <v>46176</v>
      </c>
      <c r="E340" s="14" t="n">
        <v>46182</v>
      </c>
      <c r="F340" t="n">
        <v>6</v>
      </c>
      <c r="G340" t="inlineStr">
        <is>
          <t>Carrier Delay</t>
        </is>
      </c>
      <c r="H340" t="inlineStr">
        <is>
          <t>Customer Delivery Late</t>
        </is>
      </c>
      <c r="I340" t="inlineStr">
        <is>
          <t>Escalate / Follow up</t>
        </is>
      </c>
    </row>
    <row r="341">
      <c r="A341" t="inlineStr">
        <is>
          <t>ORD-02973</t>
        </is>
      </c>
      <c r="B341" t="inlineStr">
        <is>
          <t>Customer 01</t>
        </is>
      </c>
      <c r="C341" t="inlineStr">
        <is>
          <t>Switchgear</t>
        </is>
      </c>
      <c r="D341" s="14" t="n">
        <v>46153</v>
      </c>
      <c r="E341" s="14" t="n">
        <v>46154</v>
      </c>
      <c r="F341" t="n">
        <v>1</v>
      </c>
      <c r="G341" t="inlineStr">
        <is>
          <t>Production Delay</t>
        </is>
      </c>
      <c r="H341" t="inlineStr">
        <is>
          <t>Customer Delivery Late</t>
        </is>
      </c>
      <c r="I341" t="inlineStr">
        <is>
          <t>Escalate / Follow up</t>
        </is>
      </c>
    </row>
    <row r="342">
      <c r="A342" t="inlineStr">
        <is>
          <t>ORD-02979</t>
        </is>
      </c>
      <c r="B342" t="inlineStr">
        <is>
          <t>Customer 18</t>
        </is>
      </c>
      <c r="C342" t="inlineStr">
        <is>
          <t>Contactor</t>
        </is>
      </c>
      <c r="D342" s="14" t="n">
        <v>46056</v>
      </c>
      <c r="E342" s="14" t="n">
        <v>46057</v>
      </c>
      <c r="F342" t="n">
        <v>1</v>
      </c>
      <c r="G342" t="inlineStr">
        <is>
          <t>Production Delay</t>
        </is>
      </c>
      <c r="H342" t="inlineStr">
        <is>
          <t>Customer Delivery Late</t>
        </is>
      </c>
      <c r="I342" t="inlineStr">
        <is>
          <t>Escalate / Follow up</t>
        </is>
      </c>
    </row>
    <row r="343">
      <c r="A343" t="inlineStr">
        <is>
          <t>ORD-02994</t>
        </is>
      </c>
      <c r="B343" t="inlineStr">
        <is>
          <t>Customer 07</t>
        </is>
      </c>
      <c r="C343" t="inlineStr">
        <is>
          <t>Switchgear</t>
        </is>
      </c>
      <c r="D343" s="14" t="n">
        <v>46197</v>
      </c>
      <c r="E343" s="14" t="n">
        <v>46200</v>
      </c>
      <c r="F343" t="n">
        <v>3</v>
      </c>
      <c r="G343" t="inlineStr">
        <is>
          <t>Carrier Delay</t>
        </is>
      </c>
      <c r="H343" t="inlineStr">
        <is>
          <t>Customer Delivery Late</t>
        </is>
      </c>
      <c r="I343" t="inlineStr">
        <is>
          <t>Escalate / Follow up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45" customWidth="1" min="3" max="3"/>
  </cols>
  <sheetData>
    <row r="1">
      <c r="A1" s="10" t="inlineStr">
        <is>
          <t>Project 1 — Data Dictionary &amp; KPI Logic</t>
        </is>
      </c>
    </row>
    <row r="2"/>
    <row r="3"/>
    <row r="4">
      <c r="A4" s="1" t="inlineStr">
        <is>
          <t>Field</t>
        </is>
      </c>
      <c r="B4" s="1" t="inlineStr">
        <is>
          <t>Definition</t>
        </is>
      </c>
      <c r="C4" s="1" t="inlineStr">
        <is>
          <t>Note</t>
        </is>
      </c>
    </row>
    <row r="5">
      <c r="A5" s="11" t="inlineStr">
        <is>
          <t>OTDS</t>
        </is>
      </c>
      <c r="B5" s="11" t="inlineStr">
        <is>
          <t>On-time delivery to schedule proxy used in this project: Actual Ship Date &lt;= Scheduled Ship Date.</t>
        </is>
      </c>
      <c r="C5" s="11" t="inlineStr">
        <is>
          <t>Target 96.5% from provided JD.</t>
        </is>
      </c>
    </row>
    <row r="6">
      <c r="A6" s="11" t="inlineStr">
        <is>
          <t>OTDC</t>
        </is>
      </c>
      <c r="B6" s="11" t="inlineStr">
        <is>
          <t>On-time delivery to customer proxy: Actual Delivery Date &lt;= Requested Delivery Date.</t>
        </is>
      </c>
      <c r="C6" s="11" t="inlineStr">
        <is>
          <t>Target 98% from provided JD.</t>
        </is>
      </c>
    </row>
    <row r="7">
      <c r="A7" s="11" t="inlineStr">
        <is>
          <t>Exception Status</t>
        </is>
      </c>
      <c r="B7" s="11" t="inlineStr">
        <is>
          <t>Classifies each order as On Track, Ship Late, or Customer Delivery Late.</t>
        </is>
      </c>
      <c r="C7" s="11" t="inlineStr">
        <is>
          <t>Used for operational follow-up.</t>
        </is>
      </c>
    </row>
    <row r="8">
      <c r="A8" s="11" t="inlineStr">
        <is>
          <t>Synthetic data</t>
        </is>
      </c>
      <c r="B8" s="11" t="inlineStr">
        <is>
          <t>All records are simulated for portfolio use; not Schneider company data.</t>
        </is>
      </c>
      <c r="C8" s="11" t="inlineStr">
        <is>
          <t>Safe to publish on GitHub.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2026-08-09T12:24:43Z</dcterms:created>
  <dcterms:modified xmlns:dcterms="http://purl.org/dc/terms/" xmlns:xsi="http://www.w3.org/2001/XMLSchema-instance" xsi:type="dcterms:W3CDTF">2026-08-09T12:24:46Z</dcterms:modified>
</cp:coreProperties>
</file>